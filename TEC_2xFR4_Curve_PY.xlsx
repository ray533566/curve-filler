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ky Wang\圖表範本\FR4\"/>
    </mc:Choice>
  </mc:AlternateContent>
  <xr:revisionPtr revIDLastSave="0" documentId="13_ncr:1_{9023DCA5-4F31-486D-9F98-814697D45B22}" xr6:coauthVersionLast="36" xr6:coauthVersionMax="36" xr10:uidLastSave="{00000000-0000-0000-0000-000000000000}"/>
  <bookViews>
    <workbookView xWindow="0" yWindow="0" windowWidth="14136" windowHeight="5280" tabRatio="785" activeTab="1" xr2:uid="{00000000-000D-0000-FFFF-FFFF00000000}"/>
  </bookViews>
  <sheets>
    <sheet name="Curve" sheetId="1" r:id="rId1"/>
    <sheet name="Operational" sheetId="2" r:id="rId2"/>
    <sheet name="Maximum" sheetId="3" r:id="rId3"/>
    <sheet name="1_Operational" sheetId="4" r:id="rId4"/>
    <sheet name="2_Operational" sheetId="5" r:id="rId5"/>
    <sheet name="3_Operational" sheetId="6" r:id="rId6"/>
    <sheet name="4_Operational" sheetId="7" r:id="rId7"/>
    <sheet name="1_Maximum" sheetId="8" r:id="rId8"/>
    <sheet name="2_Maximum" sheetId="9" r:id="rId9"/>
    <sheet name="3_Maximum" sheetId="10" r:id="rId10"/>
    <sheet name="4_Maximum" sheetId="11" r:id="rId11"/>
  </sheets>
  <calcPr calcId="191029"/>
</workbook>
</file>

<file path=xl/calcChain.xml><?xml version="1.0" encoding="utf-8"?>
<calcChain xmlns="http://schemas.openxmlformats.org/spreadsheetml/2006/main">
  <c r="A87" i="3" l="1"/>
  <c r="E87" i="3"/>
  <c r="Q87" i="3"/>
  <c r="R87" i="3"/>
  <c r="S87" i="3"/>
  <c r="T87" i="3"/>
  <c r="U87" i="3"/>
  <c r="V87" i="3"/>
  <c r="W87" i="3"/>
  <c r="X87" i="3"/>
  <c r="Y87" i="3"/>
  <c r="Z87" i="3"/>
  <c r="B87" i="3" s="1"/>
  <c r="AA87" i="3"/>
  <c r="C87" i="3" s="1"/>
  <c r="AB87" i="3"/>
  <c r="D87" i="3" s="1"/>
  <c r="AC87" i="3"/>
  <c r="C88" i="3"/>
  <c r="D88" i="3"/>
  <c r="E88" i="3"/>
  <c r="Q88" i="3"/>
  <c r="A88" i="3" s="1"/>
  <c r="R88" i="3"/>
  <c r="S88" i="3"/>
  <c r="T88" i="3"/>
  <c r="U88" i="3"/>
  <c r="V88" i="3"/>
  <c r="W88" i="3"/>
  <c r="X88" i="3"/>
  <c r="Y88" i="3"/>
  <c r="Z88" i="3"/>
  <c r="B88" i="3" s="1"/>
  <c r="AA88" i="3"/>
  <c r="AB88" i="3"/>
  <c r="AC88" i="3"/>
  <c r="B89" i="3"/>
  <c r="C89" i="3"/>
  <c r="D89" i="3"/>
  <c r="E89" i="3"/>
  <c r="Q89" i="3"/>
  <c r="A89" i="3" s="1"/>
  <c r="R89" i="3"/>
  <c r="S89" i="3"/>
  <c r="T89" i="3"/>
  <c r="U89" i="3"/>
  <c r="V89" i="3"/>
  <c r="W89" i="3"/>
  <c r="X89" i="3"/>
  <c r="Y89" i="3"/>
  <c r="Z89" i="3"/>
  <c r="AA89" i="3"/>
  <c r="AB89" i="3"/>
  <c r="AC89" i="3"/>
  <c r="B90" i="3"/>
  <c r="C90" i="3"/>
  <c r="D90" i="3"/>
  <c r="E90" i="3"/>
  <c r="Q90" i="3"/>
  <c r="A90" i="3" s="1"/>
  <c r="R90" i="3"/>
  <c r="S90" i="3"/>
  <c r="T90" i="3"/>
  <c r="U90" i="3"/>
  <c r="V90" i="3"/>
  <c r="W90" i="3"/>
  <c r="X90" i="3"/>
  <c r="Y90" i="3"/>
  <c r="Z90" i="3"/>
  <c r="AA90" i="3"/>
  <c r="AB90" i="3"/>
  <c r="AC90" i="3"/>
  <c r="B91" i="3"/>
  <c r="C91" i="3"/>
  <c r="Q91" i="3"/>
  <c r="A91" i="3" s="1"/>
  <c r="R91" i="3"/>
  <c r="S91" i="3"/>
  <c r="T91" i="3"/>
  <c r="U91" i="3"/>
  <c r="V91" i="3"/>
  <c r="W91" i="3"/>
  <c r="X91" i="3"/>
  <c r="Y91" i="3"/>
  <c r="Z91" i="3"/>
  <c r="AA91" i="3"/>
  <c r="AB91" i="3"/>
  <c r="D91" i="3" s="1"/>
  <c r="AC91" i="3"/>
  <c r="E91" i="3" s="1"/>
  <c r="AC86" i="3" l="1"/>
  <c r="AB86" i="3"/>
  <c r="D86" i="3" s="1"/>
  <c r="AA86" i="3"/>
  <c r="C86" i="3" s="1"/>
  <c r="Z86" i="3"/>
  <c r="Y86" i="3"/>
  <c r="X86" i="3"/>
  <c r="W86" i="3"/>
  <c r="AH86" i="1" s="1"/>
  <c r="V86" i="3"/>
  <c r="AG86" i="1" s="1"/>
  <c r="AO87" i="1" s="1"/>
  <c r="U86" i="3"/>
  <c r="K86" i="1" s="1"/>
  <c r="T86" i="3"/>
  <c r="S86" i="3"/>
  <c r="R86" i="3"/>
  <c r="Q86" i="3"/>
  <c r="A86" i="3" s="1"/>
  <c r="E86" i="3"/>
  <c r="B86" i="3"/>
  <c r="AC85" i="3"/>
  <c r="E85" i="3" s="1"/>
  <c r="AB85" i="3"/>
  <c r="AA85" i="3"/>
  <c r="Z85" i="3"/>
  <c r="B85" i="3" s="1"/>
  <c r="Y85" i="3"/>
  <c r="AJ85" i="1" s="1"/>
  <c r="X85" i="3"/>
  <c r="W85" i="3"/>
  <c r="V85" i="3"/>
  <c r="U85" i="3"/>
  <c r="T85" i="3"/>
  <c r="J85" i="1" s="1"/>
  <c r="S85" i="3"/>
  <c r="I85" i="1" s="1"/>
  <c r="R85" i="3"/>
  <c r="H85" i="1" s="1"/>
  <c r="Q85" i="3"/>
  <c r="D85" i="3"/>
  <c r="C85" i="3"/>
  <c r="A85" i="3"/>
  <c r="AC84" i="3"/>
  <c r="AB84" i="3"/>
  <c r="D84" i="3" s="1"/>
  <c r="AA84" i="3"/>
  <c r="C84" i="3" s="1"/>
  <c r="Z84" i="3"/>
  <c r="B84" i="3" s="1"/>
  <c r="Y84" i="3"/>
  <c r="X84" i="3"/>
  <c r="W84" i="3"/>
  <c r="V84" i="3"/>
  <c r="U84" i="3"/>
  <c r="K84" i="1" s="1"/>
  <c r="T84" i="3"/>
  <c r="J84" i="1" s="1"/>
  <c r="S84" i="3"/>
  <c r="R84" i="3"/>
  <c r="Q84" i="3"/>
  <c r="E84" i="3"/>
  <c r="AC83" i="3"/>
  <c r="E83" i="3" s="1"/>
  <c r="AB83" i="3"/>
  <c r="D83" i="3" s="1"/>
  <c r="AA83" i="3"/>
  <c r="C83" i="3" s="1"/>
  <c r="Z83" i="3"/>
  <c r="Y83" i="3"/>
  <c r="X83" i="3"/>
  <c r="W83" i="3"/>
  <c r="V83" i="3"/>
  <c r="AG83" i="1" s="1"/>
  <c r="U83" i="3"/>
  <c r="T83" i="3"/>
  <c r="S83" i="3"/>
  <c r="I83" i="1" s="1"/>
  <c r="R83" i="3"/>
  <c r="Q83" i="3"/>
  <c r="B83" i="3"/>
  <c r="A83" i="3"/>
  <c r="AC82" i="3"/>
  <c r="E82" i="3" s="1"/>
  <c r="AB82" i="3"/>
  <c r="AA82" i="3"/>
  <c r="Z82" i="3"/>
  <c r="B82" i="3" s="1"/>
  <c r="Y82" i="3"/>
  <c r="X82" i="3"/>
  <c r="W82" i="3"/>
  <c r="V82" i="3"/>
  <c r="U82" i="3"/>
  <c r="K82" i="1" s="1"/>
  <c r="T82" i="3"/>
  <c r="S82" i="3"/>
  <c r="R82" i="3"/>
  <c r="Q82" i="3"/>
  <c r="D82" i="3"/>
  <c r="C82" i="3"/>
  <c r="A82" i="3"/>
  <c r="AC81" i="3"/>
  <c r="AB81" i="3"/>
  <c r="D81" i="3" s="1"/>
  <c r="AA81" i="3"/>
  <c r="C81" i="3" s="1"/>
  <c r="Z81" i="3"/>
  <c r="B81" i="3" s="1"/>
  <c r="Y81" i="3"/>
  <c r="X81" i="3"/>
  <c r="W81" i="3"/>
  <c r="V81" i="3"/>
  <c r="U81" i="3"/>
  <c r="T81" i="3"/>
  <c r="S81" i="3"/>
  <c r="R81" i="3"/>
  <c r="Q81" i="3"/>
  <c r="AE81" i="1" s="1"/>
  <c r="E81" i="3"/>
  <c r="AC80" i="3"/>
  <c r="E80" i="3" s="1"/>
  <c r="AB80" i="3"/>
  <c r="D80" i="3" s="1"/>
  <c r="AA80" i="3"/>
  <c r="Z80" i="3"/>
  <c r="Y80" i="3"/>
  <c r="X80" i="3"/>
  <c r="W80" i="3"/>
  <c r="V80" i="3"/>
  <c r="U80" i="3"/>
  <c r="T80" i="3"/>
  <c r="S80" i="3"/>
  <c r="R80" i="3"/>
  <c r="H80" i="1" s="1"/>
  <c r="Q80" i="3"/>
  <c r="C80" i="3"/>
  <c r="B80" i="3"/>
  <c r="AC79" i="3"/>
  <c r="AB79" i="3"/>
  <c r="AA79" i="3"/>
  <c r="C79" i="3" s="1"/>
  <c r="Z79" i="3"/>
  <c r="B79" i="3" s="1"/>
  <c r="Y79" i="3"/>
  <c r="X79" i="3"/>
  <c r="W79" i="3"/>
  <c r="V79" i="3"/>
  <c r="U79" i="3"/>
  <c r="T79" i="3"/>
  <c r="S79" i="3"/>
  <c r="I79" i="1" s="1"/>
  <c r="R79" i="3"/>
  <c r="Q79" i="3"/>
  <c r="A79" i="3" s="1"/>
  <c r="E79" i="3"/>
  <c r="D79" i="3"/>
  <c r="AC78" i="3"/>
  <c r="E78" i="3" s="1"/>
  <c r="AB78" i="3"/>
  <c r="D78" i="3" s="1"/>
  <c r="AA78" i="3"/>
  <c r="C78" i="3" s="1"/>
  <c r="Z78" i="3"/>
  <c r="Y78" i="3"/>
  <c r="X78" i="3"/>
  <c r="W78" i="3"/>
  <c r="V78" i="3"/>
  <c r="U78" i="3"/>
  <c r="T78" i="3"/>
  <c r="S78" i="3"/>
  <c r="R78" i="3"/>
  <c r="Q78" i="3"/>
  <c r="A78" i="3" s="1"/>
  <c r="B78" i="3"/>
  <c r="AC77" i="3"/>
  <c r="E77" i="3" s="1"/>
  <c r="AB77" i="3"/>
  <c r="AA77" i="3"/>
  <c r="Z77" i="3"/>
  <c r="B77" i="3" s="1"/>
  <c r="Y77" i="3"/>
  <c r="AJ77" i="1" s="1"/>
  <c r="AR78" i="1" s="1"/>
  <c r="X77" i="3"/>
  <c r="W77" i="3"/>
  <c r="V77" i="3"/>
  <c r="U77" i="3"/>
  <c r="T77" i="3"/>
  <c r="J77" i="1" s="1"/>
  <c r="S77" i="3"/>
  <c r="R77" i="3"/>
  <c r="Q77" i="3"/>
  <c r="D77" i="3"/>
  <c r="C77" i="3"/>
  <c r="A77" i="3"/>
  <c r="AC76" i="3"/>
  <c r="AB76" i="3"/>
  <c r="D76" i="3" s="1"/>
  <c r="AA76" i="3"/>
  <c r="C76" i="3" s="1"/>
  <c r="Z76" i="3"/>
  <c r="B76" i="3" s="1"/>
  <c r="Y76" i="3"/>
  <c r="X76" i="3"/>
  <c r="W76" i="3"/>
  <c r="V76" i="3"/>
  <c r="U76" i="3"/>
  <c r="K76" i="1" s="1"/>
  <c r="T76" i="3"/>
  <c r="S76" i="3"/>
  <c r="R76" i="3"/>
  <c r="Q76" i="3"/>
  <c r="E76" i="3"/>
  <c r="AC75" i="3"/>
  <c r="E75" i="3" s="1"/>
  <c r="AB75" i="3"/>
  <c r="D75" i="3" s="1"/>
  <c r="AA75" i="3"/>
  <c r="C75" i="3" s="1"/>
  <c r="Z75" i="3"/>
  <c r="Y75" i="3"/>
  <c r="X75" i="3"/>
  <c r="AI75" i="1" s="1"/>
  <c r="W75" i="3"/>
  <c r="V75" i="3"/>
  <c r="AG75" i="1" s="1"/>
  <c r="U75" i="3"/>
  <c r="T75" i="3"/>
  <c r="S75" i="3"/>
  <c r="R75" i="3"/>
  <c r="Q75" i="3"/>
  <c r="B75" i="3"/>
  <c r="A75" i="3"/>
  <c r="AC74" i="3"/>
  <c r="E74" i="3" s="1"/>
  <c r="AB74" i="3"/>
  <c r="AA74" i="3"/>
  <c r="Z74" i="3"/>
  <c r="Y74" i="3"/>
  <c r="AJ74" i="1" s="1"/>
  <c r="AR75" i="1" s="1"/>
  <c r="X74" i="3"/>
  <c r="AI74" i="1" s="1"/>
  <c r="W74" i="3"/>
  <c r="V74" i="3"/>
  <c r="U74" i="3"/>
  <c r="T74" i="3"/>
  <c r="S74" i="3"/>
  <c r="R74" i="3"/>
  <c r="Q74" i="3"/>
  <c r="D74" i="3"/>
  <c r="C74" i="3"/>
  <c r="B74" i="3"/>
  <c r="A74" i="3"/>
  <c r="AC73" i="3"/>
  <c r="AB73" i="3"/>
  <c r="AA73" i="3"/>
  <c r="C73" i="3" s="1"/>
  <c r="Z73" i="3"/>
  <c r="B73" i="3" s="1"/>
  <c r="Y73" i="3"/>
  <c r="X73" i="3"/>
  <c r="W73" i="3"/>
  <c r="AH73" i="1" s="1"/>
  <c r="V73" i="3"/>
  <c r="U73" i="3"/>
  <c r="T73" i="3"/>
  <c r="S73" i="3"/>
  <c r="R73" i="3"/>
  <c r="Q73" i="3"/>
  <c r="E73" i="3"/>
  <c r="D73" i="3"/>
  <c r="A73" i="3"/>
  <c r="AC72" i="3"/>
  <c r="E72" i="3" s="1"/>
  <c r="AB72" i="3"/>
  <c r="D72" i="3" s="1"/>
  <c r="AA72" i="3"/>
  <c r="Z72" i="3"/>
  <c r="Y72" i="3"/>
  <c r="AJ72" i="1" s="1"/>
  <c r="AR73" i="1" s="1"/>
  <c r="X72" i="3"/>
  <c r="W72" i="3"/>
  <c r="V72" i="3"/>
  <c r="U72" i="3"/>
  <c r="T72" i="3"/>
  <c r="S72" i="3"/>
  <c r="I72" i="1" s="1"/>
  <c r="R72" i="3"/>
  <c r="Q72" i="3"/>
  <c r="G72" i="1" s="1"/>
  <c r="C72" i="3"/>
  <c r="B72" i="3"/>
  <c r="A72" i="3"/>
  <c r="AC71" i="3"/>
  <c r="AB71" i="3"/>
  <c r="AA71" i="3"/>
  <c r="Z71" i="3"/>
  <c r="B71" i="3" s="1"/>
  <c r="Y71" i="3"/>
  <c r="X71" i="3"/>
  <c r="W71" i="3"/>
  <c r="V71" i="3"/>
  <c r="U71" i="3"/>
  <c r="K71" i="1" s="1"/>
  <c r="T71" i="3"/>
  <c r="J71" i="1" s="1"/>
  <c r="S71" i="3"/>
  <c r="R71" i="3"/>
  <c r="Q71" i="3"/>
  <c r="A71" i="3" s="1"/>
  <c r="E71" i="3"/>
  <c r="D71" i="3"/>
  <c r="C71" i="3"/>
  <c r="AC70" i="3"/>
  <c r="E70" i="3" s="1"/>
  <c r="AB70" i="3"/>
  <c r="D70" i="3" s="1"/>
  <c r="AA70" i="3"/>
  <c r="C70" i="3" s="1"/>
  <c r="Z70" i="3"/>
  <c r="Y70" i="3"/>
  <c r="X70" i="3"/>
  <c r="W70" i="3"/>
  <c r="V70" i="3"/>
  <c r="U70" i="3"/>
  <c r="K70" i="1" s="1"/>
  <c r="T70" i="3"/>
  <c r="S70" i="3"/>
  <c r="R70" i="3"/>
  <c r="Q70" i="3"/>
  <c r="A70" i="3" s="1"/>
  <c r="B70" i="3"/>
  <c r="AC69" i="3"/>
  <c r="E69" i="3" s="1"/>
  <c r="AB69" i="3"/>
  <c r="AA69" i="3"/>
  <c r="Z69" i="3"/>
  <c r="B69" i="3" s="1"/>
  <c r="Y69" i="3"/>
  <c r="X69" i="3"/>
  <c r="AI69" i="1" s="1"/>
  <c r="AQ70" i="1" s="1"/>
  <c r="W69" i="3"/>
  <c r="AH69" i="1" s="1"/>
  <c r="AP70" i="1" s="1"/>
  <c r="V69" i="3"/>
  <c r="U69" i="3"/>
  <c r="T69" i="3"/>
  <c r="S69" i="3"/>
  <c r="R69" i="3"/>
  <c r="Q69" i="3"/>
  <c r="D69" i="3"/>
  <c r="C69" i="3"/>
  <c r="A69" i="3"/>
  <c r="AC68" i="3"/>
  <c r="AB68" i="3"/>
  <c r="D68" i="3" s="1"/>
  <c r="AA68" i="3"/>
  <c r="C68" i="3" s="1"/>
  <c r="Z68" i="3"/>
  <c r="B68" i="3" s="1"/>
  <c r="Y68" i="3"/>
  <c r="X68" i="3"/>
  <c r="W68" i="3"/>
  <c r="V68" i="3"/>
  <c r="U68" i="3"/>
  <c r="T68" i="3"/>
  <c r="J68" i="1" s="1"/>
  <c r="S68" i="3"/>
  <c r="R68" i="3"/>
  <c r="Q68" i="3"/>
  <c r="A68" i="3" s="1"/>
  <c r="E68" i="3"/>
  <c r="AC67" i="3"/>
  <c r="E67" i="3" s="1"/>
  <c r="AB67" i="3"/>
  <c r="D67" i="3" s="1"/>
  <c r="AA67" i="3"/>
  <c r="C67" i="3" s="1"/>
  <c r="Z67" i="3"/>
  <c r="Y67" i="3"/>
  <c r="X67" i="3"/>
  <c r="W67" i="3"/>
  <c r="AH67" i="1" s="1"/>
  <c r="V67" i="3"/>
  <c r="AG67" i="1" s="1"/>
  <c r="AO68" i="1" s="1"/>
  <c r="U67" i="3"/>
  <c r="T67" i="3"/>
  <c r="S67" i="3"/>
  <c r="R67" i="3"/>
  <c r="Q67" i="3"/>
  <c r="B67" i="3"/>
  <c r="A67" i="3"/>
  <c r="AC66" i="3"/>
  <c r="E66" i="3" s="1"/>
  <c r="AB66" i="3"/>
  <c r="AA66" i="3"/>
  <c r="Z66" i="3"/>
  <c r="B66" i="3" s="1"/>
  <c r="Y66" i="3"/>
  <c r="X66" i="3"/>
  <c r="W66" i="3"/>
  <c r="V66" i="3"/>
  <c r="U66" i="3"/>
  <c r="K66" i="1" s="1"/>
  <c r="T66" i="3"/>
  <c r="S66" i="3"/>
  <c r="R66" i="3"/>
  <c r="Q66" i="3"/>
  <c r="D66" i="3"/>
  <c r="C66" i="3"/>
  <c r="A66" i="3"/>
  <c r="AC65" i="3"/>
  <c r="AB65" i="3"/>
  <c r="D65" i="3" s="1"/>
  <c r="AA65" i="3"/>
  <c r="C65" i="3" s="1"/>
  <c r="Z65" i="3"/>
  <c r="B65" i="3" s="1"/>
  <c r="Y65" i="3"/>
  <c r="X65" i="3"/>
  <c r="W65" i="3"/>
  <c r="V65" i="3"/>
  <c r="U65" i="3"/>
  <c r="T65" i="3"/>
  <c r="S65" i="3"/>
  <c r="R65" i="3"/>
  <c r="Q65" i="3"/>
  <c r="G65" i="1" s="1"/>
  <c r="E65" i="3"/>
  <c r="A65" i="3"/>
  <c r="AC64" i="3"/>
  <c r="E64" i="3" s="1"/>
  <c r="AB64" i="3"/>
  <c r="D64" i="3" s="1"/>
  <c r="AA64" i="3"/>
  <c r="Z64" i="3"/>
  <c r="Y64" i="3"/>
  <c r="AJ64" i="1" s="1"/>
  <c r="X64" i="3"/>
  <c r="W64" i="3"/>
  <c r="V64" i="3"/>
  <c r="U64" i="3"/>
  <c r="T64" i="3"/>
  <c r="S64" i="3"/>
  <c r="R64" i="3"/>
  <c r="H64" i="1" s="1"/>
  <c r="Q64" i="3"/>
  <c r="G64" i="1" s="1"/>
  <c r="C64" i="3"/>
  <c r="B64" i="3"/>
  <c r="A64" i="3"/>
  <c r="AC63" i="3"/>
  <c r="AB63" i="3"/>
  <c r="AA63" i="3"/>
  <c r="C63" i="3" s="1"/>
  <c r="Z63" i="3"/>
  <c r="B63" i="3" s="1"/>
  <c r="Y63" i="3"/>
  <c r="X63" i="3"/>
  <c r="W63" i="3"/>
  <c r="V63" i="3"/>
  <c r="U63" i="3"/>
  <c r="T63" i="3"/>
  <c r="S63" i="3"/>
  <c r="I63" i="1" s="1"/>
  <c r="R63" i="3"/>
  <c r="Q63" i="3"/>
  <c r="A63" i="3" s="1"/>
  <c r="E63" i="3"/>
  <c r="D63" i="3"/>
  <c r="AC62" i="3"/>
  <c r="E62" i="3" s="1"/>
  <c r="AB62" i="3"/>
  <c r="D62" i="3" s="1"/>
  <c r="AA62" i="3"/>
  <c r="C62" i="3" s="1"/>
  <c r="Z62" i="3"/>
  <c r="Y62" i="3"/>
  <c r="X62" i="3"/>
  <c r="W62" i="3"/>
  <c r="AH62" i="1" s="1"/>
  <c r="AP62" i="1" s="1"/>
  <c r="V62" i="3"/>
  <c r="U62" i="3"/>
  <c r="K62" i="1" s="1"/>
  <c r="T62" i="3"/>
  <c r="S62" i="3"/>
  <c r="R62" i="3"/>
  <c r="H62" i="1" s="1"/>
  <c r="Q62" i="3"/>
  <c r="A62" i="3" s="1"/>
  <c r="B62" i="3"/>
  <c r="AC61" i="3"/>
  <c r="E61" i="3" s="1"/>
  <c r="AB61" i="3"/>
  <c r="AA61" i="3"/>
  <c r="Z61" i="3"/>
  <c r="B61" i="3" s="1"/>
  <c r="Y61" i="3"/>
  <c r="AJ61" i="1" s="1"/>
  <c r="X61" i="3"/>
  <c r="W61" i="3"/>
  <c r="V61" i="3"/>
  <c r="U61" i="3"/>
  <c r="T61" i="3"/>
  <c r="J61" i="1" s="1"/>
  <c r="S61" i="3"/>
  <c r="R61" i="3"/>
  <c r="Q61" i="3"/>
  <c r="D61" i="3"/>
  <c r="C61" i="3"/>
  <c r="A61" i="3"/>
  <c r="AC60" i="3"/>
  <c r="AB60" i="3"/>
  <c r="D60" i="3" s="1"/>
  <c r="AA60" i="3"/>
  <c r="C60" i="3" s="1"/>
  <c r="Z60" i="3"/>
  <c r="B60" i="3" s="1"/>
  <c r="Y60" i="3"/>
  <c r="X60" i="3"/>
  <c r="W60" i="3"/>
  <c r="V60" i="3"/>
  <c r="AG60" i="1" s="1"/>
  <c r="U60" i="3"/>
  <c r="K60" i="1" s="1"/>
  <c r="T60" i="3"/>
  <c r="S60" i="3"/>
  <c r="R60" i="3"/>
  <c r="Q60" i="3"/>
  <c r="A60" i="3" s="1"/>
  <c r="E60" i="3"/>
  <c r="AC59" i="3"/>
  <c r="E59" i="3" s="1"/>
  <c r="AB59" i="3"/>
  <c r="D59" i="3" s="1"/>
  <c r="AA59" i="3"/>
  <c r="C59" i="3" s="1"/>
  <c r="Z59" i="3"/>
  <c r="Y59" i="3"/>
  <c r="X59" i="3"/>
  <c r="W59" i="3"/>
  <c r="V59" i="3"/>
  <c r="U59" i="3"/>
  <c r="T59" i="3"/>
  <c r="S59" i="3"/>
  <c r="R59" i="3"/>
  <c r="Q59" i="3"/>
  <c r="B59" i="3"/>
  <c r="A59" i="3"/>
  <c r="AC58" i="3"/>
  <c r="E58" i="3" s="1"/>
  <c r="AB58" i="3"/>
  <c r="AA58" i="3"/>
  <c r="Z58" i="3"/>
  <c r="Y58" i="3"/>
  <c r="X58" i="3"/>
  <c r="W58" i="3"/>
  <c r="V58" i="3"/>
  <c r="U58" i="3"/>
  <c r="T58" i="3"/>
  <c r="S58" i="3"/>
  <c r="R58" i="3"/>
  <c r="Q58" i="3"/>
  <c r="D58" i="3"/>
  <c r="C58" i="3"/>
  <c r="B58" i="3"/>
  <c r="A58" i="3"/>
  <c r="AC57" i="3"/>
  <c r="AB57" i="3"/>
  <c r="D57" i="3" s="1"/>
  <c r="AA57" i="3"/>
  <c r="C57" i="3" s="1"/>
  <c r="Z57" i="3"/>
  <c r="B57" i="3" s="1"/>
  <c r="Y57" i="3"/>
  <c r="X57" i="3"/>
  <c r="W57" i="3"/>
  <c r="V57" i="3"/>
  <c r="U57" i="3"/>
  <c r="T57" i="3"/>
  <c r="S57" i="3"/>
  <c r="R57" i="3"/>
  <c r="Q57" i="3"/>
  <c r="E57" i="3"/>
  <c r="A57" i="3"/>
  <c r="AC56" i="3"/>
  <c r="E56" i="3" s="1"/>
  <c r="AB56" i="3"/>
  <c r="D56" i="3" s="1"/>
  <c r="AA56" i="3"/>
  <c r="Z56" i="3"/>
  <c r="Y56" i="3"/>
  <c r="X56" i="3"/>
  <c r="W56" i="3"/>
  <c r="V56" i="3"/>
  <c r="U56" i="3"/>
  <c r="T56" i="3"/>
  <c r="S56" i="3"/>
  <c r="R56" i="3"/>
  <c r="H56" i="1" s="1"/>
  <c r="Q56" i="3"/>
  <c r="AE56" i="1" s="1"/>
  <c r="C56" i="3"/>
  <c r="B56" i="3"/>
  <c r="A56" i="3"/>
  <c r="AC55" i="3"/>
  <c r="AB55" i="3"/>
  <c r="AA55" i="3"/>
  <c r="C55" i="3" s="1"/>
  <c r="Z55" i="3"/>
  <c r="B55" i="3" s="1"/>
  <c r="Y55" i="3"/>
  <c r="X55" i="3"/>
  <c r="W55" i="3"/>
  <c r="V55" i="3"/>
  <c r="U55" i="3"/>
  <c r="T55" i="3"/>
  <c r="S55" i="3"/>
  <c r="R55" i="3"/>
  <c r="Q55" i="3"/>
  <c r="A55" i="3" s="1"/>
  <c r="E55" i="3"/>
  <c r="D55" i="3"/>
  <c r="AC54" i="3"/>
  <c r="E54" i="3" s="1"/>
  <c r="AB54" i="3"/>
  <c r="D54" i="3" s="1"/>
  <c r="AA54" i="3"/>
  <c r="C54" i="3" s="1"/>
  <c r="Z54" i="3"/>
  <c r="Y54" i="3"/>
  <c r="X54" i="3"/>
  <c r="W54" i="3"/>
  <c r="V54" i="3"/>
  <c r="AG54" i="1" s="1"/>
  <c r="U54" i="3"/>
  <c r="T54" i="3"/>
  <c r="S54" i="3"/>
  <c r="R54" i="3"/>
  <c r="Q54" i="3"/>
  <c r="B54" i="3"/>
  <c r="AC53" i="3"/>
  <c r="E53" i="3" s="1"/>
  <c r="AB53" i="3"/>
  <c r="AA53" i="3"/>
  <c r="Z53" i="3"/>
  <c r="B53" i="3" s="1"/>
  <c r="Y53" i="3"/>
  <c r="X53" i="3"/>
  <c r="AI53" i="1" s="1"/>
  <c r="W53" i="3"/>
  <c r="AH53" i="1" s="1"/>
  <c r="V53" i="3"/>
  <c r="U53" i="3"/>
  <c r="T53" i="3"/>
  <c r="S53" i="3"/>
  <c r="R53" i="3"/>
  <c r="H53" i="1" s="1"/>
  <c r="Q53" i="3"/>
  <c r="D53" i="3"/>
  <c r="C53" i="3"/>
  <c r="A53" i="3"/>
  <c r="AC52" i="3"/>
  <c r="AB52" i="3"/>
  <c r="D52" i="3" s="1"/>
  <c r="AA52" i="3"/>
  <c r="C52" i="3" s="1"/>
  <c r="Z52" i="3"/>
  <c r="B52" i="3" s="1"/>
  <c r="Y52" i="3"/>
  <c r="X52" i="3"/>
  <c r="W52" i="3"/>
  <c r="V52" i="3"/>
  <c r="U52" i="3"/>
  <c r="T52" i="3"/>
  <c r="S52" i="3"/>
  <c r="R52" i="3"/>
  <c r="Q52" i="3"/>
  <c r="A52" i="3" s="1"/>
  <c r="E52" i="3"/>
  <c r="AC51" i="3"/>
  <c r="E51" i="3" s="1"/>
  <c r="AB51" i="3"/>
  <c r="D51" i="3" s="1"/>
  <c r="AA51" i="3"/>
  <c r="C51" i="3" s="1"/>
  <c r="Z51" i="3"/>
  <c r="Y51" i="3"/>
  <c r="X51" i="3"/>
  <c r="AI51" i="1" s="1"/>
  <c r="AQ52" i="1" s="1"/>
  <c r="W51" i="3"/>
  <c r="V51" i="3"/>
  <c r="AG51" i="1" s="1"/>
  <c r="U51" i="3"/>
  <c r="T51" i="3"/>
  <c r="S51" i="3"/>
  <c r="R51" i="3"/>
  <c r="Q51" i="3"/>
  <c r="B51" i="3"/>
  <c r="A51" i="3"/>
  <c r="AC50" i="3"/>
  <c r="E50" i="3" s="1"/>
  <c r="AB50" i="3"/>
  <c r="AA50" i="3"/>
  <c r="Z50" i="3"/>
  <c r="B50" i="3" s="1"/>
  <c r="Y50" i="3"/>
  <c r="X50" i="3"/>
  <c r="W50" i="3"/>
  <c r="V50" i="3"/>
  <c r="U50" i="3"/>
  <c r="K50" i="1" s="1"/>
  <c r="T50" i="3"/>
  <c r="S50" i="3"/>
  <c r="R50" i="3"/>
  <c r="Q50" i="3"/>
  <c r="D50" i="3"/>
  <c r="C50" i="3"/>
  <c r="A50" i="3"/>
  <c r="AC49" i="3"/>
  <c r="AB49" i="3"/>
  <c r="D49" i="3" s="1"/>
  <c r="AA49" i="3"/>
  <c r="C49" i="3" s="1"/>
  <c r="Z49" i="3"/>
  <c r="B49" i="3" s="1"/>
  <c r="Y49" i="3"/>
  <c r="X49" i="3"/>
  <c r="W49" i="3"/>
  <c r="V49" i="3"/>
  <c r="U49" i="3"/>
  <c r="T49" i="3"/>
  <c r="S49" i="3"/>
  <c r="R49" i="3"/>
  <c r="Q49" i="3"/>
  <c r="E49" i="3"/>
  <c r="A49" i="3"/>
  <c r="AC48" i="3"/>
  <c r="E48" i="3" s="1"/>
  <c r="AB48" i="3"/>
  <c r="D48" i="3" s="1"/>
  <c r="AA48" i="3"/>
  <c r="Z48" i="3"/>
  <c r="Y48" i="3"/>
  <c r="X48" i="3"/>
  <c r="W48" i="3"/>
  <c r="V48" i="3"/>
  <c r="U48" i="3"/>
  <c r="T48" i="3"/>
  <c r="S48" i="3"/>
  <c r="R48" i="3"/>
  <c r="Q48" i="3"/>
  <c r="C48" i="3"/>
  <c r="B48" i="3"/>
  <c r="A48" i="3"/>
  <c r="AC47" i="3"/>
  <c r="AB47" i="3"/>
  <c r="AA47" i="3"/>
  <c r="C47" i="3" s="1"/>
  <c r="Z47" i="3"/>
  <c r="B47" i="3" s="1"/>
  <c r="Y47" i="3"/>
  <c r="X47" i="3"/>
  <c r="W47" i="3"/>
  <c r="V47" i="3"/>
  <c r="U47" i="3"/>
  <c r="K47" i="1" s="1"/>
  <c r="T47" i="3"/>
  <c r="S47" i="3"/>
  <c r="R47" i="3"/>
  <c r="Q47" i="3"/>
  <c r="A47" i="3" s="1"/>
  <c r="E47" i="3"/>
  <c r="D47" i="3"/>
  <c r="AC46" i="3"/>
  <c r="AB46" i="3"/>
  <c r="D46" i="3" s="1"/>
  <c r="AA46" i="3"/>
  <c r="C46" i="3" s="1"/>
  <c r="Z46" i="3"/>
  <c r="Y46" i="3"/>
  <c r="X46" i="3"/>
  <c r="W46" i="3"/>
  <c r="V46" i="3"/>
  <c r="AG46" i="1" s="1"/>
  <c r="U46" i="3"/>
  <c r="K46" i="1" s="1"/>
  <c r="T46" i="3"/>
  <c r="S46" i="3"/>
  <c r="R46" i="3"/>
  <c r="Q46" i="3"/>
  <c r="A46" i="3" s="1"/>
  <c r="E46" i="3"/>
  <c r="B46" i="3"/>
  <c r="AC45" i="3"/>
  <c r="E45" i="3" s="1"/>
  <c r="AB45" i="3"/>
  <c r="AA45" i="3"/>
  <c r="Z45" i="3"/>
  <c r="B45" i="3" s="1"/>
  <c r="Y45" i="3"/>
  <c r="X45" i="3"/>
  <c r="W45" i="3"/>
  <c r="AH45" i="1" s="1"/>
  <c r="V45" i="3"/>
  <c r="U45" i="3"/>
  <c r="T45" i="3"/>
  <c r="J45" i="1" s="1"/>
  <c r="S45" i="3"/>
  <c r="R45" i="3"/>
  <c r="Q45" i="3"/>
  <c r="D45" i="3"/>
  <c r="C45" i="3"/>
  <c r="A45" i="3"/>
  <c r="AC44" i="3"/>
  <c r="AB44" i="3"/>
  <c r="D44" i="3" s="1"/>
  <c r="AA44" i="3"/>
  <c r="C44" i="3" s="1"/>
  <c r="Z44" i="3"/>
  <c r="B44" i="3" s="1"/>
  <c r="Y44" i="3"/>
  <c r="X44" i="3"/>
  <c r="W44" i="3"/>
  <c r="V44" i="3"/>
  <c r="U44" i="3"/>
  <c r="K44" i="1" s="1"/>
  <c r="T44" i="3"/>
  <c r="J44" i="1" s="1"/>
  <c r="S44" i="3"/>
  <c r="R44" i="3"/>
  <c r="Q44" i="3"/>
  <c r="A44" i="3" s="1"/>
  <c r="E44" i="3"/>
  <c r="AC43" i="3"/>
  <c r="E43" i="3" s="1"/>
  <c r="AB43" i="3"/>
  <c r="D43" i="3" s="1"/>
  <c r="AA43" i="3"/>
  <c r="C43" i="3" s="1"/>
  <c r="Z43" i="3"/>
  <c r="Y43" i="3"/>
  <c r="X43" i="3"/>
  <c r="W43" i="3"/>
  <c r="V43" i="3"/>
  <c r="U43" i="3"/>
  <c r="T43" i="3"/>
  <c r="S43" i="3"/>
  <c r="I43" i="1" s="1"/>
  <c r="R43" i="3"/>
  <c r="Q43" i="3"/>
  <c r="B43" i="3"/>
  <c r="A43" i="3"/>
  <c r="AC42" i="3"/>
  <c r="E42" i="3" s="1"/>
  <c r="AB42" i="3"/>
  <c r="AA42" i="3"/>
  <c r="Z42" i="3"/>
  <c r="B42" i="3" s="1"/>
  <c r="Y42" i="3"/>
  <c r="X42" i="3"/>
  <c r="AI42" i="1" s="1"/>
  <c r="W42" i="3"/>
  <c r="V42" i="3"/>
  <c r="U42" i="3"/>
  <c r="T42" i="3"/>
  <c r="S42" i="3"/>
  <c r="R42" i="3"/>
  <c r="Q42" i="3"/>
  <c r="D42" i="3"/>
  <c r="C42" i="3"/>
  <c r="A42" i="3"/>
  <c r="AC41" i="3"/>
  <c r="AB41" i="3"/>
  <c r="D41" i="3" s="1"/>
  <c r="AA41" i="3"/>
  <c r="C41" i="3" s="1"/>
  <c r="Z41" i="3"/>
  <c r="B41" i="3" s="1"/>
  <c r="Y41" i="3"/>
  <c r="X41" i="3"/>
  <c r="W41" i="3"/>
  <c r="V41" i="3"/>
  <c r="U41" i="3"/>
  <c r="T41" i="3"/>
  <c r="S41" i="3"/>
  <c r="R41" i="3"/>
  <c r="Q41" i="3"/>
  <c r="A41" i="3" s="1"/>
  <c r="E41" i="3"/>
  <c r="AC40" i="3"/>
  <c r="E40" i="3" s="1"/>
  <c r="AB40" i="3"/>
  <c r="D40" i="3" s="1"/>
  <c r="AA40" i="3"/>
  <c r="Z40" i="3"/>
  <c r="Y40" i="3"/>
  <c r="X40" i="3"/>
  <c r="W40" i="3"/>
  <c r="V40" i="3"/>
  <c r="U40" i="3"/>
  <c r="T40" i="3"/>
  <c r="S40" i="3"/>
  <c r="R40" i="3"/>
  <c r="H40" i="1" s="1"/>
  <c r="Q40" i="3"/>
  <c r="C40" i="3"/>
  <c r="B40" i="3"/>
  <c r="AC39" i="3"/>
  <c r="AB39" i="3"/>
  <c r="AA39" i="3"/>
  <c r="C39" i="3" s="1"/>
  <c r="Z39" i="3"/>
  <c r="B39" i="3" s="1"/>
  <c r="Y39" i="3"/>
  <c r="X39" i="3"/>
  <c r="W39" i="3"/>
  <c r="V39" i="3"/>
  <c r="U39" i="3"/>
  <c r="T39" i="3"/>
  <c r="S39" i="3"/>
  <c r="I39" i="1" s="1"/>
  <c r="R39" i="3"/>
  <c r="Q39" i="3"/>
  <c r="A39" i="3" s="1"/>
  <c r="E39" i="3"/>
  <c r="D39" i="3"/>
  <c r="AC38" i="3"/>
  <c r="AB38" i="3"/>
  <c r="D38" i="3" s="1"/>
  <c r="AA38" i="3"/>
  <c r="C38" i="3" s="1"/>
  <c r="Z38" i="3"/>
  <c r="Y38" i="3"/>
  <c r="X38" i="3"/>
  <c r="W38" i="3"/>
  <c r="V38" i="3"/>
  <c r="AG38" i="1" s="1"/>
  <c r="U38" i="3"/>
  <c r="T38" i="3"/>
  <c r="S38" i="3"/>
  <c r="R38" i="3"/>
  <c r="Q38" i="3"/>
  <c r="E38" i="3"/>
  <c r="B38" i="3"/>
  <c r="AC37" i="3"/>
  <c r="E37" i="3" s="1"/>
  <c r="AB37" i="3"/>
  <c r="AA37" i="3"/>
  <c r="Z37" i="3"/>
  <c r="B37" i="3" s="1"/>
  <c r="Y37" i="3"/>
  <c r="X37" i="3"/>
  <c r="AI37" i="1" s="1"/>
  <c r="W37" i="3"/>
  <c r="AH37" i="1" s="1"/>
  <c r="AP37" i="1" s="1"/>
  <c r="V37" i="3"/>
  <c r="U37" i="3"/>
  <c r="T37" i="3"/>
  <c r="S37" i="3"/>
  <c r="R37" i="3"/>
  <c r="H37" i="1" s="1"/>
  <c r="Q37" i="3"/>
  <c r="D37" i="3"/>
  <c r="C37" i="3"/>
  <c r="A37" i="3"/>
  <c r="AC36" i="3"/>
  <c r="AB36" i="3"/>
  <c r="D36" i="3" s="1"/>
  <c r="AA36" i="3"/>
  <c r="C36" i="3" s="1"/>
  <c r="Z36" i="3"/>
  <c r="B36" i="3" s="1"/>
  <c r="Y36" i="3"/>
  <c r="X36" i="3"/>
  <c r="W36" i="3"/>
  <c r="V36" i="3"/>
  <c r="U36" i="3"/>
  <c r="K36" i="1" s="1"/>
  <c r="T36" i="3"/>
  <c r="S36" i="3"/>
  <c r="R36" i="3"/>
  <c r="Q36" i="3"/>
  <c r="A36" i="3" s="1"/>
  <c r="E36" i="3"/>
  <c r="AC35" i="3"/>
  <c r="E35" i="3" s="1"/>
  <c r="AB35" i="3"/>
  <c r="D35" i="3" s="1"/>
  <c r="AA35" i="3"/>
  <c r="C35" i="3" s="1"/>
  <c r="Z35" i="3"/>
  <c r="Y35" i="3"/>
  <c r="X35" i="3"/>
  <c r="AI35" i="1" s="1"/>
  <c r="AQ35" i="1" s="1"/>
  <c r="W35" i="3"/>
  <c r="V35" i="3"/>
  <c r="U35" i="3"/>
  <c r="T35" i="3"/>
  <c r="S35" i="3"/>
  <c r="I35" i="1" s="1"/>
  <c r="R35" i="3"/>
  <c r="Q35" i="3"/>
  <c r="B35" i="3"/>
  <c r="A35" i="3"/>
  <c r="AC34" i="3"/>
  <c r="E34" i="3" s="1"/>
  <c r="AB34" i="3"/>
  <c r="AA34" i="3"/>
  <c r="Z34" i="3"/>
  <c r="Y34" i="3"/>
  <c r="X34" i="3"/>
  <c r="AI34" i="1" s="1"/>
  <c r="W34" i="3"/>
  <c r="V34" i="3"/>
  <c r="U34" i="3"/>
  <c r="K34" i="1" s="1"/>
  <c r="T34" i="3"/>
  <c r="S34" i="3"/>
  <c r="R34" i="3"/>
  <c r="Q34" i="3"/>
  <c r="D34" i="3"/>
  <c r="C34" i="3"/>
  <c r="B34" i="3"/>
  <c r="A34" i="3"/>
  <c r="AC33" i="3"/>
  <c r="AB33" i="3"/>
  <c r="AA33" i="3"/>
  <c r="C33" i="3" s="1"/>
  <c r="Z33" i="3"/>
  <c r="B33" i="3" s="1"/>
  <c r="Y33" i="3"/>
  <c r="X33" i="3"/>
  <c r="W33" i="3"/>
  <c r="V33" i="3"/>
  <c r="U33" i="3"/>
  <c r="T33" i="3"/>
  <c r="S33" i="3"/>
  <c r="R33" i="3"/>
  <c r="Q33" i="3"/>
  <c r="E33" i="3"/>
  <c r="D33" i="3"/>
  <c r="A33" i="3"/>
  <c r="AC32" i="3"/>
  <c r="E32" i="3" s="1"/>
  <c r="AB32" i="3"/>
  <c r="D32" i="3" s="1"/>
  <c r="AA32" i="3"/>
  <c r="Z32" i="3"/>
  <c r="Y32" i="3"/>
  <c r="AJ32" i="1" s="1"/>
  <c r="X32" i="3"/>
  <c r="W32" i="3"/>
  <c r="V32" i="3"/>
  <c r="U32" i="3"/>
  <c r="T32" i="3"/>
  <c r="S32" i="3"/>
  <c r="I32" i="1" s="1"/>
  <c r="R32" i="3"/>
  <c r="Q32" i="3"/>
  <c r="C32" i="3"/>
  <c r="B32" i="3"/>
  <c r="A32" i="3"/>
  <c r="AC31" i="3"/>
  <c r="AB31" i="3"/>
  <c r="AA31" i="3"/>
  <c r="Z31" i="3"/>
  <c r="B31" i="3" s="1"/>
  <c r="Y31" i="3"/>
  <c r="X31" i="3"/>
  <c r="W31" i="3"/>
  <c r="V31" i="3"/>
  <c r="U31" i="3"/>
  <c r="T31" i="3"/>
  <c r="S31" i="3"/>
  <c r="R31" i="3"/>
  <c r="Q31" i="3"/>
  <c r="A31" i="3" s="1"/>
  <c r="E31" i="3"/>
  <c r="D31" i="3"/>
  <c r="C31" i="3"/>
  <c r="AC30" i="3"/>
  <c r="AB30" i="3"/>
  <c r="D30" i="3" s="1"/>
  <c r="AA30" i="3"/>
  <c r="C30" i="3" s="1"/>
  <c r="Z30" i="3"/>
  <c r="Y30" i="3"/>
  <c r="X30" i="3"/>
  <c r="W30" i="3"/>
  <c r="V30" i="3"/>
  <c r="U30" i="3"/>
  <c r="K30" i="1" s="1"/>
  <c r="T30" i="3"/>
  <c r="S30" i="3"/>
  <c r="R30" i="3"/>
  <c r="H30" i="1" s="1"/>
  <c r="Q30" i="3"/>
  <c r="A30" i="3" s="1"/>
  <c r="E30" i="3"/>
  <c r="B30" i="3"/>
  <c r="AC29" i="3"/>
  <c r="E29" i="3" s="1"/>
  <c r="AB29" i="3"/>
  <c r="AA29" i="3"/>
  <c r="Z29" i="3"/>
  <c r="B29" i="3" s="1"/>
  <c r="Y29" i="3"/>
  <c r="X29" i="3"/>
  <c r="W29" i="3"/>
  <c r="AH29" i="1" s="1"/>
  <c r="V29" i="3"/>
  <c r="U29" i="3"/>
  <c r="T29" i="3"/>
  <c r="J29" i="1" s="1"/>
  <c r="S29" i="3"/>
  <c r="R29" i="3"/>
  <c r="H29" i="1" s="1"/>
  <c r="Q29" i="3"/>
  <c r="D29" i="3"/>
  <c r="C29" i="3"/>
  <c r="A29" i="3"/>
  <c r="AC28" i="3"/>
  <c r="AB28" i="3"/>
  <c r="D28" i="3" s="1"/>
  <c r="AA28" i="3"/>
  <c r="C28" i="3" s="1"/>
  <c r="Z28" i="3"/>
  <c r="B28" i="3" s="1"/>
  <c r="Y28" i="3"/>
  <c r="X28" i="3"/>
  <c r="W28" i="3"/>
  <c r="V28" i="3"/>
  <c r="U28" i="3"/>
  <c r="K28" i="1" s="1"/>
  <c r="T28" i="3"/>
  <c r="J28" i="1" s="1"/>
  <c r="S28" i="3"/>
  <c r="R28" i="3"/>
  <c r="Q28" i="3"/>
  <c r="E28" i="3"/>
  <c r="AC27" i="3"/>
  <c r="E27" i="3" s="1"/>
  <c r="AB27" i="3"/>
  <c r="D27" i="3" s="1"/>
  <c r="AA27" i="3"/>
  <c r="C27" i="3" s="1"/>
  <c r="Z27" i="3"/>
  <c r="Y27" i="3"/>
  <c r="X27" i="3"/>
  <c r="W27" i="3"/>
  <c r="V27" i="3"/>
  <c r="AG27" i="1" s="1"/>
  <c r="U27" i="3"/>
  <c r="T27" i="3"/>
  <c r="S27" i="3"/>
  <c r="R27" i="3"/>
  <c r="Q27" i="3"/>
  <c r="B27" i="3"/>
  <c r="A27" i="3"/>
  <c r="AC26" i="3"/>
  <c r="E26" i="3" s="1"/>
  <c r="AB26" i="3"/>
  <c r="AA26" i="3"/>
  <c r="Z26" i="3"/>
  <c r="Y26" i="3"/>
  <c r="X26" i="3"/>
  <c r="W26" i="3"/>
  <c r="V26" i="3"/>
  <c r="U26" i="3"/>
  <c r="T26" i="3"/>
  <c r="S26" i="3"/>
  <c r="R26" i="3"/>
  <c r="Q26" i="3"/>
  <c r="D26" i="3"/>
  <c r="C26" i="3"/>
  <c r="B26" i="3"/>
  <c r="A26" i="3"/>
  <c r="AC25" i="3"/>
  <c r="AB25" i="3"/>
  <c r="AA25" i="3"/>
  <c r="C25" i="3" s="1"/>
  <c r="Z25" i="3"/>
  <c r="B25" i="3" s="1"/>
  <c r="Y25" i="3"/>
  <c r="X25" i="3"/>
  <c r="W25" i="3"/>
  <c r="V25" i="3"/>
  <c r="U25" i="3"/>
  <c r="T25" i="3"/>
  <c r="S25" i="3"/>
  <c r="R25" i="3"/>
  <c r="Q25" i="3"/>
  <c r="E25" i="3"/>
  <c r="D25" i="3"/>
  <c r="A25" i="3"/>
  <c r="AC24" i="3"/>
  <c r="E24" i="3" s="1"/>
  <c r="AB24" i="3"/>
  <c r="D24" i="3" s="1"/>
  <c r="AA24" i="3"/>
  <c r="Z24" i="3"/>
  <c r="Y24" i="3"/>
  <c r="X24" i="3"/>
  <c r="W24" i="3"/>
  <c r="V24" i="3"/>
  <c r="U24" i="3"/>
  <c r="T24" i="3"/>
  <c r="S24" i="3"/>
  <c r="R24" i="3"/>
  <c r="H24" i="1" s="1"/>
  <c r="Q24" i="3"/>
  <c r="AE24" i="1" s="1"/>
  <c r="C24" i="3"/>
  <c r="B24" i="3"/>
  <c r="A24" i="3"/>
  <c r="AC23" i="3"/>
  <c r="AB23" i="3"/>
  <c r="AA23" i="3"/>
  <c r="C23" i="3" s="1"/>
  <c r="Z23" i="3"/>
  <c r="B23" i="3" s="1"/>
  <c r="Y23" i="3"/>
  <c r="X23" i="3"/>
  <c r="W23" i="3"/>
  <c r="V23" i="3"/>
  <c r="U23" i="3"/>
  <c r="T23" i="3"/>
  <c r="S23" i="3"/>
  <c r="R23" i="3"/>
  <c r="Q23" i="3"/>
  <c r="A23" i="3" s="1"/>
  <c r="E23" i="3"/>
  <c r="D23" i="3"/>
  <c r="AC22" i="3"/>
  <c r="E22" i="3" s="1"/>
  <c r="AB22" i="3"/>
  <c r="D22" i="3" s="1"/>
  <c r="AA22" i="3"/>
  <c r="C22" i="3" s="1"/>
  <c r="Z22" i="3"/>
  <c r="Y22" i="3"/>
  <c r="X22" i="3"/>
  <c r="W22" i="3"/>
  <c r="AH22" i="1" s="1"/>
  <c r="V22" i="3"/>
  <c r="AG22" i="1" s="1"/>
  <c r="U22" i="3"/>
  <c r="T22" i="3"/>
  <c r="S22" i="3"/>
  <c r="R22" i="3"/>
  <c r="Q22" i="3"/>
  <c r="B22" i="3"/>
  <c r="AC21" i="3"/>
  <c r="E21" i="3" s="1"/>
  <c r="AB21" i="3"/>
  <c r="AA21" i="3"/>
  <c r="Z21" i="3"/>
  <c r="B21" i="3" s="1"/>
  <c r="Y21" i="3"/>
  <c r="X21" i="3"/>
  <c r="W21" i="3"/>
  <c r="AH21" i="1" s="1"/>
  <c r="V21" i="3"/>
  <c r="U21" i="3"/>
  <c r="T21" i="3"/>
  <c r="S21" i="3"/>
  <c r="R21" i="3"/>
  <c r="Q21" i="3"/>
  <c r="D21" i="3"/>
  <c r="C21" i="3"/>
  <c r="A21" i="3"/>
  <c r="AC20" i="3"/>
  <c r="AB20" i="3"/>
  <c r="D20" i="3" s="1"/>
  <c r="AA20" i="3"/>
  <c r="C20" i="3" s="1"/>
  <c r="Z20" i="3"/>
  <c r="B20" i="3" s="1"/>
  <c r="Y20" i="3"/>
  <c r="X20" i="3"/>
  <c r="W20" i="3"/>
  <c r="V20" i="3"/>
  <c r="AG20" i="1" s="1"/>
  <c r="U20" i="3"/>
  <c r="T20" i="3"/>
  <c r="S20" i="3"/>
  <c r="R20" i="3"/>
  <c r="Q20" i="3"/>
  <c r="A20" i="3" s="1"/>
  <c r="E20" i="3"/>
  <c r="AC19" i="3"/>
  <c r="E19" i="3" s="1"/>
  <c r="AB19" i="3"/>
  <c r="D19" i="3" s="1"/>
  <c r="AA19" i="3"/>
  <c r="C19" i="3" s="1"/>
  <c r="Z19" i="3"/>
  <c r="Y19" i="3"/>
  <c r="X19" i="3"/>
  <c r="W19" i="3"/>
  <c r="V19" i="3"/>
  <c r="U19" i="3"/>
  <c r="T19" i="3"/>
  <c r="S19" i="3"/>
  <c r="R19" i="3"/>
  <c r="Q19" i="3"/>
  <c r="B19" i="3"/>
  <c r="A19" i="3"/>
  <c r="AC18" i="3"/>
  <c r="E18" i="3" s="1"/>
  <c r="AB18" i="3"/>
  <c r="AA18" i="3"/>
  <c r="Z18" i="3"/>
  <c r="Y18" i="3"/>
  <c r="X18" i="3"/>
  <c r="W18" i="3"/>
  <c r="V18" i="3"/>
  <c r="U18" i="3"/>
  <c r="T18" i="3"/>
  <c r="S18" i="3"/>
  <c r="R18" i="3"/>
  <c r="Q18" i="3"/>
  <c r="D18" i="3"/>
  <c r="C18" i="3"/>
  <c r="B18" i="3"/>
  <c r="A18" i="3"/>
  <c r="AC17" i="3"/>
  <c r="AB17" i="3"/>
  <c r="D17" i="3" s="1"/>
  <c r="AA17" i="3"/>
  <c r="C17" i="3" s="1"/>
  <c r="Z17" i="3"/>
  <c r="B17" i="3" s="1"/>
  <c r="Y17" i="3"/>
  <c r="X17" i="3"/>
  <c r="W17" i="3"/>
  <c r="V17" i="3"/>
  <c r="U17" i="3"/>
  <c r="T17" i="3"/>
  <c r="S17" i="3"/>
  <c r="R17" i="3"/>
  <c r="Q17" i="3"/>
  <c r="E17" i="3"/>
  <c r="A17" i="3"/>
  <c r="AC16" i="3"/>
  <c r="E16" i="3" s="1"/>
  <c r="AB16" i="3"/>
  <c r="D16" i="3" s="1"/>
  <c r="AA16" i="3"/>
  <c r="Z16" i="3"/>
  <c r="Y16" i="3"/>
  <c r="AJ16" i="1" s="1"/>
  <c r="X16" i="3"/>
  <c r="W16" i="3"/>
  <c r="V16" i="3"/>
  <c r="U16" i="3"/>
  <c r="T16" i="3"/>
  <c r="S16" i="3"/>
  <c r="R16" i="3"/>
  <c r="Q16" i="3"/>
  <c r="C16" i="3"/>
  <c r="B16" i="3"/>
  <c r="A16" i="3"/>
  <c r="AC15" i="3"/>
  <c r="AB15" i="3"/>
  <c r="AA15" i="3"/>
  <c r="C15" i="3" s="1"/>
  <c r="Z15" i="3"/>
  <c r="B15" i="3" s="1"/>
  <c r="Y15" i="3"/>
  <c r="X15" i="3"/>
  <c r="W15" i="3"/>
  <c r="V15" i="3"/>
  <c r="U15" i="3"/>
  <c r="T15" i="3"/>
  <c r="S15" i="3"/>
  <c r="R15" i="3"/>
  <c r="Q15" i="3"/>
  <c r="A15" i="3" s="1"/>
  <c r="E15" i="3"/>
  <c r="D15" i="3"/>
  <c r="AC14" i="3"/>
  <c r="AB14" i="3"/>
  <c r="D14" i="3" s="1"/>
  <c r="AA14" i="3"/>
  <c r="C14" i="3" s="1"/>
  <c r="Z14" i="3"/>
  <c r="Y14" i="3"/>
  <c r="X14" i="3"/>
  <c r="W14" i="3"/>
  <c r="V14" i="3"/>
  <c r="U14" i="3"/>
  <c r="T14" i="3"/>
  <c r="S14" i="3"/>
  <c r="R14" i="3"/>
  <c r="H14" i="1" s="1"/>
  <c r="Q14" i="3"/>
  <c r="A14" i="3" s="1"/>
  <c r="E14" i="3"/>
  <c r="B14" i="3"/>
  <c r="AC13" i="3"/>
  <c r="E13" i="3" s="1"/>
  <c r="AB13" i="3"/>
  <c r="AA13" i="3"/>
  <c r="Z13" i="3"/>
  <c r="B13" i="3" s="1"/>
  <c r="Y13" i="3"/>
  <c r="AJ13" i="1" s="1"/>
  <c r="AR14" i="1" s="1"/>
  <c r="X13" i="3"/>
  <c r="W13" i="3"/>
  <c r="V13" i="3"/>
  <c r="U13" i="3"/>
  <c r="T13" i="3"/>
  <c r="S13" i="3"/>
  <c r="R13" i="3"/>
  <c r="Q13" i="3"/>
  <c r="D13" i="3"/>
  <c r="C13" i="3"/>
  <c r="A13" i="3"/>
  <c r="AC12" i="3"/>
  <c r="AB12" i="3"/>
  <c r="D12" i="3" s="1"/>
  <c r="AA12" i="3"/>
  <c r="C12" i="3" s="1"/>
  <c r="Z12" i="3"/>
  <c r="B12" i="3" s="1"/>
  <c r="Y12" i="3"/>
  <c r="AJ12" i="1" s="1"/>
  <c r="AR13" i="1" s="1"/>
  <c r="X12" i="3"/>
  <c r="W12" i="3"/>
  <c r="V12" i="3"/>
  <c r="U12" i="3"/>
  <c r="T12" i="3"/>
  <c r="S12" i="3"/>
  <c r="R12" i="3"/>
  <c r="Q12" i="3"/>
  <c r="A12" i="3" s="1"/>
  <c r="E12" i="3"/>
  <c r="AC11" i="3"/>
  <c r="E11" i="3" s="1"/>
  <c r="AB11" i="3"/>
  <c r="D11" i="3" s="1"/>
  <c r="AA11" i="3"/>
  <c r="C11" i="3" s="1"/>
  <c r="Z11" i="3"/>
  <c r="Y11" i="3"/>
  <c r="X11" i="3"/>
  <c r="W11" i="3"/>
  <c r="AH11" i="1" s="1"/>
  <c r="AP12" i="1" s="1"/>
  <c r="V11" i="3"/>
  <c r="U11" i="3"/>
  <c r="T11" i="3"/>
  <c r="S11" i="3"/>
  <c r="R11" i="3"/>
  <c r="Q11" i="3"/>
  <c r="B11" i="3"/>
  <c r="A11" i="3"/>
  <c r="AC10" i="3"/>
  <c r="E10" i="3" s="1"/>
  <c r="AB10" i="3"/>
  <c r="AA10" i="3"/>
  <c r="Z10" i="3"/>
  <c r="Y10" i="3"/>
  <c r="X10" i="3"/>
  <c r="AI10" i="1" s="1"/>
  <c r="W10" i="3"/>
  <c r="V10" i="3"/>
  <c r="U10" i="3"/>
  <c r="K10" i="1" s="1"/>
  <c r="T10" i="3"/>
  <c r="S10" i="3"/>
  <c r="R10" i="3"/>
  <c r="Q10" i="3"/>
  <c r="D10" i="3"/>
  <c r="C10" i="3"/>
  <c r="B10" i="3"/>
  <c r="A10" i="3"/>
  <c r="AC9" i="3"/>
  <c r="AB9" i="3"/>
  <c r="AA9" i="3"/>
  <c r="C9" i="3" s="1"/>
  <c r="Z9" i="3"/>
  <c r="B9" i="3" s="1"/>
  <c r="Y9" i="3"/>
  <c r="X9" i="3"/>
  <c r="W9" i="3"/>
  <c r="AH9" i="1" s="1"/>
  <c r="AP10" i="1" s="1"/>
  <c r="V9" i="3"/>
  <c r="U9" i="3"/>
  <c r="T9" i="3"/>
  <c r="S9" i="3"/>
  <c r="R9" i="3"/>
  <c r="Q9" i="3"/>
  <c r="E9" i="3"/>
  <c r="D9" i="3"/>
  <c r="AC8" i="3"/>
  <c r="E8" i="3" s="1"/>
  <c r="AB8" i="3"/>
  <c r="D8" i="3" s="1"/>
  <c r="AA8" i="3"/>
  <c r="Z8" i="3"/>
  <c r="Y8" i="3"/>
  <c r="X8" i="3"/>
  <c r="W8" i="3"/>
  <c r="V8" i="3"/>
  <c r="U8" i="3"/>
  <c r="T8" i="3"/>
  <c r="S8" i="3"/>
  <c r="I8" i="1" s="1"/>
  <c r="R8" i="3"/>
  <c r="Q8" i="3"/>
  <c r="A8" i="3" s="1"/>
  <c r="C8" i="3"/>
  <c r="B8" i="3"/>
  <c r="AC7" i="3"/>
  <c r="AB7" i="3"/>
  <c r="AA7" i="3"/>
  <c r="C7" i="3" s="1"/>
  <c r="Z7" i="3"/>
  <c r="B7" i="3" s="1"/>
  <c r="Y7" i="3"/>
  <c r="X7" i="3"/>
  <c r="W7" i="3"/>
  <c r="V7" i="3"/>
  <c r="U7" i="3"/>
  <c r="K7" i="1" s="1"/>
  <c r="T7" i="3"/>
  <c r="S7" i="3"/>
  <c r="I7" i="1" s="1"/>
  <c r="R7" i="3"/>
  <c r="Q7" i="3"/>
  <c r="A7" i="3" s="1"/>
  <c r="E7" i="3"/>
  <c r="D7" i="3"/>
  <c r="AC6" i="3"/>
  <c r="E6" i="3" s="1"/>
  <c r="AB6" i="3"/>
  <c r="D6" i="3" s="1"/>
  <c r="AA6" i="3"/>
  <c r="C6" i="3" s="1"/>
  <c r="Z6" i="3"/>
  <c r="Y6" i="3"/>
  <c r="X6" i="3"/>
  <c r="W6" i="3"/>
  <c r="V6" i="3"/>
  <c r="AG6" i="1" s="1"/>
  <c r="U6" i="3"/>
  <c r="T6" i="3"/>
  <c r="S6" i="3"/>
  <c r="R6" i="3"/>
  <c r="Q6" i="3"/>
  <c r="B6" i="3"/>
  <c r="AC5" i="3"/>
  <c r="E5" i="3" s="1"/>
  <c r="AB5" i="3"/>
  <c r="AA5" i="3"/>
  <c r="Z5" i="3"/>
  <c r="B5" i="3" s="1"/>
  <c r="Y5" i="3"/>
  <c r="X5" i="3"/>
  <c r="W5" i="3"/>
  <c r="V5" i="3"/>
  <c r="U5" i="3"/>
  <c r="T5" i="3"/>
  <c r="S5" i="3"/>
  <c r="R5" i="3"/>
  <c r="H5" i="1" s="1"/>
  <c r="Q5" i="3"/>
  <c r="D5" i="3"/>
  <c r="C5" i="3"/>
  <c r="A5" i="3"/>
  <c r="AC4" i="3"/>
  <c r="AB4" i="3"/>
  <c r="D4" i="3" s="1"/>
  <c r="AA4" i="3"/>
  <c r="C4" i="3" s="1"/>
  <c r="Z4" i="3"/>
  <c r="B4" i="3" s="1"/>
  <c r="Y4" i="3"/>
  <c r="X4" i="3"/>
  <c r="W4" i="3"/>
  <c r="V4" i="3"/>
  <c r="U4" i="3"/>
  <c r="T4" i="3"/>
  <c r="S4" i="3"/>
  <c r="R4" i="3"/>
  <c r="Q4" i="3"/>
  <c r="E4" i="3"/>
  <c r="AC3" i="3"/>
  <c r="E3" i="3" s="1"/>
  <c r="AB3" i="3"/>
  <c r="D3" i="3" s="1"/>
  <c r="AA3" i="3"/>
  <c r="C3" i="3" s="1"/>
  <c r="Z3" i="3"/>
  <c r="Y3" i="3"/>
  <c r="X3" i="3"/>
  <c r="W3" i="3"/>
  <c r="V3" i="3"/>
  <c r="U3" i="3"/>
  <c r="T3" i="3"/>
  <c r="S3" i="3"/>
  <c r="I3" i="1" s="1"/>
  <c r="R3" i="3"/>
  <c r="Q3" i="3"/>
  <c r="B3" i="3"/>
  <c r="A3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AG84" i="2"/>
  <c r="AF84" i="2"/>
  <c r="AC84" i="1" s="1"/>
  <c r="AE84" i="2"/>
  <c r="AD84" i="2"/>
  <c r="AA84" i="1" s="1"/>
  <c r="AC84" i="2"/>
  <c r="AB84" i="2"/>
  <c r="AA84" i="2"/>
  <c r="Z84" i="2"/>
  <c r="B84" i="2" s="1"/>
  <c r="Y84" i="2"/>
  <c r="Z84" i="1" s="1"/>
  <c r="X84" i="2"/>
  <c r="W84" i="2"/>
  <c r="V84" i="2"/>
  <c r="W84" i="1" s="1"/>
  <c r="AK85" i="1" s="1"/>
  <c r="U84" i="2"/>
  <c r="T84" i="2"/>
  <c r="S84" i="2"/>
  <c r="R84" i="2"/>
  <c r="Q84" i="2"/>
  <c r="E84" i="2"/>
  <c r="D84" i="2"/>
  <c r="C84" i="2"/>
  <c r="A84" i="2"/>
  <c r="AG83" i="2"/>
  <c r="AD83" i="1" s="1"/>
  <c r="AF83" i="2"/>
  <c r="AE83" i="2"/>
  <c r="AB83" i="1" s="1"/>
  <c r="AD83" i="2"/>
  <c r="AC83" i="2"/>
  <c r="AB83" i="2"/>
  <c r="AA83" i="2"/>
  <c r="C83" i="2" s="1"/>
  <c r="Z83" i="2"/>
  <c r="B83" i="2" s="1"/>
  <c r="Y83" i="2"/>
  <c r="X83" i="2"/>
  <c r="W83" i="2"/>
  <c r="V83" i="2"/>
  <c r="U83" i="2"/>
  <c r="E83" i="1" s="1"/>
  <c r="T83" i="2"/>
  <c r="D83" i="1" s="1"/>
  <c r="S83" i="2"/>
  <c r="R83" i="2"/>
  <c r="Q83" i="2"/>
  <c r="A83" i="1" s="1"/>
  <c r="E83" i="2"/>
  <c r="D83" i="2"/>
  <c r="A83" i="2"/>
  <c r="AG82" i="2"/>
  <c r="AF82" i="2"/>
  <c r="AE82" i="2"/>
  <c r="AD82" i="2"/>
  <c r="AC82" i="2"/>
  <c r="E82" i="2" s="1"/>
  <c r="AB82" i="2"/>
  <c r="D82" i="2" s="1"/>
  <c r="AA82" i="2"/>
  <c r="C82" i="2" s="1"/>
  <c r="Z82" i="2"/>
  <c r="B82" i="2" s="1"/>
  <c r="Y82" i="2"/>
  <c r="X82" i="2"/>
  <c r="W82" i="2"/>
  <c r="X82" i="1" s="1"/>
  <c r="AL82" i="1" s="1"/>
  <c r="V82" i="2"/>
  <c r="U82" i="2"/>
  <c r="E82" i="1" s="1"/>
  <c r="T82" i="2"/>
  <c r="S82" i="2"/>
  <c r="R82" i="2"/>
  <c r="Q82" i="2"/>
  <c r="A82" i="2"/>
  <c r="AG81" i="2"/>
  <c r="AF81" i="2"/>
  <c r="AC81" i="1" s="1"/>
  <c r="AE81" i="2"/>
  <c r="AD81" i="2"/>
  <c r="AC81" i="2"/>
  <c r="E81" i="2" s="1"/>
  <c r="AB81" i="2"/>
  <c r="D81" i="2" s="1"/>
  <c r="AA81" i="2"/>
  <c r="C81" i="2" s="1"/>
  <c r="Z81" i="2"/>
  <c r="Y81" i="2"/>
  <c r="X81" i="2"/>
  <c r="W81" i="2"/>
  <c r="V81" i="2"/>
  <c r="U81" i="2"/>
  <c r="T81" i="2"/>
  <c r="S81" i="2"/>
  <c r="R81" i="2"/>
  <c r="Q81" i="2"/>
  <c r="B81" i="2"/>
  <c r="A81" i="2"/>
  <c r="AG80" i="2"/>
  <c r="AF80" i="2"/>
  <c r="AE80" i="2"/>
  <c r="AD80" i="2"/>
  <c r="AA80" i="1" s="1"/>
  <c r="AC80" i="2"/>
  <c r="E80" i="2" s="1"/>
  <c r="AB80" i="2"/>
  <c r="D80" i="2" s="1"/>
  <c r="AA80" i="2"/>
  <c r="Z80" i="2"/>
  <c r="Y80" i="2"/>
  <c r="X80" i="2"/>
  <c r="W80" i="2"/>
  <c r="V80" i="2"/>
  <c r="W80" i="1" s="1"/>
  <c r="U80" i="2"/>
  <c r="T80" i="2"/>
  <c r="S80" i="2"/>
  <c r="R80" i="2"/>
  <c r="B80" i="1" s="1"/>
  <c r="Q80" i="2"/>
  <c r="C80" i="2"/>
  <c r="B80" i="2"/>
  <c r="AG79" i="2"/>
  <c r="AF79" i="2"/>
  <c r="AE79" i="2"/>
  <c r="AD79" i="2"/>
  <c r="AC79" i="2"/>
  <c r="E79" i="2" s="1"/>
  <c r="AB79" i="2"/>
  <c r="D79" i="2" s="1"/>
  <c r="AA79" i="2"/>
  <c r="Z79" i="2"/>
  <c r="Y79" i="2"/>
  <c r="Z79" i="1" s="1"/>
  <c r="AN79" i="1" s="1"/>
  <c r="X79" i="2"/>
  <c r="W79" i="2"/>
  <c r="V79" i="2"/>
  <c r="U79" i="2"/>
  <c r="T79" i="2"/>
  <c r="S79" i="2"/>
  <c r="R79" i="2"/>
  <c r="Q79" i="2"/>
  <c r="C79" i="2"/>
  <c r="B79" i="2"/>
  <c r="A79" i="2"/>
  <c r="AG78" i="2"/>
  <c r="AF78" i="2"/>
  <c r="AE78" i="2"/>
  <c r="AB78" i="1" s="1"/>
  <c r="AD78" i="2"/>
  <c r="AC78" i="2"/>
  <c r="E78" i="2" s="1"/>
  <c r="AB78" i="2"/>
  <c r="AA78" i="2"/>
  <c r="Z78" i="2"/>
  <c r="B78" i="2" s="1"/>
  <c r="Y78" i="2"/>
  <c r="X78" i="2"/>
  <c r="W78" i="2"/>
  <c r="V78" i="2"/>
  <c r="U78" i="2"/>
  <c r="T78" i="2"/>
  <c r="D78" i="1" s="1"/>
  <c r="S78" i="2"/>
  <c r="C78" i="1" s="1"/>
  <c r="R78" i="2"/>
  <c r="B78" i="1" s="1"/>
  <c r="Q78" i="2"/>
  <c r="A78" i="2" s="1"/>
  <c r="D78" i="2"/>
  <c r="C78" i="2"/>
  <c r="AG77" i="2"/>
  <c r="AF77" i="2"/>
  <c r="AE77" i="2"/>
  <c r="AD77" i="2"/>
  <c r="AC77" i="2"/>
  <c r="AB77" i="2"/>
  <c r="AA77" i="2"/>
  <c r="C77" i="2" s="1"/>
  <c r="Z77" i="2"/>
  <c r="B77" i="2" s="1"/>
  <c r="Y77" i="2"/>
  <c r="X77" i="2"/>
  <c r="Y77" i="1" s="1"/>
  <c r="AM78" i="1" s="1"/>
  <c r="W77" i="2"/>
  <c r="V77" i="2"/>
  <c r="U77" i="2"/>
  <c r="T77" i="2"/>
  <c r="D77" i="1" s="1"/>
  <c r="S77" i="2"/>
  <c r="C77" i="1" s="1"/>
  <c r="R77" i="2"/>
  <c r="Q77" i="2"/>
  <c r="A77" i="2" s="1"/>
  <c r="E77" i="2"/>
  <c r="D77" i="2"/>
  <c r="AG76" i="2"/>
  <c r="AF76" i="2"/>
  <c r="AC76" i="1" s="1"/>
  <c r="AE76" i="2"/>
  <c r="AD76" i="2"/>
  <c r="AC76" i="2"/>
  <c r="AB76" i="2"/>
  <c r="AA76" i="2"/>
  <c r="C76" i="2" s="1"/>
  <c r="Z76" i="2"/>
  <c r="B76" i="2" s="1"/>
  <c r="Y76" i="2"/>
  <c r="X76" i="2"/>
  <c r="W76" i="2"/>
  <c r="V76" i="2"/>
  <c r="U76" i="2"/>
  <c r="E76" i="1" s="1"/>
  <c r="T76" i="2"/>
  <c r="S76" i="2"/>
  <c r="R76" i="2"/>
  <c r="Q76" i="2"/>
  <c r="E76" i="2"/>
  <c r="D76" i="2"/>
  <c r="A76" i="2"/>
  <c r="AG75" i="2"/>
  <c r="AF75" i="2"/>
  <c r="AC75" i="1" s="1"/>
  <c r="AE75" i="2"/>
  <c r="AB75" i="1" s="1"/>
  <c r="AD75" i="2"/>
  <c r="AC75" i="2"/>
  <c r="AB75" i="2"/>
  <c r="D75" i="2" s="1"/>
  <c r="AA75" i="2"/>
  <c r="C75" i="2" s="1"/>
  <c r="Z75" i="2"/>
  <c r="B75" i="2" s="1"/>
  <c r="Y75" i="2"/>
  <c r="X75" i="2"/>
  <c r="W75" i="2"/>
  <c r="V75" i="2"/>
  <c r="W75" i="1" s="1"/>
  <c r="U75" i="2"/>
  <c r="E75" i="1" s="1"/>
  <c r="T75" i="2"/>
  <c r="S75" i="2"/>
  <c r="R75" i="2"/>
  <c r="Q75" i="2"/>
  <c r="E75" i="2"/>
  <c r="AG74" i="2"/>
  <c r="AF74" i="2"/>
  <c r="AE74" i="2"/>
  <c r="AD74" i="2"/>
  <c r="AC74" i="2"/>
  <c r="E74" i="2" s="1"/>
  <c r="AB74" i="2"/>
  <c r="D74" i="2" s="1"/>
  <c r="AA74" i="2"/>
  <c r="C74" i="2" s="1"/>
  <c r="Z74" i="2"/>
  <c r="B74" i="2" s="1"/>
  <c r="Y74" i="2"/>
  <c r="X74" i="2"/>
  <c r="W74" i="2"/>
  <c r="X74" i="1" s="1"/>
  <c r="AL75" i="1" s="1"/>
  <c r="V74" i="2"/>
  <c r="W74" i="1" s="1"/>
  <c r="U74" i="2"/>
  <c r="T74" i="2"/>
  <c r="S74" i="2"/>
  <c r="R74" i="2"/>
  <c r="Q74" i="2"/>
  <c r="A74" i="2"/>
  <c r="AG73" i="2"/>
  <c r="AF73" i="2"/>
  <c r="AE73" i="2"/>
  <c r="AD73" i="2"/>
  <c r="AC73" i="2"/>
  <c r="E73" i="2" s="1"/>
  <c r="AB73" i="2"/>
  <c r="D73" i="2" s="1"/>
  <c r="AA73" i="2"/>
  <c r="C73" i="2" s="1"/>
  <c r="Z73" i="2"/>
  <c r="Y73" i="2"/>
  <c r="X73" i="2"/>
  <c r="Y73" i="1" s="1"/>
  <c r="W73" i="2"/>
  <c r="X73" i="1" s="1"/>
  <c r="V73" i="2"/>
  <c r="U73" i="2"/>
  <c r="T73" i="2"/>
  <c r="S73" i="2"/>
  <c r="R73" i="2"/>
  <c r="Q73" i="2"/>
  <c r="B73" i="2"/>
  <c r="A73" i="2"/>
  <c r="AG72" i="2"/>
  <c r="AF72" i="2"/>
  <c r="AE72" i="2"/>
  <c r="AD72" i="2"/>
  <c r="AC72" i="2"/>
  <c r="E72" i="2" s="1"/>
  <c r="AB72" i="2"/>
  <c r="D72" i="2" s="1"/>
  <c r="AA72" i="2"/>
  <c r="Z72" i="2"/>
  <c r="Y72" i="2"/>
  <c r="X72" i="2"/>
  <c r="Y72" i="1" s="1"/>
  <c r="W72" i="2"/>
  <c r="V72" i="2"/>
  <c r="W72" i="1" s="1"/>
  <c r="U72" i="2"/>
  <c r="T72" i="2"/>
  <c r="S72" i="2"/>
  <c r="C72" i="1" s="1"/>
  <c r="R72" i="2"/>
  <c r="Q72" i="2"/>
  <c r="A72" i="2" s="1"/>
  <c r="C72" i="2"/>
  <c r="B72" i="2"/>
  <c r="AG71" i="2"/>
  <c r="AF71" i="2"/>
  <c r="AE71" i="2"/>
  <c r="AD71" i="2"/>
  <c r="AA71" i="1" s="1"/>
  <c r="AC71" i="2"/>
  <c r="E71" i="2" s="1"/>
  <c r="AB71" i="2"/>
  <c r="D71" i="2" s="1"/>
  <c r="AA71" i="2"/>
  <c r="Z71" i="2"/>
  <c r="Y71" i="2"/>
  <c r="Z71" i="1" s="1"/>
  <c r="AN72" i="1" s="1"/>
  <c r="X71" i="2"/>
  <c r="W71" i="2"/>
  <c r="V71" i="2"/>
  <c r="U71" i="2"/>
  <c r="T71" i="2"/>
  <c r="S71" i="2"/>
  <c r="R71" i="2"/>
  <c r="Q71" i="2"/>
  <c r="C71" i="2"/>
  <c r="B71" i="2"/>
  <c r="A71" i="2"/>
  <c r="AG70" i="2"/>
  <c r="AF70" i="2"/>
  <c r="AE70" i="2"/>
  <c r="AB70" i="1" s="1"/>
  <c r="AD70" i="2"/>
  <c r="AA70" i="1" s="1"/>
  <c r="AC70" i="2"/>
  <c r="E70" i="2" s="1"/>
  <c r="AB70" i="2"/>
  <c r="AA70" i="2"/>
  <c r="Z70" i="2"/>
  <c r="B70" i="2" s="1"/>
  <c r="Y70" i="2"/>
  <c r="X70" i="2"/>
  <c r="W70" i="2"/>
  <c r="V70" i="2"/>
  <c r="U70" i="2"/>
  <c r="T70" i="2"/>
  <c r="S70" i="2"/>
  <c r="R70" i="2"/>
  <c r="B70" i="1" s="1"/>
  <c r="Q70" i="2"/>
  <c r="A70" i="2" s="1"/>
  <c r="D70" i="2"/>
  <c r="C70" i="2"/>
  <c r="AG69" i="2"/>
  <c r="AF69" i="2"/>
  <c r="AC69" i="1" s="1"/>
  <c r="AE69" i="2"/>
  <c r="AB69" i="1" s="1"/>
  <c r="AD69" i="2"/>
  <c r="AC69" i="2"/>
  <c r="AB69" i="2"/>
  <c r="AA69" i="2"/>
  <c r="C69" i="2" s="1"/>
  <c r="Z69" i="2"/>
  <c r="B69" i="2" s="1"/>
  <c r="Y69" i="2"/>
  <c r="X69" i="2"/>
  <c r="W69" i="2"/>
  <c r="V69" i="2"/>
  <c r="U69" i="2"/>
  <c r="T69" i="2"/>
  <c r="D69" i="1" s="1"/>
  <c r="S69" i="2"/>
  <c r="R69" i="2"/>
  <c r="Q69" i="2"/>
  <c r="A69" i="2" s="1"/>
  <c r="E69" i="2"/>
  <c r="D69" i="2"/>
  <c r="AG68" i="2"/>
  <c r="AF68" i="2"/>
  <c r="AC68" i="1" s="1"/>
  <c r="AE68" i="2"/>
  <c r="AD68" i="2"/>
  <c r="AC68" i="2"/>
  <c r="AB68" i="2"/>
  <c r="AA68" i="2"/>
  <c r="C68" i="2" s="1"/>
  <c r="Z68" i="2"/>
  <c r="B68" i="2" s="1"/>
  <c r="Y68" i="2"/>
  <c r="X68" i="2"/>
  <c r="W68" i="2"/>
  <c r="V68" i="2"/>
  <c r="W68" i="1" s="1"/>
  <c r="U68" i="2"/>
  <c r="T68" i="2"/>
  <c r="S68" i="2"/>
  <c r="R68" i="2"/>
  <c r="Q68" i="2"/>
  <c r="E68" i="2"/>
  <c r="D68" i="2"/>
  <c r="A68" i="2"/>
  <c r="AG67" i="2"/>
  <c r="AD67" i="1" s="1"/>
  <c r="AF67" i="2"/>
  <c r="AE67" i="2"/>
  <c r="AD67" i="2"/>
  <c r="AC67" i="2"/>
  <c r="AB67" i="2"/>
  <c r="D67" i="2" s="1"/>
  <c r="AA67" i="2"/>
  <c r="C67" i="2" s="1"/>
  <c r="Z67" i="2"/>
  <c r="B67" i="2" s="1"/>
  <c r="Y67" i="2"/>
  <c r="X67" i="2"/>
  <c r="W67" i="2"/>
  <c r="V67" i="2"/>
  <c r="U67" i="2"/>
  <c r="E67" i="1" s="1"/>
  <c r="T67" i="2"/>
  <c r="D67" i="1" s="1"/>
  <c r="S67" i="2"/>
  <c r="R67" i="2"/>
  <c r="Q67" i="2"/>
  <c r="A67" i="2" s="1"/>
  <c r="E67" i="2"/>
  <c r="AG66" i="2"/>
  <c r="AF66" i="2"/>
  <c r="AE66" i="2"/>
  <c r="AD66" i="2"/>
  <c r="AC66" i="2"/>
  <c r="E66" i="2" s="1"/>
  <c r="AB66" i="2"/>
  <c r="D66" i="2" s="1"/>
  <c r="AA66" i="2"/>
  <c r="C66" i="2" s="1"/>
  <c r="Z66" i="2"/>
  <c r="B66" i="2" s="1"/>
  <c r="Y66" i="2"/>
  <c r="X66" i="2"/>
  <c r="W66" i="2"/>
  <c r="X66" i="1" s="1"/>
  <c r="V66" i="2"/>
  <c r="U66" i="2"/>
  <c r="E66" i="1" s="1"/>
  <c r="T66" i="2"/>
  <c r="S66" i="2"/>
  <c r="R66" i="2"/>
  <c r="B66" i="1" s="1"/>
  <c r="Q66" i="2"/>
  <c r="A66" i="2"/>
  <c r="AG65" i="2"/>
  <c r="AD65" i="1" s="1"/>
  <c r="AF65" i="2"/>
  <c r="AE65" i="2"/>
  <c r="AD65" i="2"/>
  <c r="AC65" i="2"/>
  <c r="E65" i="2" s="1"/>
  <c r="AB65" i="2"/>
  <c r="D65" i="2" s="1"/>
  <c r="AA65" i="2"/>
  <c r="C65" i="2" s="1"/>
  <c r="Z65" i="2"/>
  <c r="Y65" i="2"/>
  <c r="X65" i="2"/>
  <c r="W65" i="2"/>
  <c r="V65" i="2"/>
  <c r="U65" i="2"/>
  <c r="T65" i="2"/>
  <c r="S65" i="2"/>
  <c r="R65" i="2"/>
  <c r="Q65" i="2"/>
  <c r="A65" i="1" s="1"/>
  <c r="V65" i="1" s="1"/>
  <c r="B65" i="2"/>
  <c r="A65" i="2"/>
  <c r="AG64" i="2"/>
  <c r="AF64" i="2"/>
  <c r="AE64" i="2"/>
  <c r="AD64" i="2"/>
  <c r="AA64" i="1" s="1"/>
  <c r="AC64" i="2"/>
  <c r="E64" i="2" s="1"/>
  <c r="AB64" i="2"/>
  <c r="D64" i="2" s="1"/>
  <c r="AA64" i="2"/>
  <c r="Z64" i="2"/>
  <c r="Y64" i="2"/>
  <c r="X64" i="2"/>
  <c r="Y64" i="1" s="1"/>
  <c r="W64" i="2"/>
  <c r="V64" i="2"/>
  <c r="U64" i="2"/>
  <c r="T64" i="2"/>
  <c r="S64" i="2"/>
  <c r="R64" i="2"/>
  <c r="B64" i="1" s="1"/>
  <c r="Q64" i="2"/>
  <c r="C64" i="2"/>
  <c r="B64" i="2"/>
  <c r="AG63" i="2"/>
  <c r="AF63" i="2"/>
  <c r="AE63" i="2"/>
  <c r="AD63" i="2"/>
  <c r="AC63" i="2"/>
  <c r="E63" i="2" s="1"/>
  <c r="AB63" i="2"/>
  <c r="D63" i="2" s="1"/>
  <c r="AA63" i="2"/>
  <c r="Z63" i="2"/>
  <c r="Y63" i="2"/>
  <c r="X63" i="2"/>
  <c r="W63" i="2"/>
  <c r="V63" i="2"/>
  <c r="U63" i="2"/>
  <c r="T63" i="2"/>
  <c r="D63" i="1" s="1"/>
  <c r="S63" i="2"/>
  <c r="C63" i="1" s="1"/>
  <c r="R63" i="2"/>
  <c r="Q63" i="2"/>
  <c r="C63" i="2"/>
  <c r="B63" i="2"/>
  <c r="A63" i="2"/>
  <c r="AG62" i="2"/>
  <c r="AF62" i="2"/>
  <c r="AE62" i="2"/>
  <c r="AD62" i="2"/>
  <c r="AC62" i="2"/>
  <c r="E62" i="2" s="1"/>
  <c r="AB62" i="2"/>
  <c r="AA62" i="2"/>
  <c r="Z62" i="2"/>
  <c r="Y62" i="2"/>
  <c r="Z62" i="1" s="1"/>
  <c r="X62" i="2"/>
  <c r="W62" i="2"/>
  <c r="V62" i="2"/>
  <c r="U62" i="2"/>
  <c r="T62" i="2"/>
  <c r="S62" i="2"/>
  <c r="C62" i="1" s="1"/>
  <c r="R62" i="2"/>
  <c r="B62" i="1" s="1"/>
  <c r="Q62" i="2"/>
  <c r="A62" i="2" s="1"/>
  <c r="D62" i="2"/>
  <c r="C62" i="2"/>
  <c r="B62" i="2"/>
  <c r="AG61" i="2"/>
  <c r="AF61" i="2"/>
  <c r="AC61" i="1" s="1"/>
  <c r="AE61" i="2"/>
  <c r="AD61" i="2"/>
  <c r="AC61" i="2"/>
  <c r="AB61" i="2"/>
  <c r="AA61" i="2"/>
  <c r="C61" i="2" s="1"/>
  <c r="Z61" i="2"/>
  <c r="B61" i="2" s="1"/>
  <c r="Y61" i="2"/>
  <c r="Z61" i="1" s="1"/>
  <c r="AN62" i="1" s="1"/>
  <c r="X61" i="2"/>
  <c r="W61" i="2"/>
  <c r="V61" i="2"/>
  <c r="U61" i="2"/>
  <c r="E61" i="1" s="1"/>
  <c r="T61" i="2"/>
  <c r="D61" i="1" s="1"/>
  <c r="S61" i="2"/>
  <c r="C61" i="1" s="1"/>
  <c r="R61" i="2"/>
  <c r="Q61" i="2"/>
  <c r="A61" i="2" s="1"/>
  <c r="E61" i="2"/>
  <c r="D61" i="2"/>
  <c r="AG60" i="2"/>
  <c r="AF60" i="2"/>
  <c r="AC60" i="1" s="1"/>
  <c r="AE60" i="2"/>
  <c r="AB60" i="1" s="1"/>
  <c r="AD60" i="2"/>
  <c r="AA60" i="1" s="1"/>
  <c r="AC60" i="2"/>
  <c r="AB60" i="2"/>
  <c r="AA60" i="2"/>
  <c r="Z60" i="2"/>
  <c r="B60" i="2" s="1"/>
  <c r="Y60" i="2"/>
  <c r="Z60" i="1" s="1"/>
  <c r="X60" i="2"/>
  <c r="W60" i="2"/>
  <c r="V60" i="2"/>
  <c r="U60" i="2"/>
  <c r="T60" i="2"/>
  <c r="S60" i="2"/>
  <c r="R60" i="2"/>
  <c r="Q60" i="2"/>
  <c r="E60" i="2"/>
  <c r="D60" i="2"/>
  <c r="C60" i="2"/>
  <c r="A60" i="2"/>
  <c r="AG59" i="2"/>
  <c r="AD59" i="1" s="1"/>
  <c r="AF59" i="2"/>
  <c r="AC59" i="1" s="1"/>
  <c r="AE59" i="2"/>
  <c r="AB59" i="1" s="1"/>
  <c r="AD59" i="2"/>
  <c r="AC59" i="2"/>
  <c r="AB59" i="2"/>
  <c r="D59" i="2" s="1"/>
  <c r="AA59" i="2"/>
  <c r="C59" i="2" s="1"/>
  <c r="Z59" i="2"/>
  <c r="B59" i="2" s="1"/>
  <c r="Y59" i="2"/>
  <c r="X59" i="2"/>
  <c r="W59" i="2"/>
  <c r="V59" i="2"/>
  <c r="U59" i="2"/>
  <c r="T59" i="2"/>
  <c r="S59" i="2"/>
  <c r="R59" i="2"/>
  <c r="Q59" i="2"/>
  <c r="E59" i="2"/>
  <c r="AG58" i="2"/>
  <c r="AF58" i="2"/>
  <c r="AE58" i="2"/>
  <c r="AD58" i="2"/>
  <c r="AC58" i="2"/>
  <c r="E58" i="2" s="1"/>
  <c r="AB58" i="2"/>
  <c r="D58" i="2" s="1"/>
  <c r="AA58" i="2"/>
  <c r="C58" i="2" s="1"/>
  <c r="Z58" i="2"/>
  <c r="B58" i="2" s="1"/>
  <c r="Y58" i="2"/>
  <c r="X58" i="2"/>
  <c r="W58" i="2"/>
  <c r="X58" i="1" s="1"/>
  <c r="V58" i="2"/>
  <c r="U58" i="2"/>
  <c r="E58" i="1" s="1"/>
  <c r="T58" i="2"/>
  <c r="S58" i="2"/>
  <c r="R58" i="2"/>
  <c r="B58" i="1" s="1"/>
  <c r="Q58" i="2"/>
  <c r="A58" i="2" s="1"/>
  <c r="AG57" i="2"/>
  <c r="AD57" i="1" s="1"/>
  <c r="AF57" i="2"/>
  <c r="AE57" i="2"/>
  <c r="AD57" i="2"/>
  <c r="AC57" i="2"/>
  <c r="AB57" i="2"/>
  <c r="D57" i="2" s="1"/>
  <c r="AA57" i="2"/>
  <c r="C57" i="2" s="1"/>
  <c r="Z57" i="2"/>
  <c r="Y57" i="2"/>
  <c r="X57" i="2"/>
  <c r="W57" i="2"/>
  <c r="X57" i="1" s="1"/>
  <c r="AL58" i="1" s="1"/>
  <c r="V57" i="2"/>
  <c r="U57" i="2"/>
  <c r="T57" i="2"/>
  <c r="S57" i="2"/>
  <c r="R57" i="2"/>
  <c r="Q57" i="2"/>
  <c r="A57" i="2" s="1"/>
  <c r="E57" i="2"/>
  <c r="B57" i="2"/>
  <c r="AG56" i="2"/>
  <c r="AF56" i="2"/>
  <c r="AE56" i="2"/>
  <c r="AD56" i="2"/>
  <c r="AA56" i="1" s="1"/>
  <c r="AC56" i="2"/>
  <c r="E56" i="2" s="1"/>
  <c r="AB56" i="2"/>
  <c r="D56" i="2" s="1"/>
  <c r="AA56" i="2"/>
  <c r="Z56" i="2"/>
  <c r="Y56" i="2"/>
  <c r="X56" i="2"/>
  <c r="W56" i="2"/>
  <c r="X56" i="1" s="1"/>
  <c r="AL57" i="1" s="1"/>
  <c r="V56" i="2"/>
  <c r="U56" i="2"/>
  <c r="T56" i="2"/>
  <c r="S56" i="2"/>
  <c r="C56" i="1" s="1"/>
  <c r="R56" i="2"/>
  <c r="Q56" i="2"/>
  <c r="A56" i="2" s="1"/>
  <c r="C56" i="2"/>
  <c r="B56" i="2"/>
  <c r="AG55" i="2"/>
  <c r="AF55" i="2"/>
  <c r="AE55" i="2"/>
  <c r="AD55" i="2"/>
  <c r="AC55" i="2"/>
  <c r="E55" i="2" s="1"/>
  <c r="AB55" i="2"/>
  <c r="D55" i="2" s="1"/>
  <c r="AA55" i="2"/>
  <c r="Z55" i="2"/>
  <c r="Y55" i="2"/>
  <c r="X55" i="2"/>
  <c r="Y55" i="1" s="1"/>
  <c r="W55" i="2"/>
  <c r="V55" i="2"/>
  <c r="U55" i="2"/>
  <c r="T55" i="2"/>
  <c r="S55" i="2"/>
  <c r="R55" i="2"/>
  <c r="Q55" i="2"/>
  <c r="C55" i="2"/>
  <c r="B55" i="2"/>
  <c r="A55" i="2"/>
  <c r="AG54" i="2"/>
  <c r="AF54" i="2"/>
  <c r="AE54" i="2"/>
  <c r="AB54" i="1" s="1"/>
  <c r="AD54" i="2"/>
  <c r="AC54" i="2"/>
  <c r="E54" i="2" s="1"/>
  <c r="AB54" i="2"/>
  <c r="AA54" i="2"/>
  <c r="Z54" i="2"/>
  <c r="B54" i="2" s="1"/>
  <c r="Y54" i="2"/>
  <c r="X54" i="2"/>
  <c r="W54" i="2"/>
  <c r="V54" i="2"/>
  <c r="U54" i="2"/>
  <c r="T54" i="2"/>
  <c r="D54" i="1" s="1"/>
  <c r="S54" i="2"/>
  <c r="R54" i="2"/>
  <c r="B54" i="1" s="1"/>
  <c r="Q54" i="2"/>
  <c r="A54" i="2" s="1"/>
  <c r="D54" i="2"/>
  <c r="C54" i="2"/>
  <c r="AG53" i="2"/>
  <c r="AF53" i="2"/>
  <c r="AE53" i="2"/>
  <c r="AD53" i="2"/>
  <c r="AC53" i="2"/>
  <c r="AB53" i="2"/>
  <c r="AA53" i="2"/>
  <c r="C53" i="2" s="1"/>
  <c r="Z53" i="2"/>
  <c r="B53" i="2" s="1"/>
  <c r="Y53" i="2"/>
  <c r="Z53" i="1" s="1"/>
  <c r="X53" i="2"/>
  <c r="Y53" i="1" s="1"/>
  <c r="AM53" i="1" s="1"/>
  <c r="W53" i="2"/>
  <c r="V53" i="2"/>
  <c r="U53" i="2"/>
  <c r="T53" i="2"/>
  <c r="S53" i="2"/>
  <c r="R53" i="2"/>
  <c r="Q53" i="2"/>
  <c r="A53" i="2" s="1"/>
  <c r="E53" i="2"/>
  <c r="D53" i="2"/>
  <c r="AG52" i="2"/>
  <c r="AF52" i="2"/>
  <c r="AE52" i="2"/>
  <c r="AD52" i="2"/>
  <c r="AA52" i="1" s="1"/>
  <c r="AC52" i="2"/>
  <c r="AB52" i="2"/>
  <c r="AA52" i="2"/>
  <c r="C52" i="2" s="1"/>
  <c r="Z52" i="2"/>
  <c r="B52" i="2" s="1"/>
  <c r="Y52" i="2"/>
  <c r="Z52" i="1" s="1"/>
  <c r="AN53" i="1" s="1"/>
  <c r="X52" i="2"/>
  <c r="W52" i="2"/>
  <c r="V52" i="2"/>
  <c r="U52" i="2"/>
  <c r="T52" i="2"/>
  <c r="S52" i="2"/>
  <c r="R52" i="2"/>
  <c r="Q52" i="2"/>
  <c r="E52" i="2"/>
  <c r="D52" i="2"/>
  <c r="A52" i="2"/>
  <c r="AG51" i="2"/>
  <c r="AF51" i="2"/>
  <c r="AE51" i="2"/>
  <c r="AD51" i="2"/>
  <c r="AC51" i="2"/>
  <c r="AB51" i="2"/>
  <c r="D51" i="2" s="1"/>
  <c r="AA51" i="2"/>
  <c r="C51" i="2" s="1"/>
  <c r="Z51" i="2"/>
  <c r="B51" i="2" s="1"/>
  <c r="Y51" i="2"/>
  <c r="X51" i="2"/>
  <c r="W51" i="2"/>
  <c r="V51" i="2"/>
  <c r="W51" i="1" s="1"/>
  <c r="AK52" i="1" s="1"/>
  <c r="U51" i="2"/>
  <c r="T51" i="2"/>
  <c r="S51" i="2"/>
  <c r="R51" i="2"/>
  <c r="Q51" i="2"/>
  <c r="A51" i="1" s="1"/>
  <c r="V51" i="1" s="1"/>
  <c r="E51" i="2"/>
  <c r="A51" i="2"/>
  <c r="AG50" i="2"/>
  <c r="AF50" i="2"/>
  <c r="AE50" i="2"/>
  <c r="AD50" i="2"/>
  <c r="AC50" i="2"/>
  <c r="AB50" i="2"/>
  <c r="D50" i="2" s="1"/>
  <c r="AA50" i="2"/>
  <c r="C50" i="2" s="1"/>
  <c r="Z50" i="2"/>
  <c r="B50" i="2" s="1"/>
  <c r="Y50" i="2"/>
  <c r="X50" i="2"/>
  <c r="W50" i="2"/>
  <c r="V50" i="2"/>
  <c r="U50" i="2"/>
  <c r="T50" i="2"/>
  <c r="S50" i="2"/>
  <c r="R50" i="2"/>
  <c r="B50" i="1" s="1"/>
  <c r="Q50" i="2"/>
  <c r="A50" i="2" s="1"/>
  <c r="E50" i="2"/>
  <c r="AG49" i="2"/>
  <c r="AD49" i="1" s="1"/>
  <c r="AF49" i="2"/>
  <c r="AE49" i="2"/>
  <c r="AD49" i="2"/>
  <c r="AC49" i="2"/>
  <c r="E49" i="2" s="1"/>
  <c r="AB49" i="2"/>
  <c r="D49" i="2" s="1"/>
  <c r="AA49" i="2"/>
  <c r="C49" i="2" s="1"/>
  <c r="Z49" i="2"/>
  <c r="Y49" i="2"/>
  <c r="X49" i="2"/>
  <c r="W49" i="2"/>
  <c r="X49" i="1" s="1"/>
  <c r="V49" i="2"/>
  <c r="U49" i="2"/>
  <c r="T49" i="2"/>
  <c r="S49" i="2"/>
  <c r="R49" i="2"/>
  <c r="Q49" i="2"/>
  <c r="A49" i="1" s="1"/>
  <c r="V49" i="1" s="1"/>
  <c r="B49" i="2"/>
  <c r="A49" i="2"/>
  <c r="AG48" i="2"/>
  <c r="AD48" i="1" s="1"/>
  <c r="AF48" i="2"/>
  <c r="AE48" i="2"/>
  <c r="AD48" i="2"/>
  <c r="AC48" i="2"/>
  <c r="E48" i="2" s="1"/>
  <c r="AB48" i="2"/>
  <c r="D48" i="2" s="1"/>
  <c r="AA48" i="2"/>
  <c r="Z48" i="2"/>
  <c r="Y48" i="2"/>
  <c r="X48" i="2"/>
  <c r="W48" i="2"/>
  <c r="V48" i="2"/>
  <c r="W48" i="1" s="1"/>
  <c r="U48" i="2"/>
  <c r="T48" i="2"/>
  <c r="S48" i="2"/>
  <c r="R48" i="2"/>
  <c r="Q48" i="2"/>
  <c r="A48" i="2" s="1"/>
  <c r="C48" i="2"/>
  <c r="B48" i="2"/>
  <c r="AG47" i="2"/>
  <c r="AF47" i="2"/>
  <c r="AE47" i="2"/>
  <c r="AD47" i="2"/>
  <c r="AC47" i="2"/>
  <c r="E47" i="2" s="1"/>
  <c r="AB47" i="2"/>
  <c r="D47" i="2" s="1"/>
  <c r="AA47" i="2"/>
  <c r="Z47" i="2"/>
  <c r="Y47" i="2"/>
  <c r="X47" i="2"/>
  <c r="Y47" i="1" s="1"/>
  <c r="W47" i="2"/>
  <c r="X47" i="1" s="1"/>
  <c r="AL47" i="1" s="1"/>
  <c r="V47" i="2"/>
  <c r="U47" i="2"/>
  <c r="T47" i="2"/>
  <c r="S47" i="2"/>
  <c r="C47" i="1" s="1"/>
  <c r="R47" i="2"/>
  <c r="Q47" i="2"/>
  <c r="C47" i="2"/>
  <c r="B47" i="2"/>
  <c r="A47" i="2"/>
  <c r="AG46" i="2"/>
  <c r="AF46" i="2"/>
  <c r="AE46" i="2"/>
  <c r="AD46" i="2"/>
  <c r="AC46" i="2"/>
  <c r="E46" i="2" s="1"/>
  <c r="AB46" i="2"/>
  <c r="AA46" i="2"/>
  <c r="Z46" i="2"/>
  <c r="B46" i="2" s="1"/>
  <c r="Y46" i="2"/>
  <c r="X46" i="2"/>
  <c r="W46" i="2"/>
  <c r="V46" i="2"/>
  <c r="U46" i="2"/>
  <c r="T46" i="2"/>
  <c r="S46" i="2"/>
  <c r="R46" i="2"/>
  <c r="Q46" i="2"/>
  <c r="A46" i="2" s="1"/>
  <c r="D46" i="2"/>
  <c r="C46" i="2"/>
  <c r="AG45" i="2"/>
  <c r="AF45" i="2"/>
  <c r="AE45" i="2"/>
  <c r="AD45" i="2"/>
  <c r="AC45" i="2"/>
  <c r="AB45" i="2"/>
  <c r="AA45" i="2"/>
  <c r="Z45" i="2"/>
  <c r="B45" i="2" s="1"/>
  <c r="Y45" i="2"/>
  <c r="Z45" i="1" s="1"/>
  <c r="X45" i="2"/>
  <c r="W45" i="2"/>
  <c r="V45" i="2"/>
  <c r="U45" i="2"/>
  <c r="T45" i="2"/>
  <c r="S45" i="2"/>
  <c r="R45" i="2"/>
  <c r="Q45" i="2"/>
  <c r="A45" i="2" s="1"/>
  <c r="E45" i="2"/>
  <c r="D45" i="2"/>
  <c r="C45" i="2"/>
  <c r="AG44" i="2"/>
  <c r="AF44" i="2"/>
  <c r="AC44" i="1" s="1"/>
  <c r="AE44" i="2"/>
  <c r="AB44" i="1" s="1"/>
  <c r="AD44" i="2"/>
  <c r="AC44" i="2"/>
  <c r="AB44" i="2"/>
  <c r="AA44" i="2"/>
  <c r="C44" i="2" s="1"/>
  <c r="Z44" i="2"/>
  <c r="B44" i="2" s="1"/>
  <c r="Y44" i="2"/>
  <c r="X44" i="2"/>
  <c r="W44" i="2"/>
  <c r="V44" i="2"/>
  <c r="U44" i="2"/>
  <c r="T44" i="2"/>
  <c r="S44" i="2"/>
  <c r="R44" i="2"/>
  <c r="Q44" i="2"/>
  <c r="E44" i="2"/>
  <c r="D44" i="2"/>
  <c r="A44" i="2"/>
  <c r="AG43" i="2"/>
  <c r="AF43" i="2"/>
  <c r="AC43" i="1" s="1"/>
  <c r="AE43" i="2"/>
  <c r="AB43" i="1" s="1"/>
  <c r="AD43" i="2"/>
  <c r="AC43" i="2"/>
  <c r="AB43" i="2"/>
  <c r="AA43" i="2"/>
  <c r="C43" i="2" s="1"/>
  <c r="Z43" i="2"/>
  <c r="B43" i="2" s="1"/>
  <c r="Y43" i="2"/>
  <c r="X43" i="2"/>
  <c r="W43" i="2"/>
  <c r="V43" i="2"/>
  <c r="U43" i="2"/>
  <c r="T43" i="2"/>
  <c r="D43" i="1" s="1"/>
  <c r="S43" i="2"/>
  <c r="R43" i="2"/>
  <c r="Q43" i="2"/>
  <c r="A43" i="1" s="1"/>
  <c r="V43" i="1" s="1"/>
  <c r="E43" i="2"/>
  <c r="D43" i="2"/>
  <c r="A43" i="2"/>
  <c r="AG42" i="2"/>
  <c r="AF42" i="2"/>
  <c r="AE42" i="2"/>
  <c r="AD42" i="2"/>
  <c r="AC42" i="2"/>
  <c r="AB42" i="2"/>
  <c r="D42" i="2" s="1"/>
  <c r="AA42" i="2"/>
  <c r="C42" i="2" s="1"/>
  <c r="Z42" i="2"/>
  <c r="B42" i="2" s="1"/>
  <c r="Y42" i="2"/>
  <c r="X42" i="2"/>
  <c r="W42" i="2"/>
  <c r="V42" i="2"/>
  <c r="U42" i="2"/>
  <c r="T42" i="2"/>
  <c r="S42" i="2"/>
  <c r="R42" i="2"/>
  <c r="B42" i="1" s="1"/>
  <c r="Q42" i="2"/>
  <c r="E42" i="2"/>
  <c r="A42" i="2"/>
  <c r="AG41" i="2"/>
  <c r="AD41" i="1" s="1"/>
  <c r="AF41" i="2"/>
  <c r="AE41" i="2"/>
  <c r="AD41" i="2"/>
  <c r="AC41" i="2"/>
  <c r="E41" i="2" s="1"/>
  <c r="AB41" i="2"/>
  <c r="D41" i="2" s="1"/>
  <c r="AA41" i="2"/>
  <c r="C41" i="2" s="1"/>
  <c r="Z41" i="2"/>
  <c r="Y41" i="2"/>
  <c r="X41" i="2"/>
  <c r="W41" i="2"/>
  <c r="V41" i="2"/>
  <c r="U41" i="2"/>
  <c r="T41" i="2"/>
  <c r="S41" i="2"/>
  <c r="R41" i="2"/>
  <c r="Q41" i="2"/>
  <c r="B41" i="2"/>
  <c r="A41" i="2"/>
  <c r="AG40" i="2"/>
  <c r="AD40" i="1" s="1"/>
  <c r="AF40" i="2"/>
  <c r="AE40" i="2"/>
  <c r="AD40" i="2"/>
  <c r="AC40" i="2"/>
  <c r="E40" i="2" s="1"/>
  <c r="AB40" i="2"/>
  <c r="D40" i="2" s="1"/>
  <c r="AA40" i="2"/>
  <c r="Z40" i="2"/>
  <c r="Y40" i="2"/>
  <c r="X40" i="2"/>
  <c r="W40" i="2"/>
  <c r="V40" i="2"/>
  <c r="U40" i="2"/>
  <c r="T40" i="2"/>
  <c r="S40" i="2"/>
  <c r="R40" i="2"/>
  <c r="Q40" i="2"/>
  <c r="A40" i="2" s="1"/>
  <c r="C40" i="2"/>
  <c r="B40" i="2"/>
  <c r="AG39" i="2"/>
  <c r="AF39" i="2"/>
  <c r="AE39" i="2"/>
  <c r="AD39" i="2"/>
  <c r="AC39" i="2"/>
  <c r="E39" i="2" s="1"/>
  <c r="AB39" i="2"/>
  <c r="D39" i="2" s="1"/>
  <c r="AA39" i="2"/>
  <c r="Z39" i="2"/>
  <c r="Y39" i="2"/>
  <c r="X39" i="2"/>
  <c r="W39" i="2"/>
  <c r="V39" i="2"/>
  <c r="U39" i="2"/>
  <c r="T39" i="2"/>
  <c r="D39" i="1" s="1"/>
  <c r="S39" i="2"/>
  <c r="C39" i="1" s="1"/>
  <c r="R39" i="2"/>
  <c r="Q39" i="2"/>
  <c r="C39" i="2"/>
  <c r="B39" i="2"/>
  <c r="A39" i="2"/>
  <c r="AG38" i="2"/>
  <c r="AF38" i="2"/>
  <c r="AE38" i="2"/>
  <c r="AD38" i="2"/>
  <c r="AC38" i="2"/>
  <c r="E38" i="2" s="1"/>
  <c r="AB38" i="2"/>
  <c r="AA38" i="2"/>
  <c r="Z38" i="2"/>
  <c r="B38" i="2" s="1"/>
  <c r="Y38" i="2"/>
  <c r="X38" i="2"/>
  <c r="W38" i="2"/>
  <c r="V38" i="2"/>
  <c r="U38" i="2"/>
  <c r="T38" i="2"/>
  <c r="D38" i="1" s="1"/>
  <c r="S38" i="2"/>
  <c r="R38" i="2"/>
  <c r="B38" i="1" s="1"/>
  <c r="Q38" i="2"/>
  <c r="A38" i="2" s="1"/>
  <c r="D38" i="2"/>
  <c r="C38" i="2"/>
  <c r="AG37" i="2"/>
  <c r="AF37" i="2"/>
  <c r="AE37" i="2"/>
  <c r="AD37" i="2"/>
  <c r="AC37" i="2"/>
  <c r="AB37" i="2"/>
  <c r="AA37" i="2"/>
  <c r="Z37" i="2"/>
  <c r="B37" i="2" s="1"/>
  <c r="Y37" i="2"/>
  <c r="X37" i="2"/>
  <c r="Y37" i="1" s="1"/>
  <c r="W37" i="2"/>
  <c r="V37" i="2"/>
  <c r="U37" i="2"/>
  <c r="T37" i="2"/>
  <c r="S37" i="2"/>
  <c r="R37" i="2"/>
  <c r="Q37" i="2"/>
  <c r="E37" i="2"/>
  <c r="D37" i="2"/>
  <c r="C37" i="2"/>
  <c r="A37" i="2"/>
  <c r="AG36" i="2"/>
  <c r="AF36" i="2"/>
  <c r="AC36" i="1" s="1"/>
  <c r="AE36" i="2"/>
  <c r="AB36" i="1" s="1"/>
  <c r="AD36" i="2"/>
  <c r="AC36" i="2"/>
  <c r="AB36" i="2"/>
  <c r="AA36" i="2"/>
  <c r="C36" i="2" s="1"/>
  <c r="Z36" i="2"/>
  <c r="B36" i="2" s="1"/>
  <c r="Y36" i="2"/>
  <c r="Z36" i="1" s="1"/>
  <c r="AN36" i="1" s="1"/>
  <c r="X36" i="2"/>
  <c r="W36" i="2"/>
  <c r="V36" i="2"/>
  <c r="U36" i="2"/>
  <c r="T36" i="2"/>
  <c r="S36" i="2"/>
  <c r="R36" i="2"/>
  <c r="Q36" i="2"/>
  <c r="E36" i="2"/>
  <c r="D36" i="2"/>
  <c r="A36" i="2"/>
  <c r="AG35" i="2"/>
  <c r="AF35" i="2"/>
  <c r="AE35" i="2"/>
  <c r="AB35" i="1" s="1"/>
  <c r="AD35" i="2"/>
  <c r="AC35" i="2"/>
  <c r="AB35" i="2"/>
  <c r="AA35" i="2"/>
  <c r="C35" i="2" s="1"/>
  <c r="Z35" i="2"/>
  <c r="B35" i="2" s="1"/>
  <c r="Y35" i="2"/>
  <c r="X35" i="2"/>
  <c r="W35" i="2"/>
  <c r="V35" i="2"/>
  <c r="U35" i="2"/>
  <c r="E35" i="1" s="1"/>
  <c r="T35" i="2"/>
  <c r="D35" i="1" s="1"/>
  <c r="S35" i="2"/>
  <c r="R35" i="2"/>
  <c r="Q35" i="2"/>
  <c r="E35" i="2"/>
  <c r="D35" i="2"/>
  <c r="A35" i="2"/>
  <c r="AG34" i="2"/>
  <c r="AF34" i="2"/>
  <c r="AE34" i="2"/>
  <c r="AD34" i="2"/>
  <c r="AC34" i="2"/>
  <c r="AB34" i="2"/>
  <c r="D34" i="2" s="1"/>
  <c r="AA34" i="2"/>
  <c r="C34" i="2" s="1"/>
  <c r="Z34" i="2"/>
  <c r="B34" i="2" s="1"/>
  <c r="Y34" i="2"/>
  <c r="X34" i="2"/>
  <c r="W34" i="2"/>
  <c r="V34" i="2"/>
  <c r="W34" i="1" s="1"/>
  <c r="AK35" i="1" s="1"/>
  <c r="U34" i="2"/>
  <c r="E34" i="1" s="1"/>
  <c r="T34" i="2"/>
  <c r="S34" i="2"/>
  <c r="R34" i="2"/>
  <c r="Q34" i="2"/>
  <c r="A34" i="2" s="1"/>
  <c r="E34" i="2"/>
  <c r="AG33" i="2"/>
  <c r="AF33" i="2"/>
  <c r="AE33" i="2"/>
  <c r="AD33" i="2"/>
  <c r="AC33" i="2"/>
  <c r="E33" i="2" s="1"/>
  <c r="AB33" i="2"/>
  <c r="D33" i="2" s="1"/>
  <c r="AA33" i="2"/>
  <c r="C33" i="2" s="1"/>
  <c r="Z33" i="2"/>
  <c r="Y33" i="2"/>
  <c r="X33" i="2"/>
  <c r="W33" i="2"/>
  <c r="V33" i="2"/>
  <c r="U33" i="2"/>
  <c r="T33" i="2"/>
  <c r="S33" i="2"/>
  <c r="R33" i="2"/>
  <c r="Q33" i="2"/>
  <c r="A33" i="2" s="1"/>
  <c r="B33" i="2"/>
  <c r="AG32" i="2"/>
  <c r="AF32" i="2"/>
  <c r="AE32" i="2"/>
  <c r="AD32" i="2"/>
  <c r="AC32" i="2"/>
  <c r="E32" i="2" s="1"/>
  <c r="AB32" i="2"/>
  <c r="D32" i="2" s="1"/>
  <c r="AA32" i="2"/>
  <c r="Z32" i="2"/>
  <c r="Y32" i="2"/>
  <c r="X32" i="2"/>
  <c r="Y32" i="1" s="1"/>
  <c r="AM33" i="1" s="1"/>
  <c r="W32" i="2"/>
  <c r="V32" i="2"/>
  <c r="W32" i="1" s="1"/>
  <c r="U32" i="2"/>
  <c r="T32" i="2"/>
  <c r="S32" i="2"/>
  <c r="R32" i="2"/>
  <c r="Q32" i="2"/>
  <c r="A32" i="2" s="1"/>
  <c r="C32" i="2"/>
  <c r="B32" i="2"/>
  <c r="AG31" i="2"/>
  <c r="AF31" i="2"/>
  <c r="AE31" i="2"/>
  <c r="AD31" i="2"/>
  <c r="AC31" i="2"/>
  <c r="E31" i="2" s="1"/>
  <c r="AB31" i="2"/>
  <c r="D31" i="2" s="1"/>
  <c r="AA31" i="2"/>
  <c r="Z31" i="2"/>
  <c r="Y31" i="2"/>
  <c r="X31" i="2"/>
  <c r="W31" i="2"/>
  <c r="X31" i="1" s="1"/>
  <c r="V31" i="2"/>
  <c r="U31" i="2"/>
  <c r="T31" i="2"/>
  <c r="D31" i="1" s="1"/>
  <c r="S31" i="2"/>
  <c r="R31" i="2"/>
  <c r="Q31" i="2"/>
  <c r="C31" i="2"/>
  <c r="B31" i="2"/>
  <c r="A31" i="2"/>
  <c r="AG30" i="2"/>
  <c r="AF30" i="2"/>
  <c r="AE30" i="2"/>
  <c r="AB30" i="1" s="1"/>
  <c r="AD30" i="2"/>
  <c r="AC30" i="2"/>
  <c r="E30" i="2" s="1"/>
  <c r="AB30" i="2"/>
  <c r="AA30" i="2"/>
  <c r="Z30" i="2"/>
  <c r="B30" i="2" s="1"/>
  <c r="Y30" i="2"/>
  <c r="X30" i="2"/>
  <c r="W30" i="2"/>
  <c r="V30" i="2"/>
  <c r="U30" i="2"/>
  <c r="T30" i="2"/>
  <c r="D30" i="1" s="1"/>
  <c r="S30" i="2"/>
  <c r="C30" i="1" s="1"/>
  <c r="R30" i="2"/>
  <c r="Q30" i="2"/>
  <c r="A30" i="2" s="1"/>
  <c r="D30" i="2"/>
  <c r="C30" i="2"/>
  <c r="AG29" i="2"/>
  <c r="AF29" i="2"/>
  <c r="AE29" i="2"/>
  <c r="AD29" i="2"/>
  <c r="AC29" i="2"/>
  <c r="AB29" i="2"/>
  <c r="AA29" i="2"/>
  <c r="Z29" i="2"/>
  <c r="B29" i="2" s="1"/>
  <c r="Y29" i="2"/>
  <c r="X29" i="2"/>
  <c r="Y29" i="1" s="1"/>
  <c r="AM30" i="1" s="1"/>
  <c r="W29" i="2"/>
  <c r="V29" i="2"/>
  <c r="U29" i="2"/>
  <c r="T29" i="2"/>
  <c r="D29" i="1" s="1"/>
  <c r="S29" i="2"/>
  <c r="C29" i="1" s="1"/>
  <c r="R29" i="2"/>
  <c r="Q29" i="2"/>
  <c r="A29" i="2" s="1"/>
  <c r="E29" i="2"/>
  <c r="D29" i="2"/>
  <c r="C29" i="2"/>
  <c r="AG28" i="2"/>
  <c r="AF28" i="2"/>
  <c r="AE28" i="2"/>
  <c r="AD28" i="2"/>
  <c r="AA28" i="1" s="1"/>
  <c r="AC28" i="2"/>
  <c r="AB28" i="2"/>
  <c r="AA28" i="2"/>
  <c r="C28" i="2" s="1"/>
  <c r="Z28" i="2"/>
  <c r="B28" i="2" s="1"/>
  <c r="Y28" i="2"/>
  <c r="X28" i="2"/>
  <c r="W28" i="2"/>
  <c r="V28" i="2"/>
  <c r="U28" i="2"/>
  <c r="E28" i="1" s="1"/>
  <c r="T28" i="2"/>
  <c r="S28" i="2"/>
  <c r="R28" i="2"/>
  <c r="Q28" i="2"/>
  <c r="E28" i="2"/>
  <c r="D28" i="2"/>
  <c r="A28" i="2"/>
  <c r="AG27" i="2"/>
  <c r="AD27" i="1" s="1"/>
  <c r="AF27" i="2"/>
  <c r="AC27" i="1" s="1"/>
  <c r="AE27" i="2"/>
  <c r="AB27" i="1" s="1"/>
  <c r="AD27" i="2"/>
  <c r="AC27" i="2"/>
  <c r="AB27" i="2"/>
  <c r="D27" i="2" s="1"/>
  <c r="AA27" i="2"/>
  <c r="C27" i="2" s="1"/>
  <c r="Z27" i="2"/>
  <c r="B27" i="2" s="1"/>
  <c r="Y27" i="2"/>
  <c r="X27" i="2"/>
  <c r="W27" i="2"/>
  <c r="V27" i="2"/>
  <c r="U27" i="2"/>
  <c r="E27" i="1" s="1"/>
  <c r="T27" i="2"/>
  <c r="D27" i="1" s="1"/>
  <c r="S27" i="2"/>
  <c r="R27" i="2"/>
  <c r="Q27" i="2"/>
  <c r="A27" i="1" s="1"/>
  <c r="E27" i="2"/>
  <c r="A27" i="2"/>
  <c r="AG26" i="2"/>
  <c r="AF26" i="2"/>
  <c r="AE26" i="2"/>
  <c r="AD26" i="2"/>
  <c r="AC26" i="2"/>
  <c r="AB26" i="2"/>
  <c r="D26" i="2" s="1"/>
  <c r="AA26" i="2"/>
  <c r="C26" i="2" s="1"/>
  <c r="Z26" i="2"/>
  <c r="B26" i="2" s="1"/>
  <c r="Y26" i="2"/>
  <c r="X26" i="2"/>
  <c r="W26" i="2"/>
  <c r="V26" i="2"/>
  <c r="U26" i="2"/>
  <c r="E26" i="1" s="1"/>
  <c r="T26" i="2"/>
  <c r="S26" i="2"/>
  <c r="R26" i="2"/>
  <c r="B26" i="1" s="1"/>
  <c r="Q26" i="2"/>
  <c r="E26" i="2"/>
  <c r="AG25" i="2"/>
  <c r="AD25" i="1" s="1"/>
  <c r="AF25" i="2"/>
  <c r="AC25" i="1" s="1"/>
  <c r="AE25" i="2"/>
  <c r="AD25" i="2"/>
  <c r="AC25" i="2"/>
  <c r="AB25" i="2"/>
  <c r="D25" i="2" s="1"/>
  <c r="AA25" i="2"/>
  <c r="C25" i="2" s="1"/>
  <c r="Z25" i="2"/>
  <c r="Y25" i="2"/>
  <c r="X25" i="2"/>
  <c r="W25" i="2"/>
  <c r="V25" i="2"/>
  <c r="U25" i="2"/>
  <c r="T25" i="2"/>
  <c r="S25" i="2"/>
  <c r="R25" i="2"/>
  <c r="Q25" i="2"/>
  <c r="E25" i="2"/>
  <c r="B25" i="2"/>
  <c r="AG24" i="2"/>
  <c r="AF24" i="2"/>
  <c r="AE24" i="2"/>
  <c r="AD24" i="2"/>
  <c r="AC24" i="2"/>
  <c r="E24" i="2" s="1"/>
  <c r="AB24" i="2"/>
  <c r="D24" i="2" s="1"/>
  <c r="AA24" i="2"/>
  <c r="Z24" i="2"/>
  <c r="Y24" i="2"/>
  <c r="X24" i="2"/>
  <c r="Y24" i="1" s="1"/>
  <c r="AM24" i="1" s="1"/>
  <c r="W24" i="2"/>
  <c r="X24" i="1" s="1"/>
  <c r="AL25" i="1" s="1"/>
  <c r="V24" i="2"/>
  <c r="U24" i="2"/>
  <c r="T24" i="2"/>
  <c r="S24" i="2"/>
  <c r="R24" i="2"/>
  <c r="Q24" i="2"/>
  <c r="C24" i="2"/>
  <c r="B24" i="2"/>
  <c r="AG23" i="2"/>
  <c r="AF23" i="2"/>
  <c r="AE23" i="2"/>
  <c r="AD23" i="2"/>
  <c r="AC23" i="2"/>
  <c r="E23" i="2" s="1"/>
  <c r="AB23" i="2"/>
  <c r="D23" i="2" s="1"/>
  <c r="AA23" i="2"/>
  <c r="Z23" i="2"/>
  <c r="Y23" i="2"/>
  <c r="X23" i="2"/>
  <c r="Y23" i="1" s="1"/>
  <c r="W23" i="2"/>
  <c r="V23" i="2"/>
  <c r="U23" i="2"/>
  <c r="T23" i="2"/>
  <c r="S23" i="2"/>
  <c r="R23" i="2"/>
  <c r="Q23" i="2"/>
  <c r="C23" i="2"/>
  <c r="B23" i="2"/>
  <c r="A23" i="2"/>
  <c r="AG22" i="2"/>
  <c r="AF22" i="2"/>
  <c r="AE22" i="2"/>
  <c r="AB22" i="1" s="1"/>
  <c r="AD22" i="2"/>
  <c r="AA22" i="1" s="1"/>
  <c r="AC22" i="2"/>
  <c r="E22" i="2" s="1"/>
  <c r="AB22" i="2"/>
  <c r="AA22" i="2"/>
  <c r="Z22" i="2"/>
  <c r="Y22" i="2"/>
  <c r="X22" i="2"/>
  <c r="W22" i="2"/>
  <c r="V22" i="2"/>
  <c r="U22" i="2"/>
  <c r="T22" i="2"/>
  <c r="S22" i="2"/>
  <c r="R22" i="2"/>
  <c r="Q22" i="2"/>
  <c r="A22" i="2" s="1"/>
  <c r="D22" i="2"/>
  <c r="C22" i="2"/>
  <c r="B22" i="2"/>
  <c r="AG21" i="2"/>
  <c r="AF21" i="2"/>
  <c r="AE21" i="2"/>
  <c r="AB21" i="1" s="1"/>
  <c r="AD21" i="2"/>
  <c r="AC21" i="2"/>
  <c r="AB21" i="2"/>
  <c r="AA21" i="2"/>
  <c r="Z21" i="2"/>
  <c r="B21" i="2" s="1"/>
  <c r="Y21" i="2"/>
  <c r="Z21" i="1" s="1"/>
  <c r="X21" i="2"/>
  <c r="W21" i="2"/>
  <c r="V21" i="2"/>
  <c r="U21" i="2"/>
  <c r="T21" i="2"/>
  <c r="D21" i="1" s="1"/>
  <c r="S21" i="2"/>
  <c r="C21" i="1" s="1"/>
  <c r="R21" i="2"/>
  <c r="Q21" i="2"/>
  <c r="A21" i="2" s="1"/>
  <c r="E21" i="2"/>
  <c r="D21" i="2"/>
  <c r="C21" i="2"/>
  <c r="AG20" i="2"/>
  <c r="AF20" i="2"/>
  <c r="AC20" i="1" s="1"/>
  <c r="AE20" i="2"/>
  <c r="AD20" i="2"/>
  <c r="AC20" i="2"/>
  <c r="AB20" i="2"/>
  <c r="AA20" i="2"/>
  <c r="C20" i="2" s="1"/>
  <c r="Z20" i="2"/>
  <c r="B20" i="2" s="1"/>
  <c r="Y20" i="2"/>
  <c r="X20" i="2"/>
  <c r="W20" i="2"/>
  <c r="V20" i="2"/>
  <c r="U20" i="2"/>
  <c r="T20" i="2"/>
  <c r="S20" i="2"/>
  <c r="R20" i="2"/>
  <c r="Q20" i="2"/>
  <c r="E20" i="2"/>
  <c r="D20" i="2"/>
  <c r="A20" i="2"/>
  <c r="AG19" i="2"/>
  <c r="AF19" i="2"/>
  <c r="AC19" i="1" s="1"/>
  <c r="AE19" i="2"/>
  <c r="AD19" i="2"/>
  <c r="AC19" i="2"/>
  <c r="AB19" i="2"/>
  <c r="D19" i="2" s="1"/>
  <c r="AA19" i="2"/>
  <c r="C19" i="2" s="1"/>
  <c r="Z19" i="2"/>
  <c r="B19" i="2" s="1"/>
  <c r="Y19" i="2"/>
  <c r="X19" i="2"/>
  <c r="W19" i="2"/>
  <c r="V19" i="2"/>
  <c r="U19" i="2"/>
  <c r="T19" i="2"/>
  <c r="S19" i="2"/>
  <c r="R19" i="2"/>
  <c r="Q19" i="2"/>
  <c r="E19" i="2"/>
  <c r="A19" i="2"/>
  <c r="AG18" i="2"/>
  <c r="AF18" i="2"/>
  <c r="AE18" i="2"/>
  <c r="AD18" i="2"/>
  <c r="AC18" i="2"/>
  <c r="AB18" i="2"/>
  <c r="D18" i="2" s="1"/>
  <c r="AA18" i="2"/>
  <c r="C18" i="2" s="1"/>
  <c r="Z18" i="2"/>
  <c r="B18" i="2" s="1"/>
  <c r="Y18" i="2"/>
  <c r="X18" i="2"/>
  <c r="W18" i="2"/>
  <c r="V18" i="2"/>
  <c r="U18" i="2"/>
  <c r="T18" i="2"/>
  <c r="S18" i="2"/>
  <c r="R18" i="2"/>
  <c r="Q18" i="2"/>
  <c r="A18" i="1" s="1"/>
  <c r="E18" i="2"/>
  <c r="A18" i="2"/>
  <c r="AG17" i="2"/>
  <c r="AF17" i="2"/>
  <c r="AC17" i="1" s="1"/>
  <c r="AE17" i="2"/>
  <c r="AD17" i="2"/>
  <c r="AC17" i="2"/>
  <c r="AB17" i="2"/>
  <c r="D17" i="2" s="1"/>
  <c r="AA17" i="2"/>
  <c r="C17" i="2" s="1"/>
  <c r="Z17" i="2"/>
  <c r="Y17" i="2"/>
  <c r="X17" i="2"/>
  <c r="W17" i="2"/>
  <c r="V17" i="2"/>
  <c r="U17" i="2"/>
  <c r="T17" i="2"/>
  <c r="S17" i="2"/>
  <c r="R17" i="2"/>
  <c r="B17" i="1" s="1"/>
  <c r="Q17" i="2"/>
  <c r="E17" i="2"/>
  <c r="B17" i="2"/>
  <c r="A17" i="2"/>
  <c r="AG16" i="2"/>
  <c r="AF16" i="2"/>
  <c r="AE16" i="2"/>
  <c r="AD16" i="2"/>
  <c r="AC16" i="2"/>
  <c r="E16" i="2" s="1"/>
  <c r="AB16" i="2"/>
  <c r="D16" i="2" s="1"/>
  <c r="AA16" i="2"/>
  <c r="Z16" i="2"/>
  <c r="Y16" i="2"/>
  <c r="X16" i="2"/>
  <c r="Y16" i="1" s="1"/>
  <c r="W16" i="2"/>
  <c r="V16" i="2"/>
  <c r="U16" i="2"/>
  <c r="T16" i="2"/>
  <c r="S16" i="2"/>
  <c r="R16" i="2"/>
  <c r="Q16" i="2"/>
  <c r="C16" i="2"/>
  <c r="B16" i="2"/>
  <c r="AG15" i="2"/>
  <c r="AF15" i="2"/>
  <c r="AE15" i="2"/>
  <c r="AD15" i="2"/>
  <c r="AA15" i="1" s="1"/>
  <c r="AC15" i="2"/>
  <c r="E15" i="2" s="1"/>
  <c r="AB15" i="2"/>
  <c r="D15" i="2" s="1"/>
  <c r="AA15" i="2"/>
  <c r="Z15" i="2"/>
  <c r="Y15" i="2"/>
  <c r="X15" i="2"/>
  <c r="W15" i="2"/>
  <c r="V15" i="2"/>
  <c r="U15" i="2"/>
  <c r="T15" i="2"/>
  <c r="D15" i="1" s="1"/>
  <c r="S15" i="2"/>
  <c r="R15" i="2"/>
  <c r="Q15" i="2"/>
  <c r="C15" i="2"/>
  <c r="B15" i="2"/>
  <c r="A15" i="2"/>
  <c r="AG14" i="2"/>
  <c r="AF14" i="2"/>
  <c r="AE14" i="2"/>
  <c r="AB14" i="1" s="1"/>
  <c r="AD14" i="2"/>
  <c r="AA14" i="1" s="1"/>
  <c r="AC14" i="2"/>
  <c r="E14" i="2" s="1"/>
  <c r="AB14" i="2"/>
  <c r="AA14" i="2"/>
  <c r="Z14" i="2"/>
  <c r="B14" i="2" s="1"/>
  <c r="Y14" i="2"/>
  <c r="X14" i="2"/>
  <c r="W14" i="2"/>
  <c r="V14" i="2"/>
  <c r="U14" i="2"/>
  <c r="T14" i="2"/>
  <c r="S14" i="2"/>
  <c r="R14" i="2"/>
  <c r="B14" i="1" s="1"/>
  <c r="Q14" i="2"/>
  <c r="A14" i="2" s="1"/>
  <c r="D14" i="2"/>
  <c r="C14" i="2"/>
  <c r="AG13" i="2"/>
  <c r="AF13" i="2"/>
  <c r="AE13" i="2"/>
  <c r="AD13" i="2"/>
  <c r="AC13" i="2"/>
  <c r="AB13" i="2"/>
  <c r="AA13" i="2"/>
  <c r="Z13" i="2"/>
  <c r="B13" i="2" s="1"/>
  <c r="Y13" i="2"/>
  <c r="Z13" i="1" s="1"/>
  <c r="AN13" i="1" s="1"/>
  <c r="X13" i="2"/>
  <c r="W13" i="2"/>
  <c r="V13" i="2"/>
  <c r="U13" i="2"/>
  <c r="T13" i="2"/>
  <c r="S13" i="2"/>
  <c r="R13" i="2"/>
  <c r="Q13" i="2"/>
  <c r="A13" i="2" s="1"/>
  <c r="E13" i="2"/>
  <c r="D13" i="2"/>
  <c r="C13" i="2"/>
  <c r="AG12" i="2"/>
  <c r="AF12" i="2"/>
  <c r="AC12" i="1" s="1"/>
  <c r="AE12" i="2"/>
  <c r="AD12" i="2"/>
  <c r="AC12" i="2"/>
  <c r="AB12" i="2"/>
  <c r="AA12" i="2"/>
  <c r="Z12" i="2"/>
  <c r="B12" i="2" s="1"/>
  <c r="Y12" i="2"/>
  <c r="Z12" i="1" s="1"/>
  <c r="X12" i="2"/>
  <c r="W12" i="2"/>
  <c r="V12" i="2"/>
  <c r="U12" i="2"/>
  <c r="E12" i="1" s="1"/>
  <c r="T12" i="2"/>
  <c r="S12" i="2"/>
  <c r="R12" i="2"/>
  <c r="Q12" i="2"/>
  <c r="E12" i="2"/>
  <c r="D12" i="2"/>
  <c r="C12" i="2"/>
  <c r="A12" i="2"/>
  <c r="AG11" i="2"/>
  <c r="AF11" i="2"/>
  <c r="AE11" i="2"/>
  <c r="AD11" i="2"/>
  <c r="AC11" i="2"/>
  <c r="AB11" i="2"/>
  <c r="AA11" i="2"/>
  <c r="C11" i="2" s="1"/>
  <c r="Z11" i="2"/>
  <c r="B11" i="2" s="1"/>
  <c r="Y11" i="2"/>
  <c r="X11" i="2"/>
  <c r="W11" i="2"/>
  <c r="V11" i="2"/>
  <c r="U11" i="2"/>
  <c r="T11" i="2"/>
  <c r="S11" i="2"/>
  <c r="R11" i="2"/>
  <c r="Q11" i="2"/>
  <c r="E11" i="2"/>
  <c r="D11" i="2"/>
  <c r="A11" i="2"/>
  <c r="AG10" i="2"/>
  <c r="AF10" i="2"/>
  <c r="AE10" i="2"/>
  <c r="AD10" i="2"/>
  <c r="AC10" i="2"/>
  <c r="AB10" i="2"/>
  <c r="D10" i="2" s="1"/>
  <c r="AA10" i="2"/>
  <c r="C10" i="2" s="1"/>
  <c r="Z10" i="2"/>
  <c r="B10" i="2" s="1"/>
  <c r="Y10" i="2"/>
  <c r="X10" i="2"/>
  <c r="W10" i="2"/>
  <c r="V10" i="2"/>
  <c r="W10" i="1" s="1"/>
  <c r="U10" i="2"/>
  <c r="T10" i="2"/>
  <c r="S10" i="2"/>
  <c r="R10" i="2"/>
  <c r="Q10" i="2"/>
  <c r="E10" i="2"/>
  <c r="A10" i="2"/>
  <c r="AG9" i="2"/>
  <c r="AD9" i="1" s="1"/>
  <c r="AF9" i="2"/>
  <c r="AE9" i="2"/>
  <c r="AD9" i="2"/>
  <c r="AC9" i="2"/>
  <c r="E9" i="2" s="1"/>
  <c r="AB9" i="2"/>
  <c r="D9" i="2" s="1"/>
  <c r="AA9" i="2"/>
  <c r="C9" i="2" s="1"/>
  <c r="Z9" i="2"/>
  <c r="Y9" i="2"/>
  <c r="X9" i="2"/>
  <c r="W9" i="2"/>
  <c r="V9" i="2"/>
  <c r="U9" i="2"/>
  <c r="T9" i="2"/>
  <c r="S9" i="2"/>
  <c r="R9" i="2"/>
  <c r="Q9" i="2"/>
  <c r="A9" i="1" s="1"/>
  <c r="V9" i="1" s="1"/>
  <c r="B9" i="2"/>
  <c r="A9" i="2"/>
  <c r="AG8" i="2"/>
  <c r="AF8" i="2"/>
  <c r="AE8" i="2"/>
  <c r="AD8" i="2"/>
  <c r="AC8" i="2"/>
  <c r="E8" i="2" s="1"/>
  <c r="AB8" i="2"/>
  <c r="D8" i="2" s="1"/>
  <c r="AA8" i="2"/>
  <c r="Z8" i="2"/>
  <c r="Y8" i="2"/>
  <c r="X8" i="2"/>
  <c r="W8" i="2"/>
  <c r="V8" i="2"/>
  <c r="U8" i="2"/>
  <c r="T8" i="2"/>
  <c r="S8" i="2"/>
  <c r="R8" i="2"/>
  <c r="B8" i="1" s="1"/>
  <c r="Q8" i="2"/>
  <c r="A8" i="2" s="1"/>
  <c r="C8" i="2"/>
  <c r="B8" i="2"/>
  <c r="AG7" i="2"/>
  <c r="AF7" i="2"/>
  <c r="AE7" i="2"/>
  <c r="AD7" i="2"/>
  <c r="AC7" i="2"/>
  <c r="E7" i="2" s="1"/>
  <c r="AB7" i="2"/>
  <c r="D7" i="2" s="1"/>
  <c r="AA7" i="2"/>
  <c r="Z7" i="2"/>
  <c r="Y7" i="2"/>
  <c r="Z7" i="1" s="1"/>
  <c r="X7" i="2"/>
  <c r="W7" i="2"/>
  <c r="V7" i="2"/>
  <c r="U7" i="2"/>
  <c r="T7" i="2"/>
  <c r="S7" i="2"/>
  <c r="R7" i="2"/>
  <c r="Q7" i="2"/>
  <c r="C7" i="2"/>
  <c r="B7" i="2"/>
  <c r="A7" i="2"/>
  <c r="AG6" i="2"/>
  <c r="AD6" i="1" s="1"/>
  <c r="AF6" i="2"/>
  <c r="AE6" i="2"/>
  <c r="AD6" i="2"/>
  <c r="AA6" i="1" s="1"/>
  <c r="AC6" i="2"/>
  <c r="E6" i="2" s="1"/>
  <c r="AB6" i="2"/>
  <c r="AA6" i="2"/>
  <c r="Z6" i="2"/>
  <c r="Y6" i="2"/>
  <c r="Z6" i="1" s="1"/>
  <c r="AN7" i="1" s="1"/>
  <c r="X6" i="2"/>
  <c r="W6" i="2"/>
  <c r="V6" i="2"/>
  <c r="U6" i="2"/>
  <c r="T6" i="2"/>
  <c r="S6" i="2"/>
  <c r="R6" i="2"/>
  <c r="Q6" i="2"/>
  <c r="A6" i="2" s="1"/>
  <c r="D6" i="2"/>
  <c r="C6" i="2"/>
  <c r="B6" i="2"/>
  <c r="AG5" i="2"/>
  <c r="AF5" i="2"/>
  <c r="AC5" i="1" s="1"/>
  <c r="AE5" i="2"/>
  <c r="AD5" i="2"/>
  <c r="AC5" i="2"/>
  <c r="AB5" i="2"/>
  <c r="AA5" i="2"/>
  <c r="Z5" i="2"/>
  <c r="B5" i="2" s="1"/>
  <c r="Y5" i="2"/>
  <c r="X5" i="2"/>
  <c r="W5" i="2"/>
  <c r="V5" i="2"/>
  <c r="U5" i="2"/>
  <c r="E5" i="1" s="1"/>
  <c r="T5" i="2"/>
  <c r="D5" i="1" s="1"/>
  <c r="S5" i="2"/>
  <c r="R5" i="2"/>
  <c r="Q5" i="2"/>
  <c r="E5" i="2"/>
  <c r="D5" i="2"/>
  <c r="C5" i="2"/>
  <c r="A5" i="2"/>
  <c r="AG4" i="2"/>
  <c r="AF4" i="2"/>
  <c r="AE4" i="2"/>
  <c r="AB4" i="1" s="1"/>
  <c r="AD4" i="2"/>
  <c r="AC4" i="2"/>
  <c r="AB4" i="2"/>
  <c r="AA4" i="2"/>
  <c r="Z4" i="2"/>
  <c r="B4" i="2" s="1"/>
  <c r="Y4" i="2"/>
  <c r="X4" i="2"/>
  <c r="W4" i="2"/>
  <c r="V4" i="2"/>
  <c r="U4" i="2"/>
  <c r="T4" i="2"/>
  <c r="S4" i="2"/>
  <c r="R4" i="2"/>
  <c r="Q4" i="2"/>
  <c r="E4" i="2"/>
  <c r="D4" i="2"/>
  <c r="C4" i="2"/>
  <c r="A4" i="2"/>
  <c r="AG3" i="2"/>
  <c r="AF3" i="2"/>
  <c r="AE3" i="2"/>
  <c r="AD3" i="2"/>
  <c r="AC3" i="2"/>
  <c r="AB3" i="2"/>
  <c r="AA3" i="2"/>
  <c r="C3" i="2" s="1"/>
  <c r="Z3" i="2"/>
  <c r="B3" i="2" s="1"/>
  <c r="Y3" i="2"/>
  <c r="X3" i="2"/>
  <c r="W3" i="2"/>
  <c r="V3" i="2"/>
  <c r="W3" i="1" s="1"/>
  <c r="AK4" i="1" s="1"/>
  <c r="U3" i="2"/>
  <c r="T3" i="2"/>
  <c r="S3" i="2"/>
  <c r="R3" i="2"/>
  <c r="Q3" i="2"/>
  <c r="E3" i="2"/>
  <c r="D3" i="2"/>
  <c r="A3" i="2"/>
  <c r="AG2" i="2"/>
  <c r="AD2" i="1" s="1"/>
  <c r="AF2" i="2"/>
  <c r="AE2" i="2"/>
  <c r="AD2" i="2"/>
  <c r="AC2" i="2"/>
  <c r="AB2" i="2"/>
  <c r="D2" i="2" s="1"/>
  <c r="AA2" i="2"/>
  <c r="C2" i="2" s="1"/>
  <c r="Z2" i="2"/>
  <c r="B2" i="2" s="1"/>
  <c r="Y2" i="2"/>
  <c r="Z2" i="1" s="1"/>
  <c r="AN3" i="1" s="1"/>
  <c r="X2" i="2"/>
  <c r="W2" i="2"/>
  <c r="V2" i="2"/>
  <c r="U2" i="2"/>
  <c r="T2" i="2"/>
  <c r="S2" i="2"/>
  <c r="R2" i="2"/>
  <c r="Q2" i="2"/>
  <c r="A2" i="1" s="1"/>
  <c r="E2" i="2"/>
  <c r="AN87" i="1"/>
  <c r="AM87" i="1"/>
  <c r="AL87" i="1"/>
  <c r="AK87" i="1"/>
  <c r="AJ87" i="1"/>
  <c r="AR87" i="1" s="1"/>
  <c r="AI87" i="1"/>
  <c r="AQ87" i="1" s="1"/>
  <c r="AH87" i="1"/>
  <c r="AP87" i="1" s="1"/>
  <c r="AG87" i="1"/>
  <c r="AF87" i="1"/>
  <c r="AE87" i="1"/>
  <c r="AR86" i="1"/>
  <c r="AO86" i="1"/>
  <c r="AN86" i="1"/>
  <c r="AM86" i="1"/>
  <c r="AL86" i="1"/>
  <c r="AK86" i="1"/>
  <c r="AJ86" i="1"/>
  <c r="AI86" i="1"/>
  <c r="AF86" i="1"/>
  <c r="AE86" i="1"/>
  <c r="J86" i="1"/>
  <c r="I86" i="1"/>
  <c r="H86" i="1"/>
  <c r="G86" i="1"/>
  <c r="AN85" i="1"/>
  <c r="AL85" i="1"/>
  <c r="AI85" i="1"/>
  <c r="AQ86" i="1" s="1"/>
  <c r="AH85" i="1"/>
  <c r="AP86" i="1" s="1"/>
  <c r="AG85" i="1"/>
  <c r="AF85" i="1"/>
  <c r="AE85" i="1"/>
  <c r="K85" i="1"/>
  <c r="G85" i="1"/>
  <c r="AL84" i="1"/>
  <c r="AJ84" i="1"/>
  <c r="AR85" i="1" s="1"/>
  <c r="AI84" i="1"/>
  <c r="AH84" i="1"/>
  <c r="AG84" i="1"/>
  <c r="AO85" i="1" s="1"/>
  <c r="AF84" i="1"/>
  <c r="AD84" i="1"/>
  <c r="AB84" i="1"/>
  <c r="Y84" i="1"/>
  <c r="AM85" i="1" s="1"/>
  <c r="X84" i="1"/>
  <c r="V84" i="1"/>
  <c r="I84" i="1"/>
  <c r="H84" i="1"/>
  <c r="G84" i="1"/>
  <c r="E84" i="1"/>
  <c r="D84" i="1"/>
  <c r="C84" i="1"/>
  <c r="B84" i="1"/>
  <c r="A84" i="1"/>
  <c r="AM83" i="1"/>
  <c r="AL83" i="1"/>
  <c r="AJ83" i="1"/>
  <c r="AI83" i="1"/>
  <c r="AH83" i="1"/>
  <c r="AP84" i="1" s="1"/>
  <c r="AF83" i="1"/>
  <c r="AE83" i="1"/>
  <c r="AC83" i="1"/>
  <c r="AA83" i="1"/>
  <c r="Z83" i="1"/>
  <c r="Y83" i="1"/>
  <c r="AM84" i="1" s="1"/>
  <c r="X83" i="1"/>
  <c r="W83" i="1"/>
  <c r="AK84" i="1" s="1"/>
  <c r="V83" i="1"/>
  <c r="K83" i="1"/>
  <c r="J83" i="1"/>
  <c r="H83" i="1"/>
  <c r="G83" i="1"/>
  <c r="C83" i="1"/>
  <c r="B83" i="1"/>
  <c r="AN82" i="1"/>
  <c r="AJ82" i="1"/>
  <c r="AR83" i="1" s="1"/>
  <c r="AI82" i="1"/>
  <c r="AH82" i="1"/>
  <c r="AP83" i="1" s="1"/>
  <c r="AG82" i="1"/>
  <c r="AO83" i="1" s="1"/>
  <c r="AF82" i="1"/>
  <c r="AE82" i="1"/>
  <c r="AD82" i="1"/>
  <c r="AC82" i="1"/>
  <c r="AB82" i="1"/>
  <c r="AA82" i="1"/>
  <c r="Z82" i="1"/>
  <c r="AN83" i="1" s="1"/>
  <c r="Y82" i="1"/>
  <c r="W82" i="1"/>
  <c r="V82" i="1"/>
  <c r="J82" i="1"/>
  <c r="I82" i="1"/>
  <c r="H82" i="1"/>
  <c r="G82" i="1"/>
  <c r="D82" i="1"/>
  <c r="C82" i="1"/>
  <c r="B82" i="1"/>
  <c r="A82" i="1"/>
  <c r="AO81" i="1"/>
  <c r="AJ81" i="1"/>
  <c r="AI81" i="1"/>
  <c r="AH81" i="1"/>
  <c r="AG81" i="1"/>
  <c r="AF81" i="1"/>
  <c r="AD81" i="1"/>
  <c r="AB81" i="1"/>
  <c r="AA81" i="1"/>
  <c r="Z81" i="1"/>
  <c r="Y81" i="1"/>
  <c r="AM82" i="1" s="1"/>
  <c r="X81" i="1"/>
  <c r="W81" i="1"/>
  <c r="AK82" i="1" s="1"/>
  <c r="K81" i="1"/>
  <c r="J81" i="1"/>
  <c r="I81" i="1"/>
  <c r="H81" i="1"/>
  <c r="E81" i="1"/>
  <c r="D81" i="1"/>
  <c r="C81" i="1"/>
  <c r="B81" i="1"/>
  <c r="A81" i="1"/>
  <c r="V81" i="1" s="1"/>
  <c r="AP80" i="1"/>
  <c r="AO80" i="1"/>
  <c r="AK80" i="1"/>
  <c r="AJ80" i="1"/>
  <c r="AR81" i="1" s="1"/>
  <c r="AI80" i="1"/>
  <c r="AQ81" i="1" s="1"/>
  <c r="AH80" i="1"/>
  <c r="AG80" i="1"/>
  <c r="AF80" i="1"/>
  <c r="AE80" i="1"/>
  <c r="AD80" i="1"/>
  <c r="AC80" i="1"/>
  <c r="AB80" i="1"/>
  <c r="Z80" i="1"/>
  <c r="AN81" i="1" s="1"/>
  <c r="Y80" i="1"/>
  <c r="AM80" i="1" s="1"/>
  <c r="X80" i="1"/>
  <c r="AL81" i="1" s="1"/>
  <c r="K80" i="1"/>
  <c r="J80" i="1"/>
  <c r="I80" i="1"/>
  <c r="E80" i="1"/>
  <c r="D80" i="1"/>
  <c r="C80" i="1"/>
  <c r="AQ79" i="1"/>
  <c r="AM79" i="1"/>
  <c r="AL79" i="1"/>
  <c r="AJ79" i="1"/>
  <c r="AI79" i="1"/>
  <c r="AQ80" i="1" s="1"/>
  <c r="AH79" i="1"/>
  <c r="AG79" i="1"/>
  <c r="AF79" i="1"/>
  <c r="AE79" i="1"/>
  <c r="AD79" i="1"/>
  <c r="AC79" i="1"/>
  <c r="AB79" i="1"/>
  <c r="AA79" i="1"/>
  <c r="Y79" i="1"/>
  <c r="X79" i="1"/>
  <c r="W79" i="1"/>
  <c r="V79" i="1"/>
  <c r="K79" i="1"/>
  <c r="J79" i="1"/>
  <c r="H79" i="1"/>
  <c r="G79" i="1"/>
  <c r="E79" i="1"/>
  <c r="D79" i="1"/>
  <c r="C79" i="1"/>
  <c r="B79" i="1"/>
  <c r="A79" i="1"/>
  <c r="AL78" i="1"/>
  <c r="AK78" i="1"/>
  <c r="AJ78" i="1"/>
  <c r="AI78" i="1"/>
  <c r="AH78" i="1"/>
  <c r="AP78" i="1" s="1"/>
  <c r="AG78" i="1"/>
  <c r="AO79" i="1" s="1"/>
  <c r="AF78" i="1"/>
  <c r="AE78" i="1"/>
  <c r="AD78" i="1"/>
  <c r="AC78" i="1"/>
  <c r="AA78" i="1"/>
  <c r="Z78" i="1"/>
  <c r="Y78" i="1"/>
  <c r="X78" i="1"/>
  <c r="W78" i="1"/>
  <c r="AK79" i="1" s="1"/>
  <c r="K78" i="1"/>
  <c r="J78" i="1"/>
  <c r="I78" i="1"/>
  <c r="H78" i="1"/>
  <c r="G78" i="1"/>
  <c r="E78" i="1"/>
  <c r="A78" i="1"/>
  <c r="V78" i="1" s="1"/>
  <c r="AI77" i="1"/>
  <c r="AQ78" i="1" s="1"/>
  <c r="AH77" i="1"/>
  <c r="AG77" i="1"/>
  <c r="AO78" i="1" s="1"/>
  <c r="AF77" i="1"/>
  <c r="AE77" i="1"/>
  <c r="AD77" i="1"/>
  <c r="AC77" i="1"/>
  <c r="AB77" i="1"/>
  <c r="AA77" i="1"/>
  <c r="Z77" i="1"/>
  <c r="AN78" i="1" s="1"/>
  <c r="X77" i="1"/>
  <c r="W77" i="1"/>
  <c r="V77" i="1"/>
  <c r="K77" i="1"/>
  <c r="I77" i="1"/>
  <c r="H77" i="1"/>
  <c r="G77" i="1"/>
  <c r="E77" i="1"/>
  <c r="B77" i="1"/>
  <c r="A77" i="1"/>
  <c r="AR76" i="1"/>
  <c r="AP76" i="1"/>
  <c r="AO76" i="1"/>
  <c r="AJ76" i="1"/>
  <c r="AR77" i="1" s="1"/>
  <c r="AI76" i="1"/>
  <c r="AQ77" i="1" s="1"/>
  <c r="AH76" i="1"/>
  <c r="AP77" i="1" s="1"/>
  <c r="AG76" i="1"/>
  <c r="AO77" i="1" s="1"/>
  <c r="AF76" i="1"/>
  <c r="AD76" i="1"/>
  <c r="AB76" i="1"/>
  <c r="AA76" i="1"/>
  <c r="Z76" i="1"/>
  <c r="Y76" i="1"/>
  <c r="X76" i="1"/>
  <c r="AL77" i="1" s="1"/>
  <c r="W76" i="1"/>
  <c r="AK77" i="1" s="1"/>
  <c r="J76" i="1"/>
  <c r="I76" i="1"/>
  <c r="H76" i="1"/>
  <c r="G76" i="1"/>
  <c r="D76" i="1"/>
  <c r="C76" i="1"/>
  <c r="B76" i="1"/>
  <c r="A76" i="1"/>
  <c r="V76" i="1" s="1"/>
  <c r="AO75" i="1"/>
  <c r="AK75" i="1"/>
  <c r="AJ75" i="1"/>
  <c r="AH75" i="1"/>
  <c r="AP75" i="1" s="1"/>
  <c r="AF75" i="1"/>
  <c r="AE75" i="1"/>
  <c r="AD75" i="1"/>
  <c r="AA75" i="1"/>
  <c r="Z75" i="1"/>
  <c r="Y75" i="1"/>
  <c r="AM76" i="1" s="1"/>
  <c r="X75" i="1"/>
  <c r="K75" i="1"/>
  <c r="J75" i="1"/>
  <c r="I75" i="1"/>
  <c r="H75" i="1"/>
  <c r="G75" i="1"/>
  <c r="D75" i="1"/>
  <c r="C75" i="1"/>
  <c r="B75" i="1"/>
  <c r="AP74" i="1"/>
  <c r="AL74" i="1"/>
  <c r="AK74" i="1"/>
  <c r="AH74" i="1"/>
  <c r="AG74" i="1"/>
  <c r="AF74" i="1"/>
  <c r="AE74" i="1"/>
  <c r="AD74" i="1"/>
  <c r="AC74" i="1"/>
  <c r="AB74" i="1"/>
  <c r="AA74" i="1"/>
  <c r="Z74" i="1"/>
  <c r="Y74" i="1"/>
  <c r="V74" i="1"/>
  <c r="K74" i="1"/>
  <c r="J74" i="1"/>
  <c r="I74" i="1"/>
  <c r="H74" i="1"/>
  <c r="G74" i="1"/>
  <c r="E74" i="1"/>
  <c r="D74" i="1"/>
  <c r="C74" i="1"/>
  <c r="B74" i="1"/>
  <c r="A74" i="1"/>
  <c r="AQ73" i="1"/>
  <c r="AM73" i="1"/>
  <c r="AJ73" i="1"/>
  <c r="AI73" i="1"/>
  <c r="AG73" i="1"/>
  <c r="AO74" i="1" s="1"/>
  <c r="AF73" i="1"/>
  <c r="AE73" i="1"/>
  <c r="AD73" i="1"/>
  <c r="AC73" i="1"/>
  <c r="AB73" i="1"/>
  <c r="AA73" i="1"/>
  <c r="Z73" i="1"/>
  <c r="AN74" i="1" s="1"/>
  <c r="W73" i="1"/>
  <c r="K73" i="1"/>
  <c r="J73" i="1"/>
  <c r="I73" i="1"/>
  <c r="H73" i="1"/>
  <c r="G73" i="1"/>
  <c r="E73" i="1"/>
  <c r="D73" i="1"/>
  <c r="C73" i="1"/>
  <c r="B73" i="1"/>
  <c r="A73" i="1"/>
  <c r="V73" i="1" s="1"/>
  <c r="AR72" i="1"/>
  <c r="AQ72" i="1"/>
  <c r="AI72" i="1"/>
  <c r="AH72" i="1"/>
  <c r="AP73" i="1" s="1"/>
  <c r="AG72" i="1"/>
  <c r="AF72" i="1"/>
  <c r="AE72" i="1"/>
  <c r="AD72" i="1"/>
  <c r="AC72" i="1"/>
  <c r="AB72" i="1"/>
  <c r="AA72" i="1"/>
  <c r="Z72" i="1"/>
  <c r="AN73" i="1" s="1"/>
  <c r="X72" i="1"/>
  <c r="AL73" i="1" s="1"/>
  <c r="K72" i="1"/>
  <c r="J72" i="1"/>
  <c r="H72" i="1"/>
  <c r="E72" i="1"/>
  <c r="D72" i="1"/>
  <c r="B72" i="1"/>
  <c r="A72" i="1"/>
  <c r="V72" i="1" s="1"/>
  <c r="AR71" i="1"/>
  <c r="AO71" i="1"/>
  <c r="AJ71" i="1"/>
  <c r="AI71" i="1"/>
  <c r="AH71" i="1"/>
  <c r="AG71" i="1"/>
  <c r="AO72" i="1" s="1"/>
  <c r="AF71" i="1"/>
  <c r="AE71" i="1"/>
  <c r="AD71" i="1"/>
  <c r="AC71" i="1"/>
  <c r="AB71" i="1"/>
  <c r="Y71" i="1"/>
  <c r="AM72" i="1" s="1"/>
  <c r="X71" i="1"/>
  <c r="W71" i="1"/>
  <c r="V71" i="1"/>
  <c r="I71" i="1"/>
  <c r="H71" i="1"/>
  <c r="G71" i="1"/>
  <c r="E71" i="1"/>
  <c r="D71" i="1"/>
  <c r="C71" i="1"/>
  <c r="B71" i="1"/>
  <c r="A71" i="1"/>
  <c r="AO70" i="1"/>
  <c r="AJ70" i="1"/>
  <c r="AI70" i="1"/>
  <c r="AQ71" i="1" s="1"/>
  <c r="AH70" i="1"/>
  <c r="AP71" i="1" s="1"/>
  <c r="AG70" i="1"/>
  <c r="AF70" i="1"/>
  <c r="AE70" i="1"/>
  <c r="AD70" i="1"/>
  <c r="AC70" i="1"/>
  <c r="Z70" i="1"/>
  <c r="Y70" i="1"/>
  <c r="AM71" i="1" s="1"/>
  <c r="X70" i="1"/>
  <c r="W70" i="1"/>
  <c r="AK71" i="1" s="1"/>
  <c r="J70" i="1"/>
  <c r="I70" i="1"/>
  <c r="H70" i="1"/>
  <c r="G70" i="1"/>
  <c r="E70" i="1"/>
  <c r="D70" i="1"/>
  <c r="C70" i="1"/>
  <c r="A70" i="1"/>
  <c r="V70" i="1" s="1"/>
  <c r="AK69" i="1"/>
  <c r="AJ69" i="1"/>
  <c r="AR70" i="1" s="1"/>
  <c r="AG69" i="1"/>
  <c r="AF69" i="1"/>
  <c r="AE69" i="1"/>
  <c r="AD69" i="1"/>
  <c r="AA69" i="1"/>
  <c r="Z69" i="1"/>
  <c r="AN70" i="1" s="1"/>
  <c r="Y69" i="1"/>
  <c r="X69" i="1"/>
  <c r="W69" i="1"/>
  <c r="AK70" i="1" s="1"/>
  <c r="K69" i="1"/>
  <c r="J69" i="1"/>
  <c r="I69" i="1"/>
  <c r="H69" i="1"/>
  <c r="G69" i="1"/>
  <c r="E69" i="1"/>
  <c r="C69" i="1"/>
  <c r="B69" i="1"/>
  <c r="A69" i="1"/>
  <c r="V69" i="1" s="1"/>
  <c r="AL68" i="1"/>
  <c r="AJ68" i="1"/>
  <c r="AR69" i="1" s="1"/>
  <c r="AI68" i="1"/>
  <c r="AQ69" i="1" s="1"/>
  <c r="AH68" i="1"/>
  <c r="AP69" i="1" s="1"/>
  <c r="AG68" i="1"/>
  <c r="AO69" i="1" s="1"/>
  <c r="AF68" i="1"/>
  <c r="AE68" i="1"/>
  <c r="AD68" i="1"/>
  <c r="AB68" i="1"/>
  <c r="AA68" i="1"/>
  <c r="Z68" i="1"/>
  <c r="Y68" i="1"/>
  <c r="X68" i="1"/>
  <c r="AL69" i="1" s="1"/>
  <c r="V68" i="1"/>
  <c r="K68" i="1"/>
  <c r="I68" i="1"/>
  <c r="H68" i="1"/>
  <c r="G68" i="1"/>
  <c r="E68" i="1"/>
  <c r="D68" i="1"/>
  <c r="C68" i="1"/>
  <c r="B68" i="1"/>
  <c r="A68" i="1"/>
  <c r="AP67" i="1"/>
  <c r="AM67" i="1"/>
  <c r="AL67" i="1"/>
  <c r="AJ67" i="1"/>
  <c r="AI67" i="1"/>
  <c r="AF67" i="1"/>
  <c r="AE67" i="1"/>
  <c r="AC67" i="1"/>
  <c r="AB67" i="1"/>
  <c r="AA67" i="1"/>
  <c r="Z67" i="1"/>
  <c r="Y67" i="1"/>
  <c r="AM68" i="1" s="1"/>
  <c r="X67" i="1"/>
  <c r="W67" i="1"/>
  <c r="AK68" i="1" s="1"/>
  <c r="V67" i="1"/>
  <c r="K67" i="1"/>
  <c r="J67" i="1"/>
  <c r="I67" i="1"/>
  <c r="H67" i="1"/>
  <c r="G67" i="1"/>
  <c r="C67" i="1"/>
  <c r="B67" i="1"/>
  <c r="A67" i="1"/>
  <c r="AN66" i="1"/>
  <c r="AM66" i="1"/>
  <c r="AL66" i="1"/>
  <c r="AJ66" i="1"/>
  <c r="AR67" i="1" s="1"/>
  <c r="AI66" i="1"/>
  <c r="AQ67" i="1" s="1"/>
  <c r="AH66" i="1"/>
  <c r="AG66" i="1"/>
  <c r="AF66" i="1"/>
  <c r="AE66" i="1"/>
  <c r="AD66" i="1"/>
  <c r="AC66" i="1"/>
  <c r="AB66" i="1"/>
  <c r="AA66" i="1"/>
  <c r="Z66" i="1"/>
  <c r="AN67" i="1" s="1"/>
  <c r="Y66" i="1"/>
  <c r="W66" i="1"/>
  <c r="V66" i="1"/>
  <c r="J66" i="1"/>
  <c r="I66" i="1"/>
  <c r="H66" i="1"/>
  <c r="G66" i="1"/>
  <c r="D66" i="1"/>
  <c r="C66" i="1"/>
  <c r="A66" i="1"/>
  <c r="AO65" i="1"/>
  <c r="AM65" i="1"/>
  <c r="AJ65" i="1"/>
  <c r="AR65" i="1" s="1"/>
  <c r="AI65" i="1"/>
  <c r="AH65" i="1"/>
  <c r="AP66" i="1" s="1"/>
  <c r="AG65" i="1"/>
  <c r="AO66" i="1" s="1"/>
  <c r="AF65" i="1"/>
  <c r="AE65" i="1"/>
  <c r="AC65" i="1"/>
  <c r="AB65" i="1"/>
  <c r="AA65" i="1"/>
  <c r="Z65" i="1"/>
  <c r="Y65" i="1"/>
  <c r="X65" i="1"/>
  <c r="W65" i="1"/>
  <c r="K65" i="1"/>
  <c r="J65" i="1"/>
  <c r="I65" i="1"/>
  <c r="H65" i="1"/>
  <c r="E65" i="1"/>
  <c r="D65" i="1"/>
  <c r="C65" i="1"/>
  <c r="B65" i="1"/>
  <c r="AP64" i="1"/>
  <c r="AO64" i="1"/>
  <c r="AI64" i="1"/>
  <c r="AH64" i="1"/>
  <c r="AG64" i="1"/>
  <c r="AF64" i="1"/>
  <c r="AE64" i="1"/>
  <c r="AD64" i="1"/>
  <c r="AC64" i="1"/>
  <c r="AB64" i="1"/>
  <c r="Z64" i="1"/>
  <c r="AN65" i="1" s="1"/>
  <c r="X64" i="1"/>
  <c r="AL65" i="1" s="1"/>
  <c r="W64" i="1"/>
  <c r="AK65" i="1" s="1"/>
  <c r="K64" i="1"/>
  <c r="J64" i="1"/>
  <c r="I64" i="1"/>
  <c r="E64" i="1"/>
  <c r="D64" i="1"/>
  <c r="C64" i="1"/>
  <c r="AQ63" i="1"/>
  <c r="AM63" i="1"/>
  <c r="AJ63" i="1"/>
  <c r="AR64" i="1" s="1"/>
  <c r="AI63" i="1"/>
  <c r="AH63" i="1"/>
  <c r="AG63" i="1"/>
  <c r="AO63" i="1" s="1"/>
  <c r="AF63" i="1"/>
  <c r="AE63" i="1"/>
  <c r="AD63" i="1"/>
  <c r="AC63" i="1"/>
  <c r="AB63" i="1"/>
  <c r="AA63" i="1"/>
  <c r="Z63" i="1"/>
  <c r="Y63" i="1"/>
  <c r="AM64" i="1" s="1"/>
  <c r="X63" i="1"/>
  <c r="W63" i="1"/>
  <c r="V63" i="1"/>
  <c r="K63" i="1"/>
  <c r="J63" i="1"/>
  <c r="H63" i="1"/>
  <c r="G63" i="1"/>
  <c r="E63" i="1"/>
  <c r="B63" i="1"/>
  <c r="A63" i="1"/>
  <c r="AR62" i="1"/>
  <c r="AQ62" i="1"/>
  <c r="AO62" i="1"/>
  <c r="AJ62" i="1"/>
  <c r="AR63" i="1" s="1"/>
  <c r="AI62" i="1"/>
  <c r="AG62" i="1"/>
  <c r="AF62" i="1"/>
  <c r="AE62" i="1"/>
  <c r="AD62" i="1"/>
  <c r="AC62" i="1"/>
  <c r="AB62" i="1"/>
  <c r="AA62" i="1"/>
  <c r="Y62" i="1"/>
  <c r="X62" i="1"/>
  <c r="W62" i="1"/>
  <c r="AK63" i="1" s="1"/>
  <c r="V62" i="1"/>
  <c r="J62" i="1"/>
  <c r="I62" i="1"/>
  <c r="G62" i="1"/>
  <c r="E62" i="1"/>
  <c r="D62" i="1"/>
  <c r="A62" i="1"/>
  <c r="AR61" i="1"/>
  <c r="AQ61" i="1"/>
  <c r="AP61" i="1"/>
  <c r="AI61" i="1"/>
  <c r="AH61" i="1"/>
  <c r="AG61" i="1"/>
  <c r="AF61" i="1"/>
  <c r="AE61" i="1"/>
  <c r="AD61" i="1"/>
  <c r="AB61" i="1"/>
  <c r="AA61" i="1"/>
  <c r="Y61" i="1"/>
  <c r="AM62" i="1" s="1"/>
  <c r="X61" i="1"/>
  <c r="AL62" i="1" s="1"/>
  <c r="W61" i="1"/>
  <c r="K61" i="1"/>
  <c r="I61" i="1"/>
  <c r="H61" i="1"/>
  <c r="G61" i="1"/>
  <c r="B61" i="1"/>
  <c r="A61" i="1"/>
  <c r="V61" i="1" s="1"/>
  <c r="AP60" i="1"/>
  <c r="AN60" i="1"/>
  <c r="AM60" i="1"/>
  <c r="AL60" i="1"/>
  <c r="AJ60" i="1"/>
  <c r="AI60" i="1"/>
  <c r="AH60" i="1"/>
  <c r="AF60" i="1"/>
  <c r="AE60" i="1"/>
  <c r="AD60" i="1"/>
  <c r="Y60" i="1"/>
  <c r="AM61" i="1" s="1"/>
  <c r="X60" i="1"/>
  <c r="AL61" i="1" s="1"/>
  <c r="W60" i="1"/>
  <c r="AK61" i="1" s="1"/>
  <c r="V60" i="1"/>
  <c r="J60" i="1"/>
  <c r="I60" i="1"/>
  <c r="H60" i="1"/>
  <c r="G60" i="1"/>
  <c r="E60" i="1"/>
  <c r="D60" i="1"/>
  <c r="C60" i="1"/>
  <c r="B60" i="1"/>
  <c r="A60" i="1"/>
  <c r="AN59" i="1"/>
  <c r="AM59" i="1"/>
  <c r="AL59" i="1"/>
  <c r="AK59" i="1"/>
  <c r="AJ59" i="1"/>
  <c r="AR60" i="1" s="1"/>
  <c r="AI59" i="1"/>
  <c r="AQ60" i="1" s="1"/>
  <c r="AH59" i="1"/>
  <c r="AG59" i="1"/>
  <c r="AO60" i="1" s="1"/>
  <c r="AF59" i="1"/>
  <c r="AE59" i="1"/>
  <c r="AA59" i="1"/>
  <c r="Z59" i="1"/>
  <c r="Y59" i="1"/>
  <c r="X59" i="1"/>
  <c r="W59" i="1"/>
  <c r="K59" i="1"/>
  <c r="J59" i="1"/>
  <c r="I59" i="1"/>
  <c r="H59" i="1"/>
  <c r="G59" i="1"/>
  <c r="E59" i="1"/>
  <c r="D59" i="1"/>
  <c r="C59" i="1"/>
  <c r="B59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W58" i="1"/>
  <c r="K58" i="1"/>
  <c r="J58" i="1"/>
  <c r="I58" i="1"/>
  <c r="H58" i="1"/>
  <c r="G58" i="1"/>
  <c r="D58" i="1"/>
  <c r="C58" i="1"/>
  <c r="A58" i="1"/>
  <c r="V58" i="1" s="1"/>
  <c r="AJ57" i="1"/>
  <c r="AI57" i="1"/>
  <c r="AH57" i="1"/>
  <c r="AG57" i="1"/>
  <c r="AF57" i="1"/>
  <c r="AE57" i="1"/>
  <c r="AC57" i="1"/>
  <c r="AB57" i="1"/>
  <c r="AA57" i="1"/>
  <c r="Z57" i="1"/>
  <c r="AN58" i="1" s="1"/>
  <c r="Y57" i="1"/>
  <c r="AM58" i="1" s="1"/>
  <c r="W57" i="1"/>
  <c r="K57" i="1"/>
  <c r="J57" i="1"/>
  <c r="I57" i="1"/>
  <c r="H57" i="1"/>
  <c r="G57" i="1"/>
  <c r="E57" i="1"/>
  <c r="D57" i="1"/>
  <c r="C57" i="1"/>
  <c r="B57" i="1"/>
  <c r="A57" i="1"/>
  <c r="V57" i="1" s="1"/>
  <c r="AQ56" i="1"/>
  <c r="AP56" i="1"/>
  <c r="AJ56" i="1"/>
  <c r="AI56" i="1"/>
  <c r="AH56" i="1"/>
  <c r="AG56" i="1"/>
  <c r="AF56" i="1"/>
  <c r="AD56" i="1"/>
  <c r="AC56" i="1"/>
  <c r="AB56" i="1"/>
  <c r="Z56" i="1"/>
  <c r="AN57" i="1" s="1"/>
  <c r="Y56" i="1"/>
  <c r="AM57" i="1" s="1"/>
  <c r="W56" i="1"/>
  <c r="AK57" i="1" s="1"/>
  <c r="V56" i="1"/>
  <c r="K56" i="1"/>
  <c r="J56" i="1"/>
  <c r="I56" i="1"/>
  <c r="G56" i="1"/>
  <c r="E56" i="1"/>
  <c r="D56" i="1"/>
  <c r="B56" i="1"/>
  <c r="A56" i="1"/>
  <c r="AN55" i="1"/>
  <c r="AM55" i="1"/>
  <c r="AJ55" i="1"/>
  <c r="AR56" i="1" s="1"/>
  <c r="AI55" i="1"/>
  <c r="AH55" i="1"/>
  <c r="AG55" i="1"/>
  <c r="AF55" i="1"/>
  <c r="AE55" i="1"/>
  <c r="AD55" i="1"/>
  <c r="AC55" i="1"/>
  <c r="AB55" i="1"/>
  <c r="AA55" i="1"/>
  <c r="Z55" i="1"/>
  <c r="AN56" i="1" s="1"/>
  <c r="X55" i="1"/>
  <c r="AL56" i="1" s="1"/>
  <c r="W55" i="1"/>
  <c r="V55" i="1"/>
  <c r="K55" i="1"/>
  <c r="J55" i="1"/>
  <c r="I55" i="1"/>
  <c r="H55" i="1"/>
  <c r="G55" i="1"/>
  <c r="E55" i="1"/>
  <c r="D55" i="1"/>
  <c r="C55" i="1"/>
  <c r="B55" i="1"/>
  <c r="A55" i="1"/>
  <c r="AO54" i="1"/>
  <c r="AN54" i="1"/>
  <c r="AM54" i="1"/>
  <c r="AL54" i="1"/>
  <c r="AJ54" i="1"/>
  <c r="AI54" i="1"/>
  <c r="AH54" i="1"/>
  <c r="AF54" i="1"/>
  <c r="AE54" i="1"/>
  <c r="AD54" i="1"/>
  <c r="AC54" i="1"/>
  <c r="AA54" i="1"/>
  <c r="Z54" i="1"/>
  <c r="Y54" i="1"/>
  <c r="X54" i="1"/>
  <c r="W54" i="1"/>
  <c r="AK54" i="1" s="1"/>
  <c r="V54" i="1"/>
  <c r="K54" i="1"/>
  <c r="J54" i="1"/>
  <c r="I54" i="1"/>
  <c r="H54" i="1"/>
  <c r="E54" i="1"/>
  <c r="C54" i="1"/>
  <c r="A54" i="1"/>
  <c r="AL53" i="1"/>
  <c r="AK53" i="1"/>
  <c r="AJ53" i="1"/>
  <c r="AR54" i="1" s="1"/>
  <c r="AG53" i="1"/>
  <c r="AF53" i="1"/>
  <c r="AE53" i="1"/>
  <c r="AD53" i="1"/>
  <c r="AC53" i="1"/>
  <c r="AB53" i="1"/>
  <c r="AA53" i="1"/>
  <c r="X53" i="1"/>
  <c r="W53" i="1"/>
  <c r="V53" i="1"/>
  <c r="K53" i="1"/>
  <c r="J53" i="1"/>
  <c r="I53" i="1"/>
  <c r="G53" i="1"/>
  <c r="E53" i="1"/>
  <c r="D53" i="1"/>
  <c r="C53" i="1"/>
  <c r="B53" i="1"/>
  <c r="A53" i="1"/>
  <c r="AR52" i="1"/>
  <c r="AJ52" i="1"/>
  <c r="AR53" i="1" s="1"/>
  <c r="AI52" i="1"/>
  <c r="AH52" i="1"/>
  <c r="AP53" i="1" s="1"/>
  <c r="AG52" i="1"/>
  <c r="AO53" i="1" s="1"/>
  <c r="AF52" i="1"/>
  <c r="AE52" i="1"/>
  <c r="AD52" i="1"/>
  <c r="AC52" i="1"/>
  <c r="AB52" i="1"/>
  <c r="Y52" i="1"/>
  <c r="AM52" i="1" s="1"/>
  <c r="X52" i="1"/>
  <c r="W52" i="1"/>
  <c r="K52" i="1"/>
  <c r="J52" i="1"/>
  <c r="I52" i="1"/>
  <c r="H52" i="1"/>
  <c r="G52" i="1"/>
  <c r="E52" i="1"/>
  <c r="D52" i="1"/>
  <c r="C52" i="1"/>
  <c r="B52" i="1"/>
  <c r="A52" i="1"/>
  <c r="V52" i="1" s="1"/>
  <c r="AM51" i="1"/>
  <c r="AJ51" i="1"/>
  <c r="AH51" i="1"/>
  <c r="AF51" i="1"/>
  <c r="AE51" i="1"/>
  <c r="AD51" i="1"/>
  <c r="AC51" i="1"/>
  <c r="AB51" i="1"/>
  <c r="AA51" i="1"/>
  <c r="Z51" i="1"/>
  <c r="AN52" i="1" s="1"/>
  <c r="Y51" i="1"/>
  <c r="X51" i="1"/>
  <c r="AL52" i="1" s="1"/>
  <c r="K51" i="1"/>
  <c r="J51" i="1"/>
  <c r="I51" i="1"/>
  <c r="H51" i="1"/>
  <c r="G51" i="1"/>
  <c r="E51" i="1"/>
  <c r="D51" i="1"/>
  <c r="C51" i="1"/>
  <c r="B51" i="1"/>
  <c r="AR50" i="1"/>
  <c r="AO50" i="1"/>
  <c r="AN50" i="1"/>
  <c r="AM50" i="1"/>
  <c r="AJ50" i="1"/>
  <c r="AR51" i="1" s="1"/>
  <c r="AI50" i="1"/>
  <c r="AH50" i="1"/>
  <c r="AG50" i="1"/>
  <c r="AF50" i="1"/>
  <c r="AE50" i="1"/>
  <c r="AD50" i="1"/>
  <c r="AC50" i="1"/>
  <c r="AB50" i="1"/>
  <c r="AA50" i="1"/>
  <c r="Z50" i="1"/>
  <c r="Y50" i="1"/>
  <c r="X50" i="1"/>
  <c r="AL51" i="1" s="1"/>
  <c r="W50" i="1"/>
  <c r="AK51" i="1" s="1"/>
  <c r="V50" i="1"/>
  <c r="J50" i="1"/>
  <c r="I50" i="1"/>
  <c r="H50" i="1"/>
  <c r="G50" i="1"/>
  <c r="E50" i="1"/>
  <c r="D50" i="1"/>
  <c r="C50" i="1"/>
  <c r="A50" i="1"/>
  <c r="AN49" i="1"/>
  <c r="AM49" i="1"/>
  <c r="AJ49" i="1"/>
  <c r="AI49" i="1"/>
  <c r="AQ50" i="1" s="1"/>
  <c r="AH49" i="1"/>
  <c r="AG49" i="1"/>
  <c r="AF49" i="1"/>
  <c r="AE49" i="1"/>
  <c r="AC49" i="1"/>
  <c r="AB49" i="1"/>
  <c r="AA49" i="1"/>
  <c r="Z49" i="1"/>
  <c r="Y49" i="1"/>
  <c r="W49" i="1"/>
  <c r="AK49" i="1" s="1"/>
  <c r="K49" i="1"/>
  <c r="J49" i="1"/>
  <c r="I49" i="1"/>
  <c r="H49" i="1"/>
  <c r="G49" i="1"/>
  <c r="E49" i="1"/>
  <c r="D49" i="1"/>
  <c r="C49" i="1"/>
  <c r="B49" i="1"/>
  <c r="AK48" i="1"/>
  <c r="AJ48" i="1"/>
  <c r="AI48" i="1"/>
  <c r="AQ49" i="1" s="1"/>
  <c r="AH48" i="1"/>
  <c r="AP49" i="1" s="1"/>
  <c r="AG48" i="1"/>
  <c r="AO49" i="1" s="1"/>
  <c r="AF48" i="1"/>
  <c r="AE48" i="1"/>
  <c r="AC48" i="1"/>
  <c r="AB48" i="1"/>
  <c r="AA48" i="1"/>
  <c r="Z48" i="1"/>
  <c r="Y48" i="1"/>
  <c r="X48" i="1"/>
  <c r="AL49" i="1" s="1"/>
  <c r="K48" i="1"/>
  <c r="J48" i="1"/>
  <c r="I48" i="1"/>
  <c r="H48" i="1"/>
  <c r="G48" i="1"/>
  <c r="E48" i="1"/>
  <c r="D48" i="1"/>
  <c r="C48" i="1"/>
  <c r="B48" i="1"/>
  <c r="AK47" i="1"/>
  <c r="AJ47" i="1"/>
  <c r="AR48" i="1" s="1"/>
  <c r="AI47" i="1"/>
  <c r="AQ48" i="1" s="1"/>
  <c r="AH47" i="1"/>
  <c r="AP48" i="1" s="1"/>
  <c r="AG47" i="1"/>
  <c r="AF47" i="1"/>
  <c r="AE47" i="1"/>
  <c r="AD47" i="1"/>
  <c r="AC47" i="1"/>
  <c r="AB47" i="1"/>
  <c r="AA47" i="1"/>
  <c r="Z47" i="1"/>
  <c r="AN48" i="1" s="1"/>
  <c r="W47" i="1"/>
  <c r="J47" i="1"/>
  <c r="I47" i="1"/>
  <c r="H47" i="1"/>
  <c r="G47" i="1"/>
  <c r="E47" i="1"/>
  <c r="D47" i="1"/>
  <c r="B47" i="1"/>
  <c r="A47" i="1"/>
  <c r="V47" i="1" s="1"/>
  <c r="AQ46" i="1"/>
  <c r="AP46" i="1"/>
  <c r="AJ46" i="1"/>
  <c r="AI46" i="1"/>
  <c r="AH46" i="1"/>
  <c r="AF46" i="1"/>
  <c r="AE46" i="1"/>
  <c r="AD46" i="1"/>
  <c r="AC46" i="1"/>
  <c r="AB46" i="1"/>
  <c r="AA46" i="1"/>
  <c r="Z46" i="1"/>
  <c r="AN47" i="1" s="1"/>
  <c r="Y46" i="1"/>
  <c r="X46" i="1"/>
  <c r="W46" i="1"/>
  <c r="AK46" i="1" s="1"/>
  <c r="J46" i="1"/>
  <c r="I46" i="1"/>
  <c r="H46" i="1"/>
  <c r="G46" i="1"/>
  <c r="E46" i="1"/>
  <c r="D46" i="1"/>
  <c r="C46" i="1"/>
  <c r="B46" i="1"/>
  <c r="A46" i="1"/>
  <c r="V46" i="1" s="1"/>
  <c r="AR45" i="1"/>
  <c r="AO45" i="1"/>
  <c r="AM45" i="1"/>
  <c r="AK45" i="1"/>
  <c r="AJ45" i="1"/>
  <c r="AR46" i="1" s="1"/>
  <c r="AI45" i="1"/>
  <c r="AG45" i="1"/>
  <c r="AF45" i="1"/>
  <c r="AE45" i="1"/>
  <c r="AD45" i="1"/>
  <c r="AC45" i="1"/>
  <c r="AB45" i="1"/>
  <c r="AA45" i="1"/>
  <c r="Y45" i="1"/>
  <c r="AM46" i="1" s="1"/>
  <c r="X45" i="1"/>
  <c r="AL46" i="1" s="1"/>
  <c r="W45" i="1"/>
  <c r="V45" i="1"/>
  <c r="K45" i="1"/>
  <c r="I45" i="1"/>
  <c r="H45" i="1"/>
  <c r="G45" i="1"/>
  <c r="E45" i="1"/>
  <c r="D45" i="1"/>
  <c r="C45" i="1"/>
  <c r="B45" i="1"/>
  <c r="A45" i="1"/>
  <c r="AR44" i="1"/>
  <c r="AP44" i="1"/>
  <c r="AO44" i="1"/>
  <c r="AN44" i="1"/>
  <c r="AK44" i="1"/>
  <c r="AJ44" i="1"/>
  <c r="AI44" i="1"/>
  <c r="AQ45" i="1" s="1"/>
  <c r="AH44" i="1"/>
  <c r="AP45" i="1" s="1"/>
  <c r="AG44" i="1"/>
  <c r="AF44" i="1"/>
  <c r="AE44" i="1"/>
  <c r="AD44" i="1"/>
  <c r="AA44" i="1"/>
  <c r="Z44" i="1"/>
  <c r="AN45" i="1" s="1"/>
  <c r="Y44" i="1"/>
  <c r="X44" i="1"/>
  <c r="AL45" i="1" s="1"/>
  <c r="W44" i="1"/>
  <c r="V44" i="1"/>
  <c r="I44" i="1"/>
  <c r="H44" i="1"/>
  <c r="G44" i="1"/>
  <c r="E44" i="1"/>
  <c r="D44" i="1"/>
  <c r="C44" i="1"/>
  <c r="B44" i="1"/>
  <c r="A44" i="1"/>
  <c r="AK43" i="1"/>
  <c r="AJ43" i="1"/>
  <c r="AI43" i="1"/>
  <c r="AH43" i="1"/>
  <c r="AP43" i="1" s="1"/>
  <c r="AG43" i="1"/>
  <c r="AF43" i="1"/>
  <c r="AE43" i="1"/>
  <c r="AD43" i="1"/>
  <c r="AA43" i="1"/>
  <c r="Z43" i="1"/>
  <c r="Y43" i="1"/>
  <c r="X43" i="1"/>
  <c r="AL43" i="1" s="1"/>
  <c r="W43" i="1"/>
  <c r="K43" i="1"/>
  <c r="J43" i="1"/>
  <c r="H43" i="1"/>
  <c r="G43" i="1"/>
  <c r="E43" i="1"/>
  <c r="C43" i="1"/>
  <c r="B43" i="1"/>
  <c r="AK42" i="1"/>
  <c r="AJ42" i="1"/>
  <c r="AR43" i="1" s="1"/>
  <c r="AH42" i="1"/>
  <c r="AG42" i="1"/>
  <c r="AO43" i="1" s="1"/>
  <c r="AF42" i="1"/>
  <c r="AE42" i="1"/>
  <c r="AD42" i="1"/>
  <c r="AC42" i="1"/>
  <c r="AB42" i="1"/>
  <c r="AA42" i="1"/>
  <c r="Z42" i="1"/>
  <c r="AN43" i="1" s="1"/>
  <c r="Y42" i="1"/>
  <c r="X42" i="1"/>
  <c r="W42" i="1"/>
  <c r="K42" i="1"/>
  <c r="J42" i="1"/>
  <c r="I42" i="1"/>
  <c r="H42" i="1"/>
  <c r="G42" i="1"/>
  <c r="E42" i="1"/>
  <c r="D42" i="1"/>
  <c r="C42" i="1"/>
  <c r="A42" i="1"/>
  <c r="V42" i="1" s="1"/>
  <c r="AR41" i="1"/>
  <c r="AQ41" i="1"/>
  <c r="AP41" i="1"/>
  <c r="AJ41" i="1"/>
  <c r="AI41" i="1"/>
  <c r="AH41" i="1"/>
  <c r="AP42" i="1" s="1"/>
  <c r="AG41" i="1"/>
  <c r="AO42" i="1" s="1"/>
  <c r="AF41" i="1"/>
  <c r="AE41" i="1"/>
  <c r="AC41" i="1"/>
  <c r="AB41" i="1"/>
  <c r="AA41" i="1"/>
  <c r="Z41" i="1"/>
  <c r="Y41" i="1"/>
  <c r="AM42" i="1" s="1"/>
  <c r="X41" i="1"/>
  <c r="AL42" i="1" s="1"/>
  <c r="W41" i="1"/>
  <c r="K41" i="1"/>
  <c r="J41" i="1"/>
  <c r="I41" i="1"/>
  <c r="H41" i="1"/>
  <c r="G41" i="1"/>
  <c r="E41" i="1"/>
  <c r="D41" i="1"/>
  <c r="C41" i="1"/>
  <c r="B41" i="1"/>
  <c r="A41" i="1"/>
  <c r="V41" i="1" s="1"/>
  <c r="AR40" i="1"/>
  <c r="AQ40" i="1"/>
  <c r="AP40" i="1"/>
  <c r="AJ40" i="1"/>
  <c r="AI40" i="1"/>
  <c r="AH40" i="1"/>
  <c r="AG40" i="1"/>
  <c r="AO40" i="1" s="1"/>
  <c r="AF40" i="1"/>
  <c r="AC40" i="1"/>
  <c r="AB40" i="1"/>
  <c r="AA40" i="1"/>
  <c r="Z40" i="1"/>
  <c r="AN41" i="1" s="1"/>
  <c r="Y40" i="1"/>
  <c r="AM41" i="1" s="1"/>
  <c r="X40" i="1"/>
  <c r="W40" i="1"/>
  <c r="AK41" i="1" s="1"/>
  <c r="K40" i="1"/>
  <c r="J40" i="1"/>
  <c r="I40" i="1"/>
  <c r="E40" i="1"/>
  <c r="D40" i="1"/>
  <c r="C40" i="1"/>
  <c r="B40" i="1"/>
  <c r="A40" i="1"/>
  <c r="V40" i="1" s="1"/>
  <c r="AR39" i="1"/>
  <c r="AQ39" i="1"/>
  <c r="AP39" i="1"/>
  <c r="AO39" i="1"/>
  <c r="AN39" i="1"/>
  <c r="AJ39" i="1"/>
  <c r="AI39" i="1"/>
  <c r="AH39" i="1"/>
  <c r="AG39" i="1"/>
  <c r="AF39" i="1"/>
  <c r="AE39" i="1"/>
  <c r="AD39" i="1"/>
  <c r="AC39" i="1"/>
  <c r="AB39" i="1"/>
  <c r="AA39" i="1"/>
  <c r="Z39" i="1"/>
  <c r="AN40" i="1" s="1"/>
  <c r="Y39" i="1"/>
  <c r="X39" i="1"/>
  <c r="AL40" i="1" s="1"/>
  <c r="W39" i="1"/>
  <c r="AK40" i="1" s="1"/>
  <c r="K39" i="1"/>
  <c r="J39" i="1"/>
  <c r="H39" i="1"/>
  <c r="G39" i="1"/>
  <c r="E39" i="1"/>
  <c r="B39" i="1"/>
  <c r="A39" i="1"/>
  <c r="V39" i="1" s="1"/>
  <c r="AQ38" i="1"/>
  <c r="AK38" i="1"/>
  <c r="AJ38" i="1"/>
  <c r="AI38" i="1"/>
  <c r="AH38" i="1"/>
  <c r="AF38" i="1"/>
  <c r="AE38" i="1"/>
  <c r="AD38" i="1"/>
  <c r="AC38" i="1"/>
  <c r="AB38" i="1"/>
  <c r="AA38" i="1"/>
  <c r="Z38" i="1"/>
  <c r="AN38" i="1" s="1"/>
  <c r="Y38" i="1"/>
  <c r="AM39" i="1" s="1"/>
  <c r="X38" i="1"/>
  <c r="AL39" i="1" s="1"/>
  <c r="W38" i="1"/>
  <c r="AK39" i="1" s="1"/>
  <c r="K38" i="1"/>
  <c r="J38" i="1"/>
  <c r="I38" i="1"/>
  <c r="H38" i="1"/>
  <c r="E38" i="1"/>
  <c r="C38" i="1"/>
  <c r="A38" i="1"/>
  <c r="V38" i="1" s="1"/>
  <c r="AQ37" i="1"/>
  <c r="AN37" i="1"/>
  <c r="AJ37" i="1"/>
  <c r="AR38" i="1" s="1"/>
  <c r="AG37" i="1"/>
  <c r="AO38" i="1" s="1"/>
  <c r="AF37" i="1"/>
  <c r="AE37" i="1"/>
  <c r="AD37" i="1"/>
  <c r="AC37" i="1"/>
  <c r="AB37" i="1"/>
  <c r="AA37" i="1"/>
  <c r="Z37" i="1"/>
  <c r="X37" i="1"/>
  <c r="W37" i="1"/>
  <c r="V37" i="1"/>
  <c r="K37" i="1"/>
  <c r="J37" i="1"/>
  <c r="I37" i="1"/>
  <c r="G37" i="1"/>
  <c r="E37" i="1"/>
  <c r="D37" i="1"/>
  <c r="C37" i="1"/>
  <c r="B37" i="1"/>
  <c r="A37" i="1"/>
  <c r="AQ36" i="1"/>
  <c r="AP36" i="1"/>
  <c r="AL36" i="1"/>
  <c r="AJ36" i="1"/>
  <c r="AI36" i="1"/>
  <c r="AH36" i="1"/>
  <c r="AG36" i="1"/>
  <c r="AO37" i="1" s="1"/>
  <c r="AF36" i="1"/>
  <c r="AE36" i="1"/>
  <c r="AD36" i="1"/>
  <c r="AA36" i="1"/>
  <c r="Y36" i="1"/>
  <c r="AM36" i="1" s="1"/>
  <c r="X36" i="1"/>
  <c r="W36" i="1"/>
  <c r="AK37" i="1" s="1"/>
  <c r="V36" i="1"/>
  <c r="J36" i="1"/>
  <c r="I36" i="1"/>
  <c r="H36" i="1"/>
  <c r="G36" i="1"/>
  <c r="E36" i="1"/>
  <c r="D36" i="1"/>
  <c r="C36" i="1"/>
  <c r="B36" i="1"/>
  <c r="A36" i="1"/>
  <c r="AJ35" i="1"/>
  <c r="AH35" i="1"/>
  <c r="AG35" i="1"/>
  <c r="AO36" i="1" s="1"/>
  <c r="AF35" i="1"/>
  <c r="AE35" i="1"/>
  <c r="AD35" i="1"/>
  <c r="AC35" i="1"/>
  <c r="AA35" i="1"/>
  <c r="Z35" i="1"/>
  <c r="Y35" i="1"/>
  <c r="X35" i="1"/>
  <c r="W35" i="1"/>
  <c r="K35" i="1"/>
  <c r="J35" i="1"/>
  <c r="H35" i="1"/>
  <c r="G35" i="1"/>
  <c r="C35" i="1"/>
  <c r="B35" i="1"/>
  <c r="A35" i="1"/>
  <c r="V35" i="1" s="1"/>
  <c r="AR34" i="1"/>
  <c r="AQ34" i="1"/>
  <c r="AP34" i="1"/>
  <c r="AJ34" i="1"/>
  <c r="AR35" i="1" s="1"/>
  <c r="AH34" i="1"/>
  <c r="AG34" i="1"/>
  <c r="AF34" i="1"/>
  <c r="AE34" i="1"/>
  <c r="AD34" i="1"/>
  <c r="AC34" i="1"/>
  <c r="AB34" i="1"/>
  <c r="AA34" i="1"/>
  <c r="Z34" i="1"/>
  <c r="AN35" i="1" s="1"/>
  <c r="Y34" i="1"/>
  <c r="AM35" i="1" s="1"/>
  <c r="X34" i="1"/>
  <c r="AL35" i="1" s="1"/>
  <c r="J34" i="1"/>
  <c r="I34" i="1"/>
  <c r="H34" i="1"/>
  <c r="G34" i="1"/>
  <c r="D34" i="1"/>
  <c r="C34" i="1"/>
  <c r="B34" i="1"/>
  <c r="A34" i="1"/>
  <c r="V34" i="1" s="1"/>
  <c r="AR33" i="1"/>
  <c r="AP33" i="1"/>
  <c r="AO33" i="1"/>
  <c r="AJ33" i="1"/>
  <c r="AI33" i="1"/>
  <c r="AH33" i="1"/>
  <c r="AG33" i="1"/>
  <c r="AO34" i="1" s="1"/>
  <c r="AF33" i="1"/>
  <c r="AE33" i="1"/>
  <c r="AD33" i="1"/>
  <c r="AC33" i="1"/>
  <c r="AB33" i="1"/>
  <c r="AA33" i="1"/>
  <c r="Z33" i="1"/>
  <c r="AN34" i="1" s="1"/>
  <c r="Y33" i="1"/>
  <c r="X33" i="1"/>
  <c r="AL34" i="1" s="1"/>
  <c r="W33" i="1"/>
  <c r="K33" i="1"/>
  <c r="J33" i="1"/>
  <c r="I33" i="1"/>
  <c r="H33" i="1"/>
  <c r="G33" i="1"/>
  <c r="E33" i="1"/>
  <c r="D33" i="1"/>
  <c r="C33" i="1"/>
  <c r="B33" i="1"/>
  <c r="A33" i="1"/>
  <c r="V33" i="1" s="1"/>
  <c r="AR32" i="1"/>
  <c r="AQ32" i="1"/>
  <c r="AP32" i="1"/>
  <c r="AK32" i="1"/>
  <c r="AI32" i="1"/>
  <c r="AQ33" i="1" s="1"/>
  <c r="AH32" i="1"/>
  <c r="AG32" i="1"/>
  <c r="AF32" i="1"/>
  <c r="AE32" i="1"/>
  <c r="AD32" i="1"/>
  <c r="AC32" i="1"/>
  <c r="AB32" i="1"/>
  <c r="AA32" i="1"/>
  <c r="Z32" i="1"/>
  <c r="AN32" i="1" s="1"/>
  <c r="X32" i="1"/>
  <c r="AL33" i="1" s="1"/>
  <c r="V32" i="1"/>
  <c r="K32" i="1"/>
  <c r="J32" i="1"/>
  <c r="H32" i="1"/>
  <c r="G32" i="1"/>
  <c r="E32" i="1"/>
  <c r="D32" i="1"/>
  <c r="C32" i="1"/>
  <c r="B32" i="1"/>
  <c r="A32" i="1"/>
  <c r="AM31" i="1"/>
  <c r="AL31" i="1"/>
  <c r="AK31" i="1"/>
  <c r="AJ31" i="1"/>
  <c r="AI31" i="1"/>
  <c r="AH31" i="1"/>
  <c r="AP31" i="1" s="1"/>
  <c r="AG31" i="1"/>
  <c r="AF31" i="1"/>
  <c r="AE31" i="1"/>
  <c r="AD31" i="1"/>
  <c r="AC31" i="1"/>
  <c r="AB31" i="1"/>
  <c r="AA31" i="1"/>
  <c r="Z31" i="1"/>
  <c r="Y31" i="1"/>
  <c r="W31" i="1"/>
  <c r="V31" i="1"/>
  <c r="K31" i="1"/>
  <c r="J31" i="1"/>
  <c r="I31" i="1"/>
  <c r="H31" i="1"/>
  <c r="G31" i="1"/>
  <c r="E31" i="1"/>
  <c r="C31" i="1"/>
  <c r="B31" i="1"/>
  <c r="A31" i="1"/>
  <c r="AP30" i="1"/>
  <c r="AN30" i="1"/>
  <c r="AJ30" i="1"/>
  <c r="AR31" i="1" s="1"/>
  <c r="AI30" i="1"/>
  <c r="AQ31" i="1" s="1"/>
  <c r="AH30" i="1"/>
  <c r="AG30" i="1"/>
  <c r="AF30" i="1"/>
  <c r="AE30" i="1"/>
  <c r="AD30" i="1"/>
  <c r="AC30" i="1"/>
  <c r="AA30" i="1"/>
  <c r="Z30" i="1"/>
  <c r="AN31" i="1" s="1"/>
  <c r="Y30" i="1"/>
  <c r="X30" i="1"/>
  <c r="AL30" i="1" s="1"/>
  <c r="W30" i="1"/>
  <c r="J30" i="1"/>
  <c r="I30" i="1"/>
  <c r="G30" i="1"/>
  <c r="E30" i="1"/>
  <c r="B30" i="1"/>
  <c r="A30" i="1"/>
  <c r="V30" i="1" s="1"/>
  <c r="AN29" i="1"/>
  <c r="AL29" i="1"/>
  <c r="AJ29" i="1"/>
  <c r="AI29" i="1"/>
  <c r="AQ30" i="1" s="1"/>
  <c r="AG29" i="1"/>
  <c r="AO30" i="1" s="1"/>
  <c r="AF29" i="1"/>
  <c r="AE29" i="1"/>
  <c r="AD29" i="1"/>
  <c r="AC29" i="1"/>
  <c r="AB29" i="1"/>
  <c r="AA29" i="1"/>
  <c r="Z29" i="1"/>
  <c r="X29" i="1"/>
  <c r="W29" i="1"/>
  <c r="AK30" i="1" s="1"/>
  <c r="K29" i="1"/>
  <c r="I29" i="1"/>
  <c r="G29" i="1"/>
  <c r="E29" i="1"/>
  <c r="B29" i="1"/>
  <c r="A29" i="1"/>
  <c r="V29" i="1" s="1"/>
  <c r="AR28" i="1"/>
  <c r="AP28" i="1"/>
  <c r="AK28" i="1"/>
  <c r="AJ28" i="1"/>
  <c r="AR29" i="1" s="1"/>
  <c r="AI28" i="1"/>
  <c r="AQ29" i="1" s="1"/>
  <c r="AH28" i="1"/>
  <c r="AG28" i="1"/>
  <c r="AO29" i="1" s="1"/>
  <c r="AF28" i="1"/>
  <c r="AD28" i="1"/>
  <c r="AC28" i="1"/>
  <c r="AB28" i="1"/>
  <c r="Z28" i="1"/>
  <c r="Y28" i="1"/>
  <c r="X28" i="1"/>
  <c r="W28" i="1"/>
  <c r="AK29" i="1" s="1"/>
  <c r="I28" i="1"/>
  <c r="H28" i="1"/>
  <c r="D28" i="1"/>
  <c r="C28" i="1"/>
  <c r="B28" i="1"/>
  <c r="A28" i="1"/>
  <c r="V28" i="1" s="1"/>
  <c r="AO27" i="1"/>
  <c r="AJ27" i="1"/>
  <c r="AI27" i="1"/>
  <c r="AH27" i="1"/>
  <c r="AF27" i="1"/>
  <c r="AE27" i="1"/>
  <c r="AA27" i="1"/>
  <c r="Z27" i="1"/>
  <c r="AN28" i="1" s="1"/>
  <c r="Y27" i="1"/>
  <c r="AM28" i="1" s="1"/>
  <c r="X27" i="1"/>
  <c r="W27" i="1"/>
  <c r="V27" i="1"/>
  <c r="K27" i="1"/>
  <c r="J27" i="1"/>
  <c r="I27" i="1"/>
  <c r="H27" i="1"/>
  <c r="G27" i="1"/>
  <c r="C27" i="1"/>
  <c r="B27" i="1"/>
  <c r="AN26" i="1"/>
  <c r="AM26" i="1"/>
  <c r="AJ26" i="1"/>
  <c r="AR27" i="1" s="1"/>
  <c r="AI26" i="1"/>
  <c r="AQ27" i="1" s="1"/>
  <c r="AH26" i="1"/>
  <c r="AP27" i="1" s="1"/>
  <c r="AG26" i="1"/>
  <c r="AF26" i="1"/>
  <c r="AE26" i="1"/>
  <c r="AD26" i="1"/>
  <c r="AC26" i="1"/>
  <c r="AB26" i="1"/>
  <c r="AA26" i="1"/>
  <c r="Z26" i="1"/>
  <c r="Y26" i="1"/>
  <c r="X26" i="1"/>
  <c r="W26" i="1"/>
  <c r="K26" i="1"/>
  <c r="J26" i="1"/>
  <c r="I26" i="1"/>
  <c r="H26" i="1"/>
  <c r="G26" i="1"/>
  <c r="D26" i="1"/>
  <c r="C26" i="1"/>
  <c r="AK25" i="1"/>
  <c r="AJ25" i="1"/>
  <c r="AI25" i="1"/>
  <c r="AQ26" i="1" s="1"/>
  <c r="AH25" i="1"/>
  <c r="AG25" i="1"/>
  <c r="AO26" i="1" s="1"/>
  <c r="AF25" i="1"/>
  <c r="AE25" i="1"/>
  <c r="AB25" i="1"/>
  <c r="AA25" i="1"/>
  <c r="Z25" i="1"/>
  <c r="Y25" i="1"/>
  <c r="X25" i="1"/>
  <c r="W25" i="1"/>
  <c r="K25" i="1"/>
  <c r="J25" i="1"/>
  <c r="I25" i="1"/>
  <c r="H25" i="1"/>
  <c r="G25" i="1"/>
  <c r="E25" i="1"/>
  <c r="D25" i="1"/>
  <c r="C25" i="1"/>
  <c r="B25" i="1"/>
  <c r="AJ24" i="1"/>
  <c r="AI24" i="1"/>
  <c r="AQ25" i="1" s="1"/>
  <c r="AH24" i="1"/>
  <c r="AP25" i="1" s="1"/>
  <c r="AG24" i="1"/>
  <c r="AO25" i="1" s="1"/>
  <c r="AF24" i="1"/>
  <c r="AD24" i="1"/>
  <c r="AC24" i="1"/>
  <c r="AB24" i="1"/>
  <c r="AA24" i="1"/>
  <c r="Z24" i="1"/>
  <c r="AN25" i="1" s="1"/>
  <c r="W24" i="1"/>
  <c r="K24" i="1"/>
  <c r="J24" i="1"/>
  <c r="I24" i="1"/>
  <c r="G24" i="1"/>
  <c r="E24" i="1"/>
  <c r="D24" i="1"/>
  <c r="C24" i="1"/>
  <c r="B24" i="1"/>
  <c r="AN23" i="1"/>
  <c r="AM23" i="1"/>
  <c r="AL23" i="1"/>
  <c r="AJ23" i="1"/>
  <c r="AI23" i="1"/>
  <c r="AQ24" i="1" s="1"/>
  <c r="AH23" i="1"/>
  <c r="AG23" i="1"/>
  <c r="AO23" i="1" s="1"/>
  <c r="AF23" i="1"/>
  <c r="AE23" i="1"/>
  <c r="AD23" i="1"/>
  <c r="AC23" i="1"/>
  <c r="AB23" i="1"/>
  <c r="AA23" i="1"/>
  <c r="Z23" i="1"/>
  <c r="X23" i="1"/>
  <c r="W23" i="1"/>
  <c r="AK24" i="1" s="1"/>
  <c r="V23" i="1"/>
  <c r="K23" i="1"/>
  <c r="J23" i="1"/>
  <c r="I23" i="1"/>
  <c r="H23" i="1"/>
  <c r="G23" i="1"/>
  <c r="E23" i="1"/>
  <c r="D23" i="1"/>
  <c r="C23" i="1"/>
  <c r="B23" i="1"/>
  <c r="A23" i="1"/>
  <c r="AO22" i="1"/>
  <c r="AN22" i="1"/>
  <c r="AM22" i="1"/>
  <c r="AL22" i="1"/>
  <c r="AK22" i="1"/>
  <c r="AJ22" i="1"/>
  <c r="AR23" i="1" s="1"/>
  <c r="AI22" i="1"/>
  <c r="AF22" i="1"/>
  <c r="AE22" i="1"/>
  <c r="AD22" i="1"/>
  <c r="AC22" i="1"/>
  <c r="Z22" i="1"/>
  <c r="Y22" i="1"/>
  <c r="X22" i="1"/>
  <c r="W22" i="1"/>
  <c r="V22" i="1"/>
  <c r="K22" i="1"/>
  <c r="J22" i="1"/>
  <c r="I22" i="1"/>
  <c r="H22" i="1"/>
  <c r="E22" i="1"/>
  <c r="D22" i="1"/>
  <c r="C22" i="1"/>
  <c r="B22" i="1"/>
  <c r="A22" i="1"/>
  <c r="AN21" i="1"/>
  <c r="AM21" i="1"/>
  <c r="AL21" i="1"/>
  <c r="AJ21" i="1"/>
  <c r="AR22" i="1" s="1"/>
  <c r="AI21" i="1"/>
  <c r="AQ22" i="1" s="1"/>
  <c r="AG21" i="1"/>
  <c r="AF21" i="1"/>
  <c r="AE21" i="1"/>
  <c r="AD21" i="1"/>
  <c r="AC21" i="1"/>
  <c r="AA21" i="1"/>
  <c r="Y21" i="1"/>
  <c r="X21" i="1"/>
  <c r="W21" i="1"/>
  <c r="V21" i="1"/>
  <c r="K21" i="1"/>
  <c r="J21" i="1"/>
  <c r="I21" i="1"/>
  <c r="H21" i="1"/>
  <c r="G21" i="1"/>
  <c r="E21" i="1"/>
  <c r="B21" i="1"/>
  <c r="A21" i="1"/>
  <c r="AN20" i="1"/>
  <c r="AJ20" i="1"/>
  <c r="AI20" i="1"/>
  <c r="AH20" i="1"/>
  <c r="AP21" i="1" s="1"/>
  <c r="AF20" i="1"/>
  <c r="AE20" i="1"/>
  <c r="AD20" i="1"/>
  <c r="AB20" i="1"/>
  <c r="AA20" i="1"/>
  <c r="Z20" i="1"/>
  <c r="Y20" i="1"/>
  <c r="X20" i="1"/>
  <c r="W20" i="1"/>
  <c r="K20" i="1"/>
  <c r="J20" i="1"/>
  <c r="I20" i="1"/>
  <c r="H20" i="1"/>
  <c r="G20" i="1"/>
  <c r="E20" i="1"/>
  <c r="D20" i="1"/>
  <c r="C20" i="1"/>
  <c r="B20" i="1"/>
  <c r="A20" i="1"/>
  <c r="V20" i="1" s="1"/>
  <c r="AR19" i="1"/>
  <c r="AN19" i="1"/>
  <c r="AK19" i="1"/>
  <c r="AJ19" i="1"/>
  <c r="AR20" i="1" s="1"/>
  <c r="AI19" i="1"/>
  <c r="AQ20" i="1" s="1"/>
  <c r="AH19" i="1"/>
  <c r="AG19" i="1"/>
  <c r="AF19" i="1"/>
  <c r="AE19" i="1"/>
  <c r="AD19" i="1"/>
  <c r="AB19" i="1"/>
  <c r="AA19" i="1"/>
  <c r="Z19" i="1"/>
  <c r="Y19" i="1"/>
  <c r="AM20" i="1" s="1"/>
  <c r="X19" i="1"/>
  <c r="W19" i="1"/>
  <c r="V19" i="1"/>
  <c r="K19" i="1"/>
  <c r="J19" i="1"/>
  <c r="I19" i="1"/>
  <c r="H19" i="1"/>
  <c r="G19" i="1"/>
  <c r="E19" i="1"/>
  <c r="D19" i="1"/>
  <c r="C19" i="1"/>
  <c r="B19" i="1"/>
  <c r="A19" i="1"/>
  <c r="AM18" i="1"/>
  <c r="AL18" i="1"/>
  <c r="AK18" i="1"/>
  <c r="AJ18" i="1"/>
  <c r="AI18" i="1"/>
  <c r="AH18" i="1"/>
  <c r="AG18" i="1"/>
  <c r="AO19" i="1" s="1"/>
  <c r="AF18" i="1"/>
  <c r="AE18" i="1"/>
  <c r="AD18" i="1"/>
  <c r="AC18" i="1"/>
  <c r="AB18" i="1"/>
  <c r="AA18" i="1"/>
  <c r="Z18" i="1"/>
  <c r="Y18" i="1"/>
  <c r="AM19" i="1" s="1"/>
  <c r="X18" i="1"/>
  <c r="W18" i="1"/>
  <c r="V18" i="1"/>
  <c r="K18" i="1"/>
  <c r="J18" i="1"/>
  <c r="I18" i="1"/>
  <c r="H18" i="1"/>
  <c r="G18" i="1"/>
  <c r="E18" i="1"/>
  <c r="D18" i="1"/>
  <c r="C18" i="1"/>
  <c r="B18" i="1"/>
  <c r="AM17" i="1"/>
  <c r="AJ17" i="1"/>
  <c r="AI17" i="1"/>
  <c r="AH17" i="1"/>
  <c r="AG17" i="1"/>
  <c r="AF17" i="1"/>
  <c r="AE17" i="1"/>
  <c r="AD17" i="1"/>
  <c r="AB17" i="1"/>
  <c r="AA17" i="1"/>
  <c r="Z17" i="1"/>
  <c r="AN18" i="1" s="1"/>
  <c r="Y17" i="1"/>
  <c r="X17" i="1"/>
  <c r="W17" i="1"/>
  <c r="V17" i="1"/>
  <c r="K17" i="1"/>
  <c r="J17" i="1"/>
  <c r="I17" i="1"/>
  <c r="H17" i="1"/>
  <c r="G17" i="1"/>
  <c r="E17" i="1"/>
  <c r="D17" i="1"/>
  <c r="C17" i="1"/>
  <c r="A17" i="1"/>
  <c r="AQ16" i="1"/>
  <c r="AO16" i="1"/>
  <c r="AM16" i="1"/>
  <c r="AI16" i="1"/>
  <c r="AQ17" i="1" s="1"/>
  <c r="AH16" i="1"/>
  <c r="AP16" i="1" s="1"/>
  <c r="AG16" i="1"/>
  <c r="AF16" i="1"/>
  <c r="AE16" i="1"/>
  <c r="AD16" i="1"/>
  <c r="AC16" i="1"/>
  <c r="AB16" i="1"/>
  <c r="AA16" i="1"/>
  <c r="Z16" i="1"/>
  <c r="AN17" i="1" s="1"/>
  <c r="X16" i="1"/>
  <c r="AL17" i="1" s="1"/>
  <c r="W16" i="1"/>
  <c r="K16" i="1"/>
  <c r="J16" i="1"/>
  <c r="I16" i="1"/>
  <c r="H16" i="1"/>
  <c r="G16" i="1"/>
  <c r="E16" i="1"/>
  <c r="D16" i="1"/>
  <c r="C16" i="1"/>
  <c r="B16" i="1"/>
  <c r="AQ15" i="1"/>
  <c r="AM15" i="1"/>
  <c r="AJ15" i="1"/>
  <c r="AR16" i="1" s="1"/>
  <c r="AI15" i="1"/>
  <c r="AH15" i="1"/>
  <c r="AG15" i="1"/>
  <c r="AF15" i="1"/>
  <c r="AE15" i="1"/>
  <c r="AD15" i="1"/>
  <c r="AC15" i="1"/>
  <c r="AB15" i="1"/>
  <c r="Z15" i="1"/>
  <c r="Y15" i="1"/>
  <c r="X15" i="1"/>
  <c r="AL16" i="1" s="1"/>
  <c r="W15" i="1"/>
  <c r="V15" i="1"/>
  <c r="K15" i="1"/>
  <c r="J15" i="1"/>
  <c r="I15" i="1"/>
  <c r="H15" i="1"/>
  <c r="G15" i="1"/>
  <c r="E15" i="1"/>
  <c r="C15" i="1"/>
  <c r="B15" i="1"/>
  <c r="A15" i="1"/>
  <c r="AQ14" i="1"/>
  <c r="AO14" i="1"/>
  <c r="AM14" i="1"/>
  <c r="AJ14" i="1"/>
  <c r="AI14" i="1"/>
  <c r="AH14" i="1"/>
  <c r="AP15" i="1" s="1"/>
  <c r="AG14" i="1"/>
  <c r="AO15" i="1" s="1"/>
  <c r="AF14" i="1"/>
  <c r="AE14" i="1"/>
  <c r="AD14" i="1"/>
  <c r="AC14" i="1"/>
  <c r="Z14" i="1"/>
  <c r="Y14" i="1"/>
  <c r="X14" i="1"/>
  <c r="W14" i="1"/>
  <c r="AK15" i="1" s="1"/>
  <c r="K14" i="1"/>
  <c r="J14" i="1"/>
  <c r="I14" i="1"/>
  <c r="G14" i="1"/>
  <c r="E14" i="1"/>
  <c r="D14" i="1"/>
  <c r="C14" i="1"/>
  <c r="A14" i="1"/>
  <c r="V14" i="1" s="1"/>
  <c r="AL13" i="1"/>
  <c r="AI13" i="1"/>
  <c r="AH13" i="1"/>
  <c r="AG13" i="1"/>
  <c r="AF13" i="1"/>
  <c r="AE13" i="1"/>
  <c r="AD13" i="1"/>
  <c r="AC13" i="1"/>
  <c r="AB13" i="1"/>
  <c r="AA13" i="1"/>
  <c r="Y13" i="1"/>
  <c r="X13" i="1"/>
  <c r="W13" i="1"/>
  <c r="K13" i="1"/>
  <c r="J13" i="1"/>
  <c r="I13" i="1"/>
  <c r="H13" i="1"/>
  <c r="G13" i="1"/>
  <c r="E13" i="1"/>
  <c r="D13" i="1"/>
  <c r="C13" i="1"/>
  <c r="B13" i="1"/>
  <c r="A13" i="1"/>
  <c r="V13" i="1" s="1"/>
  <c r="AO12" i="1"/>
  <c r="AM12" i="1"/>
  <c r="AL12" i="1"/>
  <c r="AI12" i="1"/>
  <c r="AH12" i="1"/>
  <c r="AP13" i="1" s="1"/>
  <c r="AG12" i="1"/>
  <c r="AF12" i="1"/>
  <c r="AD12" i="1"/>
  <c r="AB12" i="1"/>
  <c r="AA12" i="1"/>
  <c r="Y12" i="1"/>
  <c r="X12" i="1"/>
  <c r="W12" i="1"/>
  <c r="AK13" i="1" s="1"/>
  <c r="K12" i="1"/>
  <c r="J12" i="1"/>
  <c r="I12" i="1"/>
  <c r="H12" i="1"/>
  <c r="D12" i="1"/>
  <c r="C12" i="1"/>
  <c r="B12" i="1"/>
  <c r="A12" i="1"/>
  <c r="V12" i="1" s="1"/>
  <c r="AM11" i="1"/>
  <c r="AJ11" i="1"/>
  <c r="AI11" i="1"/>
  <c r="AQ12" i="1" s="1"/>
  <c r="AG11" i="1"/>
  <c r="AF11" i="1"/>
  <c r="AE11" i="1"/>
  <c r="AD11" i="1"/>
  <c r="AC11" i="1"/>
  <c r="AB11" i="1"/>
  <c r="AA11" i="1"/>
  <c r="Z11" i="1"/>
  <c r="Y11" i="1"/>
  <c r="X11" i="1"/>
  <c r="W11" i="1"/>
  <c r="AK11" i="1" s="1"/>
  <c r="K11" i="1"/>
  <c r="J11" i="1"/>
  <c r="I11" i="1"/>
  <c r="H11" i="1"/>
  <c r="G11" i="1"/>
  <c r="E11" i="1"/>
  <c r="D11" i="1"/>
  <c r="C11" i="1"/>
  <c r="B11" i="1"/>
  <c r="A11" i="1"/>
  <c r="V11" i="1" s="1"/>
  <c r="AO10" i="1"/>
  <c r="AJ10" i="1"/>
  <c r="AR10" i="1" s="1"/>
  <c r="AH10" i="1"/>
  <c r="AG10" i="1"/>
  <c r="AF10" i="1"/>
  <c r="AE10" i="1"/>
  <c r="AD10" i="1"/>
  <c r="AC10" i="1"/>
  <c r="AB10" i="1"/>
  <c r="AA10" i="1"/>
  <c r="Z10" i="1"/>
  <c r="Y10" i="1"/>
  <c r="X10" i="1"/>
  <c r="J10" i="1"/>
  <c r="I10" i="1"/>
  <c r="H10" i="1"/>
  <c r="G10" i="1"/>
  <c r="E10" i="1"/>
  <c r="D10" i="1"/>
  <c r="C10" i="1"/>
  <c r="B10" i="1"/>
  <c r="A10" i="1"/>
  <c r="V10" i="1" s="1"/>
  <c r="AR9" i="1"/>
  <c r="AL9" i="1"/>
  <c r="AJ9" i="1"/>
  <c r="AI9" i="1"/>
  <c r="AG9" i="1"/>
  <c r="AF9" i="1"/>
  <c r="AE9" i="1"/>
  <c r="AC9" i="1"/>
  <c r="AB9" i="1"/>
  <c r="AA9" i="1"/>
  <c r="Z9" i="1"/>
  <c r="AN10" i="1" s="1"/>
  <c r="Y9" i="1"/>
  <c r="X9" i="1"/>
  <c r="W9" i="1"/>
  <c r="AK10" i="1" s="1"/>
  <c r="K9" i="1"/>
  <c r="J9" i="1"/>
  <c r="I9" i="1"/>
  <c r="H9" i="1"/>
  <c r="E9" i="1"/>
  <c r="D9" i="1"/>
  <c r="C9" i="1"/>
  <c r="B9" i="1"/>
  <c r="AQ8" i="1"/>
  <c r="AP8" i="1"/>
  <c r="AN8" i="1"/>
  <c r="AM8" i="1"/>
  <c r="AL8" i="1"/>
  <c r="AJ8" i="1"/>
  <c r="AI8" i="1"/>
  <c r="AH8" i="1"/>
  <c r="AG8" i="1"/>
  <c r="AO9" i="1" s="1"/>
  <c r="AF8" i="1"/>
  <c r="AE8" i="1"/>
  <c r="AD8" i="1"/>
  <c r="AC8" i="1"/>
  <c r="AB8" i="1"/>
  <c r="AA8" i="1"/>
  <c r="Z8" i="1"/>
  <c r="Y8" i="1"/>
  <c r="X8" i="1"/>
  <c r="W8" i="1"/>
  <c r="AK9" i="1" s="1"/>
  <c r="V8" i="1"/>
  <c r="K8" i="1"/>
  <c r="J8" i="1"/>
  <c r="H8" i="1"/>
  <c r="G8" i="1"/>
  <c r="E8" i="1"/>
  <c r="D8" i="1"/>
  <c r="C8" i="1"/>
  <c r="A8" i="1"/>
  <c r="AQ7" i="1"/>
  <c r="AM7" i="1"/>
  <c r="AL7" i="1"/>
  <c r="AK7" i="1"/>
  <c r="AJ7" i="1"/>
  <c r="AR8" i="1" s="1"/>
  <c r="AI7" i="1"/>
  <c r="AH7" i="1"/>
  <c r="AG7" i="1"/>
  <c r="AF7" i="1"/>
  <c r="AE7" i="1"/>
  <c r="AD7" i="1"/>
  <c r="AC7" i="1"/>
  <c r="AB7" i="1"/>
  <c r="AA7" i="1"/>
  <c r="Y7" i="1"/>
  <c r="X7" i="1"/>
  <c r="W7" i="1"/>
  <c r="AK8" i="1" s="1"/>
  <c r="V7" i="1"/>
  <c r="J7" i="1"/>
  <c r="H7" i="1"/>
  <c r="G7" i="1"/>
  <c r="E7" i="1"/>
  <c r="D7" i="1"/>
  <c r="C7" i="1"/>
  <c r="B7" i="1"/>
  <c r="A7" i="1"/>
  <c r="AP6" i="1"/>
  <c r="AL6" i="1"/>
  <c r="AK6" i="1"/>
  <c r="AJ6" i="1"/>
  <c r="AI6" i="1"/>
  <c r="AH6" i="1"/>
  <c r="AF6" i="1"/>
  <c r="AC6" i="1"/>
  <c r="AB6" i="1"/>
  <c r="Y6" i="1"/>
  <c r="X6" i="1"/>
  <c r="W6" i="1"/>
  <c r="K6" i="1"/>
  <c r="J6" i="1"/>
  <c r="I6" i="1"/>
  <c r="H6" i="1"/>
  <c r="E6" i="1"/>
  <c r="D6" i="1"/>
  <c r="C6" i="1"/>
  <c r="B6" i="1"/>
  <c r="A6" i="1"/>
  <c r="V6" i="1" s="1"/>
  <c r="AQ5" i="1"/>
  <c r="AP5" i="1"/>
  <c r="AO5" i="1"/>
  <c r="AK5" i="1"/>
  <c r="AJ5" i="1"/>
  <c r="AI5" i="1"/>
  <c r="AQ6" i="1" s="1"/>
  <c r="AH5" i="1"/>
  <c r="AG5" i="1"/>
  <c r="AF5" i="1"/>
  <c r="AE5" i="1"/>
  <c r="AD5" i="1"/>
  <c r="AB5" i="1"/>
  <c r="AA5" i="1"/>
  <c r="Z5" i="1"/>
  <c r="AN6" i="1" s="1"/>
  <c r="Y5" i="1"/>
  <c r="AM6" i="1" s="1"/>
  <c r="X5" i="1"/>
  <c r="W5" i="1"/>
  <c r="K5" i="1"/>
  <c r="J5" i="1"/>
  <c r="I5" i="1"/>
  <c r="G5" i="1"/>
  <c r="C5" i="1"/>
  <c r="B5" i="1"/>
  <c r="A5" i="1"/>
  <c r="V5" i="1" s="1"/>
  <c r="AQ4" i="1"/>
  <c r="AP4" i="1"/>
  <c r="AO4" i="1"/>
  <c r="AJ4" i="1"/>
  <c r="AR5" i="1" s="1"/>
  <c r="AI4" i="1"/>
  <c r="AH4" i="1"/>
  <c r="AG4" i="1"/>
  <c r="AF4" i="1"/>
  <c r="AE4" i="1"/>
  <c r="AD4" i="1"/>
  <c r="AC4" i="1"/>
  <c r="AA4" i="1"/>
  <c r="Z4" i="1"/>
  <c r="Y4" i="1"/>
  <c r="X4" i="1"/>
  <c r="AL5" i="1" s="1"/>
  <c r="W4" i="1"/>
  <c r="K4" i="1"/>
  <c r="J4" i="1"/>
  <c r="I4" i="1"/>
  <c r="H4" i="1"/>
  <c r="E4" i="1"/>
  <c r="D4" i="1"/>
  <c r="C4" i="1"/>
  <c r="B4" i="1"/>
  <c r="A4" i="1"/>
  <c r="V4" i="1" s="1"/>
  <c r="AJ3" i="1"/>
  <c r="AR4" i="1" s="1"/>
  <c r="AI3" i="1"/>
  <c r="AH3" i="1"/>
  <c r="AG3" i="1"/>
  <c r="AF3" i="1"/>
  <c r="AE3" i="1"/>
  <c r="AD3" i="1"/>
  <c r="AC3" i="1"/>
  <c r="AB3" i="1"/>
  <c r="AA3" i="1"/>
  <c r="Z3" i="1"/>
  <c r="AN4" i="1" s="1"/>
  <c r="Y3" i="1"/>
  <c r="AM4" i="1" s="1"/>
  <c r="X3" i="1"/>
  <c r="K3" i="1"/>
  <c r="J3" i="1"/>
  <c r="H3" i="1"/>
  <c r="G3" i="1"/>
  <c r="E3" i="1"/>
  <c r="D3" i="1"/>
  <c r="C3" i="1"/>
  <c r="B3" i="1"/>
  <c r="A3" i="1"/>
  <c r="V3" i="1" s="1"/>
  <c r="AJ2" i="1"/>
  <c r="AR3" i="1" s="1"/>
  <c r="AI2" i="1"/>
  <c r="AQ3" i="1" s="1"/>
  <c r="AH2" i="1"/>
  <c r="AP3" i="1" s="1"/>
  <c r="AG2" i="1"/>
  <c r="AO3" i="1" s="1"/>
  <c r="AF2" i="1"/>
  <c r="AE2" i="1"/>
  <c r="AC2" i="1"/>
  <c r="AB2" i="1"/>
  <c r="AA2" i="1"/>
  <c r="Y2" i="1"/>
  <c r="X2" i="1"/>
  <c r="W2" i="1"/>
  <c r="V2" i="1"/>
  <c r="K2" i="1"/>
  <c r="J2" i="1"/>
  <c r="I2" i="1"/>
  <c r="H2" i="1"/>
  <c r="G2" i="1"/>
  <c r="E2" i="1"/>
  <c r="D2" i="1"/>
  <c r="C2" i="1"/>
  <c r="B2" i="1"/>
  <c r="AE1" i="1"/>
  <c r="V1" i="1"/>
  <c r="AR6" i="1" l="1"/>
  <c r="AR7" i="1"/>
  <c r="AP9" i="1"/>
  <c r="AN14" i="1"/>
  <c r="AN16" i="1"/>
  <c r="AN15" i="1"/>
  <c r="AL38" i="1"/>
  <c r="AM38" i="1"/>
  <c r="AO6" i="1"/>
  <c r="AO7" i="1"/>
  <c r="AQ11" i="1"/>
  <c r="AQ10" i="1"/>
  <c r="AP38" i="1"/>
  <c r="AO20" i="1"/>
  <c r="AO21" i="1"/>
  <c r="AR12" i="1"/>
  <c r="AR11" i="1"/>
  <c r="AP20" i="1"/>
  <c r="AP19" i="1"/>
  <c r="AK20" i="1"/>
  <c r="AK21" i="1"/>
  <c r="AR25" i="1"/>
  <c r="AR26" i="1"/>
  <c r="AQ76" i="1"/>
  <c r="AK67" i="1"/>
  <c r="AK66" i="1"/>
  <c r="AQ75" i="1"/>
  <c r="AQ74" i="1"/>
  <c r="AN64" i="1"/>
  <c r="AN63" i="1"/>
  <c r="AR42" i="1"/>
  <c r="AQ58" i="1"/>
  <c r="AQ57" i="1"/>
  <c r="AK3" i="1"/>
  <c r="AK27" i="1"/>
  <c r="AK26" i="1"/>
  <c r="AO52" i="1"/>
  <c r="AP22" i="1"/>
  <c r="AP23" i="1"/>
  <c r="AO8" i="1"/>
  <c r="AP55" i="1"/>
  <c r="AK56" i="1"/>
  <c r="AK55" i="1"/>
  <c r="AO31" i="1"/>
  <c r="AO32" i="1"/>
  <c r="A59" i="1"/>
  <c r="V59" i="1" s="1"/>
  <c r="A59" i="2"/>
  <c r="AK72" i="1"/>
  <c r="AK73" i="1"/>
  <c r="AQ53" i="1"/>
  <c r="AQ54" i="1"/>
  <c r="AM48" i="1"/>
  <c r="AM47" i="1"/>
  <c r="AM10" i="1"/>
  <c r="AM9" i="1"/>
  <c r="AL20" i="1"/>
  <c r="AL19" i="1"/>
  <c r="AP58" i="1"/>
  <c r="AP57" i="1"/>
  <c r="AN71" i="1"/>
  <c r="AK16" i="1"/>
  <c r="AK17" i="1"/>
  <c r="AM5" i="1"/>
  <c r="AN5" i="1"/>
  <c r="AO17" i="1"/>
  <c r="AO18" i="1"/>
  <c r="AL24" i="1"/>
  <c r="AL27" i="1"/>
  <c r="AL26" i="1"/>
  <c r="AN51" i="1"/>
  <c r="AQ66" i="1"/>
  <c r="AM3" i="1"/>
  <c r="AP18" i="1"/>
  <c r="AP17" i="1"/>
  <c r="AN24" i="1"/>
  <c r="AM27" i="1"/>
  <c r="AN27" i="1"/>
  <c r="AN33" i="1"/>
  <c r="AQ44" i="1"/>
  <c r="AO59" i="1"/>
  <c r="AK60" i="1"/>
  <c r="AN69" i="1"/>
  <c r="AL72" i="1"/>
  <c r="AL71" i="1"/>
  <c r="AL11" i="1"/>
  <c r="AL10" i="1"/>
  <c r="AL15" i="1"/>
  <c r="AK34" i="1"/>
  <c r="AO35" i="1"/>
  <c r="AO48" i="1"/>
  <c r="AL4" i="1"/>
  <c r="AL3" i="1"/>
  <c r="AK23" i="1"/>
  <c r="AP26" i="1"/>
  <c r="AL32" i="1"/>
  <c r="AM40" i="1"/>
  <c r="AQ55" i="1"/>
  <c r="A64" i="2"/>
  <c r="A64" i="1"/>
  <c r="V64" i="1" s="1"/>
  <c r="AR15" i="1"/>
  <c r="AL44" i="1"/>
  <c r="AR55" i="1"/>
  <c r="AN76" i="1"/>
  <c r="AN75" i="1"/>
  <c r="AQ83" i="1"/>
  <c r="AQ82" i="1"/>
  <c r="A16" i="2"/>
  <c r="A16" i="1"/>
  <c r="V16" i="1" s="1"/>
  <c r="A25" i="1"/>
  <c r="V25" i="1" s="1"/>
  <c r="A25" i="2"/>
  <c r="AK14" i="1"/>
  <c r="AQ19" i="1"/>
  <c r="AQ18" i="1"/>
  <c r="AL28" i="1"/>
  <c r="AM34" i="1"/>
  <c r="AL55" i="1"/>
  <c r="AO58" i="1"/>
  <c r="AM70" i="1"/>
  <c r="AN80" i="1"/>
  <c r="AO11" i="1"/>
  <c r="AP72" i="1"/>
  <c r="AM75" i="1"/>
  <c r="AN77" i="1"/>
  <c r="AR80" i="1"/>
  <c r="AP68" i="1"/>
  <c r="AK36" i="1"/>
  <c r="AO41" i="1"/>
  <c r="AM81" i="1"/>
  <c r="AO47" i="1"/>
  <c r="AP14" i="1"/>
  <c r="AR18" i="1"/>
  <c r="AM25" i="1"/>
  <c r="AO28" i="1"/>
  <c r="AM37" i="1"/>
  <c r="AK50" i="1"/>
  <c r="AR66" i="1"/>
  <c r="AM77" i="1"/>
  <c r="AK81" i="1"/>
  <c r="AE40" i="1"/>
  <c r="A40" i="3"/>
  <c r="G40" i="1"/>
  <c r="AN9" i="1"/>
  <c r="AM32" i="1"/>
  <c r="AP35" i="1"/>
  <c r="AQ47" i="1"/>
  <c r="AR49" i="1"/>
  <c r="AP52" i="1"/>
  <c r="AP11" i="1"/>
  <c r="AE12" i="1"/>
  <c r="AR47" i="1"/>
  <c r="AR74" i="1"/>
  <c r="AP82" i="1"/>
  <c r="A2" i="2"/>
  <c r="AL50" i="1"/>
  <c r="A9" i="3"/>
  <c r="G9" i="1"/>
  <c r="AL48" i="1"/>
  <c r="AQ68" i="1"/>
  <c r="G81" i="1"/>
  <c r="A81" i="3"/>
  <c r="AR21" i="1"/>
  <c r="AM29" i="1"/>
  <c r="AN42" i="1"/>
  <c r="AP51" i="1"/>
  <c r="AP59" i="1"/>
  <c r="AK64" i="1"/>
  <c r="AN61" i="1"/>
  <c r="A6" i="3"/>
  <c r="G6" i="1"/>
  <c r="AE6" i="1"/>
  <c r="AQ42" i="1"/>
  <c r="AQ43" i="1"/>
  <c r="AO61" i="1"/>
  <c r="AM56" i="1"/>
  <c r="AQ59" i="1"/>
  <c r="AL64" i="1"/>
  <c r="AR17" i="1"/>
  <c r="A28" i="3"/>
  <c r="G28" i="1"/>
  <c r="AE28" i="1"/>
  <c r="AN12" i="1"/>
  <c r="AN11" i="1"/>
  <c r="AO13" i="1"/>
  <c r="AQ21" i="1"/>
  <c r="AP24" i="1"/>
  <c r="AR36" i="1"/>
  <c r="AR37" i="1"/>
  <c r="AK62" i="1"/>
  <c r="AR68" i="1"/>
  <c r="AQ85" i="1"/>
  <c r="G12" i="1"/>
  <c r="AQ13" i="1"/>
  <c r="AR24" i="1"/>
  <c r="AO24" i="1"/>
  <c r="AR30" i="1"/>
  <c r="AQ51" i="1"/>
  <c r="AL14" i="1"/>
  <c r="AQ23" i="1"/>
  <c r="AL41" i="1"/>
  <c r="AR59" i="1"/>
  <c r="AP63" i="1"/>
  <c r="AR79" i="1"/>
  <c r="AQ84" i="1"/>
  <c r="AN46" i="1"/>
  <c r="A4" i="3"/>
  <c r="G4" i="1"/>
  <c r="A38" i="3"/>
  <c r="G38" i="1"/>
  <c r="A26" i="2"/>
  <c r="A26" i="1"/>
  <c r="V26" i="1" s="1"/>
  <c r="AL80" i="1"/>
  <c r="AO82" i="1"/>
  <c r="A75" i="1"/>
  <c r="V75" i="1" s="1"/>
  <c r="A75" i="2"/>
  <c r="G80" i="1"/>
  <c r="A80" i="3"/>
  <c r="AL37" i="1"/>
  <c r="AM44" i="1"/>
  <c r="AO51" i="1"/>
  <c r="AO57" i="1"/>
  <c r="AR58" i="1"/>
  <c r="AL63" i="1"/>
  <c r="AP65" i="1"/>
  <c r="AP79" i="1"/>
  <c r="AK83" i="1"/>
  <c r="AO84" i="1"/>
  <c r="AP47" i="1"/>
  <c r="AQ65" i="1"/>
  <c r="AR82" i="1"/>
  <c r="AM74" i="1"/>
  <c r="A76" i="3"/>
  <c r="AE76" i="1"/>
  <c r="AK12" i="1"/>
  <c r="AQ28" i="1"/>
  <c r="AO46" i="1"/>
  <c r="AP7" i="1"/>
  <c r="AQ9" i="1"/>
  <c r="AM13" i="1"/>
  <c r="AR57" i="1"/>
  <c r="AO67" i="1"/>
  <c r="AP81" i="1"/>
  <c r="AM43" i="1"/>
  <c r="A48" i="1"/>
  <c r="V48" i="1" s="1"/>
  <c r="AP50" i="1"/>
  <c r="AO56" i="1"/>
  <c r="AO55" i="1"/>
  <c r="AM69" i="1"/>
  <c r="AL76" i="1"/>
  <c r="AR84" i="1"/>
  <c r="A24" i="2"/>
  <c r="A24" i="1"/>
  <c r="V24" i="1" s="1"/>
  <c r="AK33" i="1"/>
  <c r="AP54" i="1"/>
  <c r="A84" i="3"/>
  <c r="AE84" i="1"/>
  <c r="AN84" i="1"/>
  <c r="AP85" i="1"/>
  <c r="A80" i="2"/>
  <c r="A80" i="1"/>
  <c r="V80" i="1" s="1"/>
  <c r="AK76" i="1"/>
  <c r="AQ64" i="1"/>
  <c r="AL70" i="1"/>
  <c r="A22" i="3"/>
  <c r="G22" i="1"/>
  <c r="AP29" i="1"/>
  <c r="AO73" i="1"/>
  <c r="A54" i="3"/>
  <c r="G54" i="1"/>
  <c r="AN68" i="1"/>
</calcChain>
</file>

<file path=xl/sharedStrings.xml><?xml version="1.0" encoding="utf-8"?>
<sst xmlns="http://schemas.openxmlformats.org/spreadsheetml/2006/main" count="7047" uniqueCount="103">
  <si>
    <t>Case Temp(℃)</t>
  </si>
  <si>
    <t>WL@Operational current_1270</t>
  </si>
  <si>
    <t>WL@Operational current_1290</t>
  </si>
  <si>
    <t>WL@Operational current_1310</t>
  </si>
  <si>
    <t>WL@Operational current_1330</t>
  </si>
  <si>
    <t>WL@Maximum current_@1270</t>
  </si>
  <si>
    <t>WL@Maximum current_@1290</t>
  </si>
  <si>
    <t>WL@Maximum current_1310</t>
  </si>
  <si>
    <t>WL@Maximum current_1330</t>
  </si>
  <si>
    <t>Operational_TxP_1270</t>
  </si>
  <si>
    <t>Operational_TxP_1290</t>
  </si>
  <si>
    <t>Operational_TxP_1310</t>
  </si>
  <si>
    <t>Operational_TxP_1330</t>
  </si>
  <si>
    <t>Operational_DDMI Bias_1270</t>
  </si>
  <si>
    <t>Operational_DDMI Bias_1290</t>
  </si>
  <si>
    <t>Operational_DDMI Bias_1310</t>
  </si>
  <si>
    <t>Operational_DDMI Bias_1330</t>
  </si>
  <si>
    <t>Max_DDMI Bias</t>
  </si>
  <si>
    <t>Max_TxP_1270</t>
  </si>
  <si>
    <t>Max_TxP_1290</t>
  </si>
  <si>
    <t>Max_TxP_1310</t>
  </si>
  <si>
    <t>Max_TxP_1330</t>
  </si>
  <si>
    <t>CH1_N</t>
  </si>
  <si>
    <t>CH2_N</t>
  </si>
  <si>
    <t>CH3_N</t>
  </si>
  <si>
    <t>CH4_N</t>
  </si>
  <si>
    <t>CH1_M</t>
  </si>
  <si>
    <t>CH2_M</t>
  </si>
  <si>
    <t>CH3_M</t>
  </si>
  <si>
    <t>CH4_M</t>
  </si>
  <si>
    <t>Max</t>
  </si>
  <si>
    <t>Min</t>
  </si>
  <si>
    <t>Wavelength(nm)_CH1</t>
  </si>
  <si>
    <t>Wavelength(nm)_CH2</t>
  </si>
  <si>
    <t>Wavelength(nm)_CH3</t>
  </si>
  <si>
    <t>Wavelength(nm)_CH4</t>
  </si>
  <si>
    <t>Power_CH1</t>
  </si>
  <si>
    <t>Power_CH2</t>
  </si>
  <si>
    <t>Power_CH3</t>
  </si>
  <si>
    <t>Power_CH4</t>
  </si>
  <si>
    <t>dWL1/dT</t>
  </si>
  <si>
    <t>dWL2/dT</t>
  </si>
  <si>
    <t>dWL3/dT</t>
  </si>
  <si>
    <t>dWL4/dT</t>
  </si>
  <si>
    <t>CH1_DDMI_Bias_N</t>
  </si>
  <si>
    <t>CH2_DDMI_Bias_N</t>
  </si>
  <si>
    <t>CH3_DDMI_Bias_N</t>
  </si>
  <si>
    <t>CH4_DDMI_Bias_N</t>
  </si>
  <si>
    <t>Power_CH1_M</t>
  </si>
  <si>
    <t>Power_CH2_M</t>
  </si>
  <si>
    <t>Power_CH3_M</t>
  </si>
  <si>
    <t>Power_CH4_M</t>
  </si>
  <si>
    <t>CH1_DDMI_Bias_M</t>
  </si>
  <si>
    <t>CH2_DDMI_Bias_M</t>
  </si>
  <si>
    <t>CH3_DDMI_Bias_M</t>
  </si>
  <si>
    <t>CH4_DDMI_Bias_M</t>
  </si>
  <si>
    <t>TESTNUMBER</t>
  </si>
  <si>
    <t>WO</t>
  </si>
  <si>
    <t>TESTSN</t>
  </si>
  <si>
    <t>OPERATION</t>
  </si>
  <si>
    <t>PN</t>
  </si>
  <si>
    <t>EQUPMENT</t>
  </si>
  <si>
    <t>FIXTUREID</t>
  </si>
  <si>
    <t>TESTRESULT</t>
  </si>
  <si>
    <t>TESTOP</t>
  </si>
  <si>
    <t>TESTDATE</t>
  </si>
  <si>
    <t>TESTREASON</t>
  </si>
  <si>
    <t>TEST_STATUS</t>
  </si>
  <si>
    <t>CHNumber</t>
  </si>
  <si>
    <t>CH_Pass_Fail</t>
  </si>
  <si>
    <t>FailureCodeID</t>
  </si>
  <si>
    <t>Times</t>
  </si>
  <si>
    <t>Case_Temp</t>
  </si>
  <si>
    <t>Wavelength</t>
  </si>
  <si>
    <t>dW/dT</t>
  </si>
  <si>
    <t>TXP</t>
  </si>
  <si>
    <t>Peak_WL_Jump_Max</t>
  </si>
  <si>
    <t>Peak_WL_Jump_Avg</t>
  </si>
  <si>
    <t>Peak_WL_Jump_Min</t>
  </si>
  <si>
    <t>CH1_DDMI_Bias</t>
  </si>
  <si>
    <t>CH2_DDMI_Bias</t>
  </si>
  <si>
    <t>CH3_DDMI_Bias</t>
  </si>
  <si>
    <t>CH4_DDMI_Bias</t>
  </si>
  <si>
    <t>CH5_DDMI_Bias</t>
  </si>
  <si>
    <t>CH6_DDMI_Bias</t>
  </si>
  <si>
    <t>CH7_DDMI_Bias</t>
  </si>
  <si>
    <t>CH8_DDMI_Bias</t>
  </si>
  <si>
    <t>A2026061803031334877</t>
  </si>
  <si>
    <t>P305261700035</t>
  </si>
  <si>
    <t>MODE HOPPING</t>
  </si>
  <si>
    <t>T157100002057_3</t>
  </si>
  <si>
    <t>Pass</t>
  </si>
  <si>
    <t>TW82699</t>
  </si>
  <si>
    <t>2026/06/18 03:03:13</t>
  </si>
  <si>
    <t>1_Operational</t>
  </si>
  <si>
    <t>2_Operational</t>
  </si>
  <si>
    <t>3_Operational</t>
  </si>
  <si>
    <t>4_Operational</t>
  </si>
  <si>
    <t>1_Maximum</t>
  </si>
  <si>
    <t>2_Maximum</t>
  </si>
  <si>
    <t>3_Maximum</t>
  </si>
  <si>
    <t>4_Maximum</t>
  </si>
  <si>
    <t>dWL/dT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</si>
</sst>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36"/>
    </font>
    <font>
      <sz val="10"/>
      <color theme="1"/>
      <name val="Calibri"/>
      <family val="2"/>
      <charset val="136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>
      <alignment horizontal="right"/>
    </xf>
    <xf numFmtId="0" fontId="1" fillId="4" borderId="2"/>
  </cellStyleXfs>
  <cellXfs count="21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vertical="center"/>
    </xf>
    <xf numFmtId="0" fontId="4" fillId="2" borderId="3" xfId="1" applyFill="1" applyBorder="1" applyAlignment="1">
      <alignment horizontal="right"/>
    </xf>
    <xf numFmtId="0" fontId="3" fillId="0" borderId="3" xfId="0" applyFont="1" applyBorder="1" applyAlignment="1">
      <alignment vertical="center"/>
    </xf>
    <xf numFmtId="22" fontId="3" fillId="0" borderId="3" xfId="0" applyNumberFormat="1" applyFont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3" xfId="0" applyFill="1" applyBorder="1" applyAlignment="1">
      <alignment horizontal="right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/>
    <xf numFmtId="0" fontId="3" fillId="0" borderId="4" xfId="0" applyFont="1" applyBorder="1" applyAlignment="1">
      <alignment vertical="center"/>
    </xf>
    <xf numFmtId="22" fontId="3" fillId="0" borderId="4" xfId="0" applyNumberFormat="1" applyFont="1" applyBorder="1" applyAlignment="1">
      <alignment vertical="center"/>
    </xf>
    <xf numFmtId="0" fontId="0" fillId="5" borderId="0" xfId="0" applyFill="1" applyAlignment="1">
      <alignment vertical="center"/>
    </xf>
    <xf numFmtId="0" fontId="0" fillId="2" borderId="3" xfId="0" applyFill="1" applyBorder="1" applyAlignment="1">
      <alignment horizontal="left"/>
    </xf>
    <xf numFmtId="0" fontId="4" fillId="2" borderId="3" xfId="1" applyFill="1" applyBorder="1" applyAlignment="1">
      <alignment horizontal="left"/>
    </xf>
    <xf numFmtId="0" fontId="0" fillId="0" borderId="0" xfId="0" applyAlignment="1">
      <alignment horizontal="left" vertical="center"/>
    </xf>
    <xf numFmtId="22" fontId="0" fillId="0" borderId="0" xfId="0" applyNumberFormat="1" applyAlignment="1"/>
    <xf numFmtId="0" fontId="0" fillId="0" borderId="0" xfId="0" applyAlignment="1">
      <alignment vertical="center"/>
    </xf>
  </cellXfs>
  <cellStyles count="3">
    <cellStyle name="Normal" xfId="0" builtinId="0"/>
    <cellStyle name="Normal 2" xfId="1" xr:uid="{00000000-0005-0000-0000-000001000000}"/>
    <cellStyle name="Not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Wavelength@1270nm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Curve!$B$1</c:f>
              <c:strCache>
                <c:ptCount val="1"/>
                <c:pt idx="0">
                  <c:v>WL@Operational current_1270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Curve!$B$3:$B$119</c:f>
              <c:numCache>
                <c:formatCode>General</c:formatCode>
                <c:ptCount val="117"/>
                <c:pt idx="0">
                  <c:v>1267.8920000000001</c:v>
                </c:pt>
                <c:pt idx="1">
                  <c:v>1267.9760000000001</c:v>
                </c:pt>
                <c:pt idx="2">
                  <c:v>1268.0609999999999</c:v>
                </c:pt>
                <c:pt idx="3">
                  <c:v>1268.1479999999999</c:v>
                </c:pt>
                <c:pt idx="4">
                  <c:v>1268.2329999999999</c:v>
                </c:pt>
                <c:pt idx="5">
                  <c:v>1268.316</c:v>
                </c:pt>
                <c:pt idx="6">
                  <c:v>1268.3979999999999</c:v>
                </c:pt>
                <c:pt idx="7">
                  <c:v>1268.48</c:v>
                </c:pt>
                <c:pt idx="8">
                  <c:v>1268.559</c:v>
                </c:pt>
                <c:pt idx="9">
                  <c:v>1268.6400000000001</c:v>
                </c:pt>
                <c:pt idx="10">
                  <c:v>1268.7180000000001</c:v>
                </c:pt>
                <c:pt idx="11">
                  <c:v>1268.7950000000001</c:v>
                </c:pt>
                <c:pt idx="12">
                  <c:v>1268.875</c:v>
                </c:pt>
                <c:pt idx="13">
                  <c:v>1268.9549999999999</c:v>
                </c:pt>
                <c:pt idx="14">
                  <c:v>1269.0350000000001</c:v>
                </c:pt>
                <c:pt idx="15">
                  <c:v>1269.114</c:v>
                </c:pt>
                <c:pt idx="16">
                  <c:v>1269.193</c:v>
                </c:pt>
                <c:pt idx="17">
                  <c:v>1269.27</c:v>
                </c:pt>
                <c:pt idx="18">
                  <c:v>1269.348</c:v>
                </c:pt>
                <c:pt idx="19">
                  <c:v>1269.424</c:v>
                </c:pt>
                <c:pt idx="20">
                  <c:v>1269.5</c:v>
                </c:pt>
                <c:pt idx="21">
                  <c:v>1269.577</c:v>
                </c:pt>
                <c:pt idx="22">
                  <c:v>1269.652</c:v>
                </c:pt>
                <c:pt idx="23">
                  <c:v>1269.7260000000001</c:v>
                </c:pt>
                <c:pt idx="24">
                  <c:v>1269.8009999999999</c:v>
                </c:pt>
                <c:pt idx="25">
                  <c:v>1269.8779999999999</c:v>
                </c:pt>
                <c:pt idx="26">
                  <c:v>1269.9580000000001</c:v>
                </c:pt>
                <c:pt idx="27">
                  <c:v>1270.0350000000001</c:v>
                </c:pt>
                <c:pt idx="28">
                  <c:v>1270.1089999999999</c:v>
                </c:pt>
                <c:pt idx="29">
                  <c:v>1270.183</c:v>
                </c:pt>
                <c:pt idx="30">
                  <c:v>1270.259</c:v>
                </c:pt>
                <c:pt idx="31">
                  <c:v>1270.336</c:v>
                </c:pt>
                <c:pt idx="32">
                  <c:v>1270.414</c:v>
                </c:pt>
                <c:pt idx="33">
                  <c:v>1270.49</c:v>
                </c:pt>
                <c:pt idx="34">
                  <c:v>1270.566</c:v>
                </c:pt>
                <c:pt idx="35">
                  <c:v>1270.6410000000001</c:v>
                </c:pt>
                <c:pt idx="36">
                  <c:v>1270.7180000000001</c:v>
                </c:pt>
                <c:pt idx="37">
                  <c:v>1270.7919999999999</c:v>
                </c:pt>
                <c:pt idx="38">
                  <c:v>1270.8689999999999</c:v>
                </c:pt>
                <c:pt idx="39">
                  <c:v>1270.944</c:v>
                </c:pt>
                <c:pt idx="40">
                  <c:v>1271.019</c:v>
                </c:pt>
                <c:pt idx="41">
                  <c:v>1271.095</c:v>
                </c:pt>
                <c:pt idx="42">
                  <c:v>1271.17</c:v>
                </c:pt>
                <c:pt idx="43">
                  <c:v>1271.2470000000001</c:v>
                </c:pt>
                <c:pt idx="44">
                  <c:v>1271.325</c:v>
                </c:pt>
                <c:pt idx="45">
                  <c:v>1271.4010000000001</c:v>
                </c:pt>
                <c:pt idx="46">
                  <c:v>1271.479</c:v>
                </c:pt>
                <c:pt idx="47">
                  <c:v>1271.556</c:v>
                </c:pt>
                <c:pt idx="48">
                  <c:v>1271.634</c:v>
                </c:pt>
                <c:pt idx="49">
                  <c:v>1271.712</c:v>
                </c:pt>
                <c:pt idx="50">
                  <c:v>1271.8499999999999</c:v>
                </c:pt>
                <c:pt idx="51">
                  <c:v>1271.9059999999999</c:v>
                </c:pt>
                <c:pt idx="52">
                  <c:v>1271.9860000000001</c:v>
                </c:pt>
                <c:pt idx="53">
                  <c:v>1272.066</c:v>
                </c:pt>
                <c:pt idx="54">
                  <c:v>1272.144</c:v>
                </c:pt>
                <c:pt idx="55">
                  <c:v>1272.222</c:v>
                </c:pt>
                <c:pt idx="56">
                  <c:v>1272.3</c:v>
                </c:pt>
                <c:pt idx="57">
                  <c:v>1272.3789999999999</c:v>
                </c:pt>
                <c:pt idx="58">
                  <c:v>1272.4570000000001</c:v>
                </c:pt>
                <c:pt idx="59">
                  <c:v>1272.5350000000001</c:v>
                </c:pt>
                <c:pt idx="60">
                  <c:v>1272.614</c:v>
                </c:pt>
                <c:pt idx="61">
                  <c:v>1272.6949999999999</c:v>
                </c:pt>
                <c:pt idx="62">
                  <c:v>1272.7760000000001</c:v>
                </c:pt>
                <c:pt idx="63">
                  <c:v>1272.856</c:v>
                </c:pt>
                <c:pt idx="64">
                  <c:v>1272.9359999999999</c:v>
                </c:pt>
                <c:pt idx="65">
                  <c:v>1273.0170000000001</c:v>
                </c:pt>
                <c:pt idx="66">
                  <c:v>1273.098</c:v>
                </c:pt>
                <c:pt idx="67">
                  <c:v>1273.1790000000001</c:v>
                </c:pt>
                <c:pt idx="68">
                  <c:v>1273.26</c:v>
                </c:pt>
                <c:pt idx="69">
                  <c:v>1273.3420000000001</c:v>
                </c:pt>
                <c:pt idx="70">
                  <c:v>1273.424</c:v>
                </c:pt>
                <c:pt idx="71">
                  <c:v>1273.5060000000001</c:v>
                </c:pt>
                <c:pt idx="72">
                  <c:v>1273.5889999999999</c:v>
                </c:pt>
                <c:pt idx="73">
                  <c:v>1273.675</c:v>
                </c:pt>
                <c:pt idx="74">
                  <c:v>1273.761</c:v>
                </c:pt>
                <c:pt idx="75">
                  <c:v>1273.848</c:v>
                </c:pt>
                <c:pt idx="76">
                  <c:v>1273.9349999999999</c:v>
                </c:pt>
                <c:pt idx="77">
                  <c:v>1274.0229999999999</c:v>
                </c:pt>
                <c:pt idx="78">
                  <c:v>1274.115</c:v>
                </c:pt>
                <c:pt idx="79">
                  <c:v>1274.2059999999999</c:v>
                </c:pt>
                <c:pt idx="80">
                  <c:v>1274.296</c:v>
                </c:pt>
                <c:pt idx="81">
                  <c:v>1274.3910000000001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7-447D-8CA8-F5F6E56F172B}"/>
            </c:ext>
          </c:extLst>
        </c:ser>
        <c:ser>
          <c:idx val="1"/>
          <c:order val="1"/>
          <c:tx>
            <c:strRef>
              <c:f>Curve!$H$1</c:f>
              <c:strCache>
                <c:ptCount val="1"/>
                <c:pt idx="0">
                  <c:v>WL@Maximum current_@1270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Curve!$G$3:$G$124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</c:numCache>
            </c:numRef>
          </c:xVal>
          <c:yVal>
            <c:numRef>
              <c:f>Curve!$H$3:$H$124</c:f>
              <c:numCache>
                <c:formatCode>General</c:formatCode>
                <c:ptCount val="122"/>
                <c:pt idx="0">
                  <c:v>1275.306</c:v>
                </c:pt>
                <c:pt idx="1">
                  <c:v>1275.2190000000001</c:v>
                </c:pt>
                <c:pt idx="2">
                  <c:v>1275.1310000000001</c:v>
                </c:pt>
                <c:pt idx="3">
                  <c:v>1275.0419999999999</c:v>
                </c:pt>
                <c:pt idx="4">
                  <c:v>1274.952</c:v>
                </c:pt>
                <c:pt idx="5">
                  <c:v>1274.8630000000001</c:v>
                </c:pt>
                <c:pt idx="6">
                  <c:v>1274.777</c:v>
                </c:pt>
                <c:pt idx="7">
                  <c:v>1274.6890000000001</c:v>
                </c:pt>
                <c:pt idx="8">
                  <c:v>1274.604</c:v>
                </c:pt>
                <c:pt idx="9">
                  <c:v>1274.5160000000001</c:v>
                </c:pt>
                <c:pt idx="10">
                  <c:v>1274.4269999999999</c:v>
                </c:pt>
                <c:pt idx="11">
                  <c:v>1274.3409999999999</c:v>
                </c:pt>
                <c:pt idx="12">
                  <c:v>1274.2560000000001</c:v>
                </c:pt>
                <c:pt idx="13">
                  <c:v>1274.172</c:v>
                </c:pt>
                <c:pt idx="14">
                  <c:v>1274.085</c:v>
                </c:pt>
                <c:pt idx="15">
                  <c:v>1274.0029999999999</c:v>
                </c:pt>
                <c:pt idx="16">
                  <c:v>1273.925</c:v>
                </c:pt>
                <c:pt idx="17">
                  <c:v>1273.848</c:v>
                </c:pt>
                <c:pt idx="18">
                  <c:v>1273.769</c:v>
                </c:pt>
                <c:pt idx="19">
                  <c:v>1273.69</c:v>
                </c:pt>
                <c:pt idx="20">
                  <c:v>1273.6110000000001</c:v>
                </c:pt>
                <c:pt idx="21">
                  <c:v>1273.5340000000001</c:v>
                </c:pt>
                <c:pt idx="22">
                  <c:v>1273.4549999999999</c:v>
                </c:pt>
                <c:pt idx="23">
                  <c:v>1273.377</c:v>
                </c:pt>
                <c:pt idx="24">
                  <c:v>1273.296</c:v>
                </c:pt>
                <c:pt idx="25">
                  <c:v>1273.2159999999999</c:v>
                </c:pt>
                <c:pt idx="26">
                  <c:v>1273.126</c:v>
                </c:pt>
                <c:pt idx="27">
                  <c:v>1273.0450000000001</c:v>
                </c:pt>
                <c:pt idx="28">
                  <c:v>1272.9639999999999</c:v>
                </c:pt>
                <c:pt idx="29">
                  <c:v>1272.884</c:v>
                </c:pt>
                <c:pt idx="30">
                  <c:v>1272.8040000000001</c:v>
                </c:pt>
                <c:pt idx="31">
                  <c:v>1272.7270000000001</c:v>
                </c:pt>
                <c:pt idx="32">
                  <c:v>1272.644</c:v>
                </c:pt>
                <c:pt idx="33">
                  <c:v>1272.566</c:v>
                </c:pt>
                <c:pt idx="34">
                  <c:v>1272.489</c:v>
                </c:pt>
                <c:pt idx="35">
                  <c:v>1272.412</c:v>
                </c:pt>
                <c:pt idx="36">
                  <c:v>1272.33</c:v>
                </c:pt>
                <c:pt idx="37">
                  <c:v>1272.248</c:v>
                </c:pt>
                <c:pt idx="38">
                  <c:v>1272.162</c:v>
                </c:pt>
                <c:pt idx="39">
                  <c:v>1272.0840000000001</c:v>
                </c:pt>
                <c:pt idx="40">
                  <c:v>1272.0029999999999</c:v>
                </c:pt>
                <c:pt idx="41">
                  <c:v>1271.9269999999999</c:v>
                </c:pt>
                <c:pt idx="42">
                  <c:v>1271.8489999999999</c:v>
                </c:pt>
                <c:pt idx="43">
                  <c:v>1271.77</c:v>
                </c:pt>
                <c:pt idx="44">
                  <c:v>1271.6890000000001</c:v>
                </c:pt>
                <c:pt idx="45">
                  <c:v>1271.6120000000001</c:v>
                </c:pt>
                <c:pt idx="46">
                  <c:v>1271.5340000000001</c:v>
                </c:pt>
                <c:pt idx="47">
                  <c:v>1271.4559999999999</c:v>
                </c:pt>
                <c:pt idx="48">
                  <c:v>1271.374</c:v>
                </c:pt>
                <c:pt idx="49">
                  <c:v>1271.297</c:v>
                </c:pt>
                <c:pt idx="50">
                  <c:v>1271.2159999999999</c:v>
                </c:pt>
                <c:pt idx="51">
                  <c:v>1271.1400000000001</c:v>
                </c:pt>
                <c:pt idx="52">
                  <c:v>1271.0630000000001</c:v>
                </c:pt>
                <c:pt idx="53">
                  <c:v>1270.9860000000001</c:v>
                </c:pt>
                <c:pt idx="54">
                  <c:v>1270.904</c:v>
                </c:pt>
                <c:pt idx="55">
                  <c:v>1270.828</c:v>
                </c:pt>
                <c:pt idx="56">
                  <c:v>1270.751</c:v>
                </c:pt>
                <c:pt idx="57">
                  <c:v>1270.6759999999999</c:v>
                </c:pt>
                <c:pt idx="58">
                  <c:v>1270.596</c:v>
                </c:pt>
                <c:pt idx="59">
                  <c:v>1270.52</c:v>
                </c:pt>
                <c:pt idx="60">
                  <c:v>1270.442</c:v>
                </c:pt>
                <c:pt idx="61">
                  <c:v>1270.365</c:v>
                </c:pt>
                <c:pt idx="62">
                  <c:v>1270.2850000000001</c:v>
                </c:pt>
                <c:pt idx="63">
                  <c:v>1270.2090000000001</c:v>
                </c:pt>
                <c:pt idx="64">
                  <c:v>1270.133</c:v>
                </c:pt>
                <c:pt idx="65">
                  <c:v>1270.0550000000001</c:v>
                </c:pt>
                <c:pt idx="66">
                  <c:v>1269.98</c:v>
                </c:pt>
                <c:pt idx="67">
                  <c:v>1269.905</c:v>
                </c:pt>
                <c:pt idx="68">
                  <c:v>1269.828</c:v>
                </c:pt>
                <c:pt idx="69">
                  <c:v>1269.751</c:v>
                </c:pt>
                <c:pt idx="70">
                  <c:v>1269.6690000000001</c:v>
                </c:pt>
                <c:pt idx="71">
                  <c:v>1269.5930000000001</c:v>
                </c:pt>
                <c:pt idx="72">
                  <c:v>1269.5139999999999</c:v>
                </c:pt>
                <c:pt idx="73">
                  <c:v>1269.44</c:v>
                </c:pt>
                <c:pt idx="74">
                  <c:v>1269.364</c:v>
                </c:pt>
                <c:pt idx="75">
                  <c:v>1269.288</c:v>
                </c:pt>
                <c:pt idx="76">
                  <c:v>1269.2090000000001</c:v>
                </c:pt>
                <c:pt idx="77">
                  <c:v>1269.133</c:v>
                </c:pt>
                <c:pt idx="78">
                  <c:v>1269.056</c:v>
                </c:pt>
                <c:pt idx="79">
                  <c:v>1268.982</c:v>
                </c:pt>
                <c:pt idx="80">
                  <c:v>1268.902</c:v>
                </c:pt>
                <c:pt idx="81">
                  <c:v>1268.829</c:v>
                </c:pt>
                <c:pt idx="82">
                  <c:v>1268.7539999999999</c:v>
                </c:pt>
                <c:pt idx="83">
                  <c:v>1268.6780000000001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77-447D-8CA8-F5F6E56F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64112"/>
        <c:axId val="319046272"/>
      </c:scatterChart>
      <c:scatterChart>
        <c:scatterStyle val="lineMarker"/>
        <c:varyColors val="0"/>
        <c:ser>
          <c:idx val="2"/>
          <c:order val="2"/>
          <c:tx>
            <c:strRef>
              <c:f>Curve!$AA$1</c:f>
              <c:strCache>
                <c:ptCount val="1"/>
                <c:pt idx="0">
                  <c:v>Operational_DDMI Bias_1270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Curve!$AA$3:$AA$119</c:f>
              <c:numCache>
                <c:formatCode>General</c:formatCode>
                <c:ptCount val="117"/>
                <c:pt idx="0">
                  <c:v>124</c:v>
                </c:pt>
                <c:pt idx="1">
                  <c:v>125</c:v>
                </c:pt>
                <c:pt idx="2">
                  <c:v>126</c:v>
                </c:pt>
                <c:pt idx="3">
                  <c:v>127</c:v>
                </c:pt>
                <c:pt idx="4">
                  <c:v>127</c:v>
                </c:pt>
                <c:pt idx="5">
                  <c:v>128</c:v>
                </c:pt>
                <c:pt idx="6">
                  <c:v>129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139</c:v>
                </c:pt>
                <c:pt idx="22">
                  <c:v>139</c:v>
                </c:pt>
                <c:pt idx="23">
                  <c:v>140</c:v>
                </c:pt>
                <c:pt idx="24">
                  <c:v>140</c:v>
                </c:pt>
                <c:pt idx="25">
                  <c:v>141</c:v>
                </c:pt>
                <c:pt idx="26">
                  <c:v>142</c:v>
                </c:pt>
                <c:pt idx="27">
                  <c:v>142</c:v>
                </c:pt>
                <c:pt idx="28">
                  <c:v>143</c:v>
                </c:pt>
                <c:pt idx="29">
                  <c:v>143</c:v>
                </c:pt>
                <c:pt idx="30">
                  <c:v>144</c:v>
                </c:pt>
                <c:pt idx="31">
                  <c:v>145</c:v>
                </c:pt>
                <c:pt idx="32">
                  <c:v>145</c:v>
                </c:pt>
                <c:pt idx="33">
                  <c:v>146</c:v>
                </c:pt>
                <c:pt idx="34">
                  <c:v>146</c:v>
                </c:pt>
                <c:pt idx="35">
                  <c:v>147</c:v>
                </c:pt>
                <c:pt idx="36">
                  <c:v>147</c:v>
                </c:pt>
                <c:pt idx="37">
                  <c:v>148</c:v>
                </c:pt>
                <c:pt idx="38">
                  <c:v>148</c:v>
                </c:pt>
                <c:pt idx="39">
                  <c:v>149</c:v>
                </c:pt>
                <c:pt idx="40">
                  <c:v>150</c:v>
                </c:pt>
                <c:pt idx="41">
                  <c:v>150</c:v>
                </c:pt>
                <c:pt idx="42">
                  <c:v>151</c:v>
                </c:pt>
                <c:pt idx="43">
                  <c:v>152</c:v>
                </c:pt>
                <c:pt idx="44">
                  <c:v>153</c:v>
                </c:pt>
                <c:pt idx="45">
                  <c:v>155</c:v>
                </c:pt>
                <c:pt idx="46">
                  <c:v>156</c:v>
                </c:pt>
                <c:pt idx="47">
                  <c:v>157</c:v>
                </c:pt>
                <c:pt idx="48">
                  <c:v>158</c:v>
                </c:pt>
                <c:pt idx="49">
                  <c:v>159</c:v>
                </c:pt>
                <c:pt idx="50">
                  <c:v>160</c:v>
                </c:pt>
                <c:pt idx="51">
                  <c:v>161</c:v>
                </c:pt>
                <c:pt idx="52">
                  <c:v>162</c:v>
                </c:pt>
                <c:pt idx="53">
                  <c:v>163</c:v>
                </c:pt>
                <c:pt idx="54">
                  <c:v>164</c:v>
                </c:pt>
                <c:pt idx="55">
                  <c:v>165</c:v>
                </c:pt>
                <c:pt idx="56">
                  <c:v>166</c:v>
                </c:pt>
                <c:pt idx="57">
                  <c:v>167</c:v>
                </c:pt>
                <c:pt idx="58">
                  <c:v>169</c:v>
                </c:pt>
                <c:pt idx="59">
                  <c:v>170</c:v>
                </c:pt>
                <c:pt idx="60">
                  <c:v>171</c:v>
                </c:pt>
                <c:pt idx="61">
                  <c:v>172</c:v>
                </c:pt>
                <c:pt idx="62">
                  <c:v>174</c:v>
                </c:pt>
                <c:pt idx="63">
                  <c:v>176</c:v>
                </c:pt>
                <c:pt idx="64">
                  <c:v>178</c:v>
                </c:pt>
                <c:pt idx="65">
                  <c:v>179</c:v>
                </c:pt>
                <c:pt idx="66">
                  <c:v>181</c:v>
                </c:pt>
                <c:pt idx="67">
                  <c:v>183</c:v>
                </c:pt>
                <c:pt idx="68">
                  <c:v>184</c:v>
                </c:pt>
                <c:pt idx="69">
                  <c:v>186</c:v>
                </c:pt>
                <c:pt idx="70">
                  <c:v>187</c:v>
                </c:pt>
                <c:pt idx="71">
                  <c:v>189</c:v>
                </c:pt>
                <c:pt idx="72">
                  <c:v>191</c:v>
                </c:pt>
                <c:pt idx="73">
                  <c:v>193</c:v>
                </c:pt>
                <c:pt idx="74">
                  <c:v>196</c:v>
                </c:pt>
                <c:pt idx="75">
                  <c:v>198</c:v>
                </c:pt>
                <c:pt idx="76">
                  <c:v>200</c:v>
                </c:pt>
                <c:pt idx="77">
                  <c:v>202</c:v>
                </c:pt>
                <c:pt idx="78">
                  <c:v>205</c:v>
                </c:pt>
                <c:pt idx="79">
                  <c:v>208</c:v>
                </c:pt>
                <c:pt idx="80">
                  <c:v>211</c:v>
                </c:pt>
                <c:pt idx="81">
                  <c:v>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77-447D-8CA8-F5F6E56F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893663"/>
        <c:axId val="1808033679"/>
      </c:scatterChart>
      <c:valAx>
        <c:axId val="130664112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46272"/>
        <c:crosses val="autoZero"/>
        <c:crossBetween val="midCat"/>
        <c:majorUnit val="5"/>
      </c:valAx>
      <c:valAx>
        <c:axId val="31904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64112"/>
        <c:crosses val="autoZero"/>
        <c:crossBetween val="midCat"/>
      </c:valAx>
      <c:valAx>
        <c:axId val="170489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8033679"/>
        <c:crosses val="autoZero"/>
        <c:crossBetween val="midCat"/>
      </c:valAx>
      <c:valAx>
        <c:axId val="1808033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3663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Wavelength@1290nm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Curve!$C$1</c:f>
              <c:strCache>
                <c:ptCount val="1"/>
                <c:pt idx="0">
                  <c:v>WL@Operational current_1290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Curve!$C$3:$C$119</c:f>
              <c:numCache>
                <c:formatCode>General</c:formatCode>
                <c:ptCount val="117"/>
                <c:pt idx="0">
                  <c:v>1287.694</c:v>
                </c:pt>
                <c:pt idx="1">
                  <c:v>1287.78</c:v>
                </c:pt>
                <c:pt idx="2">
                  <c:v>1287.8679999999999</c:v>
                </c:pt>
                <c:pt idx="3">
                  <c:v>1287.9570000000001</c:v>
                </c:pt>
                <c:pt idx="4">
                  <c:v>1288.0440000000001</c:v>
                </c:pt>
                <c:pt idx="5">
                  <c:v>1288.1300000000001</c:v>
                </c:pt>
                <c:pt idx="6">
                  <c:v>1288.2139999999999</c:v>
                </c:pt>
                <c:pt idx="7">
                  <c:v>1288.298</c:v>
                </c:pt>
                <c:pt idx="8">
                  <c:v>1288.3789999999999</c:v>
                </c:pt>
                <c:pt idx="9">
                  <c:v>1288.461</c:v>
                </c:pt>
                <c:pt idx="10">
                  <c:v>1288.54</c:v>
                </c:pt>
                <c:pt idx="11">
                  <c:v>1288.6189999999999</c:v>
                </c:pt>
                <c:pt idx="12">
                  <c:v>1288.6990000000001</c:v>
                </c:pt>
                <c:pt idx="13">
                  <c:v>1288.78</c:v>
                </c:pt>
                <c:pt idx="14">
                  <c:v>1288.8599999999999</c:v>
                </c:pt>
                <c:pt idx="15">
                  <c:v>1288.9390000000001</c:v>
                </c:pt>
                <c:pt idx="16">
                  <c:v>1289.02</c:v>
                </c:pt>
                <c:pt idx="17">
                  <c:v>1289.098</c:v>
                </c:pt>
                <c:pt idx="18">
                  <c:v>1289.1769999999999</c:v>
                </c:pt>
                <c:pt idx="19">
                  <c:v>1289.2539999999999</c:v>
                </c:pt>
                <c:pt idx="20">
                  <c:v>1289.3309999999999</c:v>
                </c:pt>
                <c:pt idx="21">
                  <c:v>1289.4090000000001</c:v>
                </c:pt>
                <c:pt idx="22">
                  <c:v>1289.4860000000001</c:v>
                </c:pt>
                <c:pt idx="23">
                  <c:v>1289.5619999999999</c:v>
                </c:pt>
                <c:pt idx="24">
                  <c:v>1289.6389999999999</c:v>
                </c:pt>
                <c:pt idx="25">
                  <c:v>1289.7159999999999</c:v>
                </c:pt>
                <c:pt idx="26">
                  <c:v>1289.7950000000001</c:v>
                </c:pt>
                <c:pt idx="27">
                  <c:v>1289.873</c:v>
                </c:pt>
                <c:pt idx="28">
                  <c:v>1289.9490000000001</c:v>
                </c:pt>
                <c:pt idx="29">
                  <c:v>1290.0219999999999</c:v>
                </c:pt>
                <c:pt idx="30">
                  <c:v>1290.097</c:v>
                </c:pt>
                <c:pt idx="31">
                  <c:v>1290.174</c:v>
                </c:pt>
                <c:pt idx="32">
                  <c:v>1290.249</c:v>
                </c:pt>
                <c:pt idx="33">
                  <c:v>1290.325</c:v>
                </c:pt>
                <c:pt idx="34">
                  <c:v>1290.403</c:v>
                </c:pt>
                <c:pt idx="35">
                  <c:v>1290.479</c:v>
                </c:pt>
                <c:pt idx="36">
                  <c:v>1290.557</c:v>
                </c:pt>
                <c:pt idx="37">
                  <c:v>1290.634</c:v>
                </c:pt>
                <c:pt idx="38">
                  <c:v>1290.711</c:v>
                </c:pt>
                <c:pt idx="39">
                  <c:v>1290.788</c:v>
                </c:pt>
                <c:pt idx="40">
                  <c:v>1290.867</c:v>
                </c:pt>
                <c:pt idx="41">
                  <c:v>1290.9449999999999</c:v>
                </c:pt>
                <c:pt idx="42">
                  <c:v>1291.0239999999999</c:v>
                </c:pt>
                <c:pt idx="43">
                  <c:v>1291.1010000000001</c:v>
                </c:pt>
                <c:pt idx="44">
                  <c:v>1291.181</c:v>
                </c:pt>
                <c:pt idx="45">
                  <c:v>1291.258</c:v>
                </c:pt>
                <c:pt idx="46">
                  <c:v>1291.338</c:v>
                </c:pt>
                <c:pt idx="47">
                  <c:v>1291.415</c:v>
                </c:pt>
                <c:pt idx="48">
                  <c:v>1291.4929999999999</c:v>
                </c:pt>
                <c:pt idx="49">
                  <c:v>1291.5709999999999</c:v>
                </c:pt>
                <c:pt idx="50">
                  <c:v>1291.71</c:v>
                </c:pt>
                <c:pt idx="51">
                  <c:v>1291.7670000000001</c:v>
                </c:pt>
                <c:pt idx="52">
                  <c:v>1291.847</c:v>
                </c:pt>
                <c:pt idx="53">
                  <c:v>1291.9269999999999</c:v>
                </c:pt>
                <c:pt idx="54">
                  <c:v>1292.0039999999999</c:v>
                </c:pt>
                <c:pt idx="55">
                  <c:v>1292.0840000000001</c:v>
                </c:pt>
                <c:pt idx="56">
                  <c:v>1292.164</c:v>
                </c:pt>
                <c:pt idx="57">
                  <c:v>1292.2439999999999</c:v>
                </c:pt>
                <c:pt idx="58">
                  <c:v>1292.3230000000001</c:v>
                </c:pt>
                <c:pt idx="59">
                  <c:v>1292.404</c:v>
                </c:pt>
                <c:pt idx="60">
                  <c:v>1292.4829999999999</c:v>
                </c:pt>
                <c:pt idx="61">
                  <c:v>1292.5640000000001</c:v>
                </c:pt>
                <c:pt idx="62">
                  <c:v>1292.643</c:v>
                </c:pt>
                <c:pt idx="63">
                  <c:v>1292.722</c:v>
                </c:pt>
                <c:pt idx="64">
                  <c:v>1292.8019999999999</c:v>
                </c:pt>
                <c:pt idx="65">
                  <c:v>1292.884</c:v>
                </c:pt>
                <c:pt idx="66">
                  <c:v>1292.962</c:v>
                </c:pt>
                <c:pt idx="67">
                  <c:v>1293.0429999999999</c:v>
                </c:pt>
                <c:pt idx="68">
                  <c:v>1293.124</c:v>
                </c:pt>
                <c:pt idx="69">
                  <c:v>1293.2049999999999</c:v>
                </c:pt>
                <c:pt idx="70">
                  <c:v>1293.289</c:v>
                </c:pt>
                <c:pt idx="71">
                  <c:v>1293.374</c:v>
                </c:pt>
                <c:pt idx="72">
                  <c:v>1293.4590000000001</c:v>
                </c:pt>
                <c:pt idx="73">
                  <c:v>1293.5450000000001</c:v>
                </c:pt>
                <c:pt idx="74">
                  <c:v>1293.633</c:v>
                </c:pt>
                <c:pt idx="75">
                  <c:v>1293.722</c:v>
                </c:pt>
                <c:pt idx="76">
                  <c:v>1293.8109999999999</c:v>
                </c:pt>
                <c:pt idx="77">
                  <c:v>1293.9010000000001</c:v>
                </c:pt>
                <c:pt idx="78">
                  <c:v>1293.99</c:v>
                </c:pt>
                <c:pt idx="79">
                  <c:v>1294.0820000000001</c:v>
                </c:pt>
                <c:pt idx="80">
                  <c:v>1294.173</c:v>
                </c:pt>
                <c:pt idx="81">
                  <c:v>1294.2660000000001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4-4A2C-98A6-ABAD48F1130A}"/>
            </c:ext>
          </c:extLst>
        </c:ser>
        <c:ser>
          <c:idx val="1"/>
          <c:order val="1"/>
          <c:tx>
            <c:strRef>
              <c:f>Curve!$I$1</c:f>
              <c:strCache>
                <c:ptCount val="1"/>
                <c:pt idx="0">
                  <c:v>WL@Maximum current_@1290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Curve!$G$3:$G$124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</c:numCache>
            </c:numRef>
          </c:xVal>
          <c:yVal>
            <c:numRef>
              <c:f>Curve!$I$3:$I$124</c:f>
              <c:numCache>
                <c:formatCode>General</c:formatCode>
                <c:ptCount val="122"/>
                <c:pt idx="0">
                  <c:v>1295.29</c:v>
                </c:pt>
                <c:pt idx="1">
                  <c:v>1295.202</c:v>
                </c:pt>
                <c:pt idx="2">
                  <c:v>1295.1120000000001</c:v>
                </c:pt>
                <c:pt idx="3">
                  <c:v>1295.0219999999999</c:v>
                </c:pt>
                <c:pt idx="4">
                  <c:v>1294.931</c:v>
                </c:pt>
                <c:pt idx="5">
                  <c:v>1294.8399999999999</c:v>
                </c:pt>
                <c:pt idx="6">
                  <c:v>1294.752</c:v>
                </c:pt>
                <c:pt idx="7">
                  <c:v>1294.664</c:v>
                </c:pt>
                <c:pt idx="8">
                  <c:v>1294.576</c:v>
                </c:pt>
                <c:pt idx="9">
                  <c:v>1294.4880000000001</c:v>
                </c:pt>
                <c:pt idx="10">
                  <c:v>1294.3969999999999</c:v>
                </c:pt>
                <c:pt idx="11">
                  <c:v>1294.31</c:v>
                </c:pt>
                <c:pt idx="12">
                  <c:v>1294.223</c:v>
                </c:pt>
                <c:pt idx="13">
                  <c:v>1294.1369999999999</c:v>
                </c:pt>
                <c:pt idx="14">
                  <c:v>1294.05</c:v>
                </c:pt>
                <c:pt idx="15">
                  <c:v>1293.9659999999999</c:v>
                </c:pt>
                <c:pt idx="16">
                  <c:v>1293.8869999999999</c:v>
                </c:pt>
                <c:pt idx="17">
                  <c:v>1293.808</c:v>
                </c:pt>
                <c:pt idx="18">
                  <c:v>1293.7260000000001</c:v>
                </c:pt>
                <c:pt idx="19">
                  <c:v>1293.644</c:v>
                </c:pt>
                <c:pt idx="20">
                  <c:v>1293.5640000000001</c:v>
                </c:pt>
                <c:pt idx="21">
                  <c:v>1293.4849999999999</c:v>
                </c:pt>
                <c:pt idx="22">
                  <c:v>1293.404</c:v>
                </c:pt>
                <c:pt idx="23">
                  <c:v>1293.3209999999999</c:v>
                </c:pt>
                <c:pt idx="24">
                  <c:v>1293.2370000000001</c:v>
                </c:pt>
                <c:pt idx="25">
                  <c:v>1293.1569999999999</c:v>
                </c:pt>
                <c:pt idx="26">
                  <c:v>1293.068</c:v>
                </c:pt>
                <c:pt idx="27">
                  <c:v>1292.9860000000001</c:v>
                </c:pt>
                <c:pt idx="28">
                  <c:v>1292.9059999999999</c:v>
                </c:pt>
                <c:pt idx="29">
                  <c:v>1292.826</c:v>
                </c:pt>
                <c:pt idx="30">
                  <c:v>1292.7460000000001</c:v>
                </c:pt>
                <c:pt idx="31">
                  <c:v>1292.6690000000001</c:v>
                </c:pt>
                <c:pt idx="32">
                  <c:v>1292.586</c:v>
                </c:pt>
                <c:pt idx="33">
                  <c:v>1292.508</c:v>
                </c:pt>
                <c:pt idx="34">
                  <c:v>1292.43</c:v>
                </c:pt>
                <c:pt idx="35">
                  <c:v>1292.3520000000001</c:v>
                </c:pt>
                <c:pt idx="36">
                  <c:v>1292.269</c:v>
                </c:pt>
                <c:pt idx="37">
                  <c:v>1292.1849999999999</c:v>
                </c:pt>
                <c:pt idx="38">
                  <c:v>1292.097</c:v>
                </c:pt>
                <c:pt idx="39">
                  <c:v>1292.0170000000001</c:v>
                </c:pt>
                <c:pt idx="40">
                  <c:v>1291.9349999999999</c:v>
                </c:pt>
                <c:pt idx="41">
                  <c:v>1291.857</c:v>
                </c:pt>
                <c:pt idx="42">
                  <c:v>1291.778</c:v>
                </c:pt>
                <c:pt idx="43">
                  <c:v>1291.6990000000001</c:v>
                </c:pt>
                <c:pt idx="44">
                  <c:v>1291.6179999999999</c:v>
                </c:pt>
                <c:pt idx="45">
                  <c:v>1291.54</c:v>
                </c:pt>
                <c:pt idx="46">
                  <c:v>1291.461</c:v>
                </c:pt>
                <c:pt idx="47">
                  <c:v>1291.383</c:v>
                </c:pt>
                <c:pt idx="48">
                  <c:v>1291.3</c:v>
                </c:pt>
                <c:pt idx="49">
                  <c:v>1291.22</c:v>
                </c:pt>
                <c:pt idx="50">
                  <c:v>1291.1389999999999</c:v>
                </c:pt>
                <c:pt idx="51">
                  <c:v>1291.06</c:v>
                </c:pt>
                <c:pt idx="52">
                  <c:v>1290.981</c:v>
                </c:pt>
                <c:pt idx="53">
                  <c:v>1290.9010000000001</c:v>
                </c:pt>
                <c:pt idx="54">
                  <c:v>1290.8150000000001</c:v>
                </c:pt>
                <c:pt idx="55">
                  <c:v>1290.7370000000001</c:v>
                </c:pt>
                <c:pt idx="56">
                  <c:v>1290.6579999999999</c:v>
                </c:pt>
                <c:pt idx="57">
                  <c:v>1290.5809999999999</c:v>
                </c:pt>
                <c:pt idx="58">
                  <c:v>1290.5</c:v>
                </c:pt>
                <c:pt idx="59">
                  <c:v>1290.422</c:v>
                </c:pt>
                <c:pt idx="60">
                  <c:v>1290.3420000000001</c:v>
                </c:pt>
                <c:pt idx="61">
                  <c:v>1290.2660000000001</c:v>
                </c:pt>
                <c:pt idx="62">
                  <c:v>1290.1869999999999</c:v>
                </c:pt>
                <c:pt idx="63">
                  <c:v>1290.1120000000001</c:v>
                </c:pt>
                <c:pt idx="64">
                  <c:v>1290.037</c:v>
                </c:pt>
                <c:pt idx="65">
                  <c:v>1289.9590000000001</c:v>
                </c:pt>
                <c:pt idx="66">
                  <c:v>1289.883</c:v>
                </c:pt>
                <c:pt idx="67">
                  <c:v>1289.806</c:v>
                </c:pt>
                <c:pt idx="68">
                  <c:v>1289.7280000000001</c:v>
                </c:pt>
                <c:pt idx="69">
                  <c:v>1289.652</c:v>
                </c:pt>
                <c:pt idx="70">
                  <c:v>1289.569</c:v>
                </c:pt>
                <c:pt idx="71">
                  <c:v>1289.491</c:v>
                </c:pt>
                <c:pt idx="72">
                  <c:v>1289.4110000000001</c:v>
                </c:pt>
                <c:pt idx="73">
                  <c:v>1289.3340000000001</c:v>
                </c:pt>
                <c:pt idx="74">
                  <c:v>1289.258</c:v>
                </c:pt>
                <c:pt idx="75">
                  <c:v>1289.181</c:v>
                </c:pt>
                <c:pt idx="76">
                  <c:v>1289.0999999999999</c:v>
                </c:pt>
                <c:pt idx="77">
                  <c:v>1289.0239999999999</c:v>
                </c:pt>
                <c:pt idx="78">
                  <c:v>1288.9459999999999</c:v>
                </c:pt>
                <c:pt idx="79">
                  <c:v>1288.8720000000001</c:v>
                </c:pt>
                <c:pt idx="80">
                  <c:v>1288.7909999999999</c:v>
                </c:pt>
                <c:pt idx="81">
                  <c:v>1288.7170000000001</c:v>
                </c:pt>
                <c:pt idx="82">
                  <c:v>1288.6410000000001</c:v>
                </c:pt>
                <c:pt idx="83">
                  <c:v>1288.5640000000001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4-4A2C-98A6-ABAD48F11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2"/>
          <c:order val="2"/>
          <c:tx>
            <c:strRef>
              <c:f>Curve!$AB$1</c:f>
              <c:strCache>
                <c:ptCount val="1"/>
                <c:pt idx="0">
                  <c:v>Operational_DDMI Bias_1290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Curve!$AB$3:$AB$119</c:f>
              <c:numCache>
                <c:formatCode>General</c:formatCode>
                <c:ptCount val="117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141</c:v>
                </c:pt>
                <c:pt idx="9">
                  <c:v>141</c:v>
                </c:pt>
                <c:pt idx="10">
                  <c:v>141</c:v>
                </c:pt>
                <c:pt idx="11">
                  <c:v>141</c:v>
                </c:pt>
                <c:pt idx="12">
                  <c:v>141</c:v>
                </c:pt>
                <c:pt idx="13">
                  <c:v>141</c:v>
                </c:pt>
                <c:pt idx="14">
                  <c:v>141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144</c:v>
                </c:pt>
                <c:pt idx="23">
                  <c:v>144</c:v>
                </c:pt>
                <c:pt idx="24">
                  <c:v>144</c:v>
                </c:pt>
                <c:pt idx="25">
                  <c:v>145</c:v>
                </c:pt>
                <c:pt idx="26">
                  <c:v>145</c:v>
                </c:pt>
                <c:pt idx="27">
                  <c:v>145</c:v>
                </c:pt>
                <c:pt idx="28">
                  <c:v>146</c:v>
                </c:pt>
                <c:pt idx="29">
                  <c:v>146</c:v>
                </c:pt>
                <c:pt idx="30">
                  <c:v>147</c:v>
                </c:pt>
                <c:pt idx="31">
                  <c:v>148</c:v>
                </c:pt>
                <c:pt idx="32">
                  <c:v>148</c:v>
                </c:pt>
                <c:pt idx="33">
                  <c:v>148</c:v>
                </c:pt>
                <c:pt idx="34">
                  <c:v>149</c:v>
                </c:pt>
                <c:pt idx="35">
                  <c:v>149</c:v>
                </c:pt>
                <c:pt idx="36">
                  <c:v>150</c:v>
                </c:pt>
                <c:pt idx="37">
                  <c:v>151</c:v>
                </c:pt>
                <c:pt idx="38">
                  <c:v>151</c:v>
                </c:pt>
                <c:pt idx="39">
                  <c:v>152</c:v>
                </c:pt>
                <c:pt idx="40">
                  <c:v>153</c:v>
                </c:pt>
                <c:pt idx="41">
                  <c:v>154</c:v>
                </c:pt>
                <c:pt idx="42">
                  <c:v>154</c:v>
                </c:pt>
                <c:pt idx="43">
                  <c:v>155</c:v>
                </c:pt>
                <c:pt idx="44">
                  <c:v>156</c:v>
                </c:pt>
                <c:pt idx="45">
                  <c:v>156</c:v>
                </c:pt>
                <c:pt idx="46">
                  <c:v>157</c:v>
                </c:pt>
                <c:pt idx="47">
                  <c:v>158</c:v>
                </c:pt>
                <c:pt idx="48">
                  <c:v>159</c:v>
                </c:pt>
                <c:pt idx="49">
                  <c:v>160</c:v>
                </c:pt>
                <c:pt idx="50">
                  <c:v>161</c:v>
                </c:pt>
                <c:pt idx="51">
                  <c:v>162</c:v>
                </c:pt>
                <c:pt idx="52">
                  <c:v>163</c:v>
                </c:pt>
                <c:pt idx="53">
                  <c:v>165</c:v>
                </c:pt>
                <c:pt idx="54">
                  <c:v>166</c:v>
                </c:pt>
                <c:pt idx="55">
                  <c:v>167</c:v>
                </c:pt>
                <c:pt idx="56">
                  <c:v>168</c:v>
                </c:pt>
                <c:pt idx="57">
                  <c:v>169</c:v>
                </c:pt>
                <c:pt idx="58">
                  <c:v>170</c:v>
                </c:pt>
                <c:pt idx="59">
                  <c:v>171</c:v>
                </c:pt>
                <c:pt idx="60">
                  <c:v>173</c:v>
                </c:pt>
                <c:pt idx="61">
                  <c:v>174</c:v>
                </c:pt>
                <c:pt idx="62">
                  <c:v>175</c:v>
                </c:pt>
                <c:pt idx="63">
                  <c:v>177</c:v>
                </c:pt>
                <c:pt idx="64">
                  <c:v>178</c:v>
                </c:pt>
                <c:pt idx="65">
                  <c:v>180</c:v>
                </c:pt>
                <c:pt idx="66">
                  <c:v>181</c:v>
                </c:pt>
                <c:pt idx="67">
                  <c:v>183</c:v>
                </c:pt>
                <c:pt idx="68">
                  <c:v>184</c:v>
                </c:pt>
                <c:pt idx="69">
                  <c:v>186</c:v>
                </c:pt>
                <c:pt idx="70">
                  <c:v>188</c:v>
                </c:pt>
                <c:pt idx="71">
                  <c:v>190</c:v>
                </c:pt>
                <c:pt idx="72">
                  <c:v>191</c:v>
                </c:pt>
                <c:pt idx="73">
                  <c:v>194</c:v>
                </c:pt>
                <c:pt idx="74">
                  <c:v>196</c:v>
                </c:pt>
                <c:pt idx="75">
                  <c:v>198</c:v>
                </c:pt>
                <c:pt idx="76">
                  <c:v>200</c:v>
                </c:pt>
                <c:pt idx="77">
                  <c:v>203</c:v>
                </c:pt>
                <c:pt idx="78">
                  <c:v>205</c:v>
                </c:pt>
                <c:pt idx="79">
                  <c:v>208</c:v>
                </c:pt>
                <c:pt idx="80">
                  <c:v>211</c:v>
                </c:pt>
                <c:pt idx="8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94-4A2C-98A6-ABAD48F11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99247"/>
        <c:axId val="1161798415"/>
      </c:scatterChart>
      <c:valAx>
        <c:axId val="350937488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</c:valAx>
      <c:valAx>
        <c:axId val="1161799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1798415"/>
        <c:crosses val="autoZero"/>
        <c:crossBetween val="midCat"/>
      </c:valAx>
      <c:valAx>
        <c:axId val="11617984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99247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Wavelength@1310nm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Curve!$D$1</c:f>
              <c:strCache>
                <c:ptCount val="1"/>
                <c:pt idx="0">
                  <c:v>WL@Operational current_1310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Curve!$D$3:$D$119</c:f>
              <c:numCache>
                <c:formatCode>General</c:formatCode>
                <c:ptCount val="117"/>
                <c:pt idx="0">
                  <c:v>1308.4069999999999</c:v>
                </c:pt>
                <c:pt idx="1">
                  <c:v>1308.4949999999999</c:v>
                </c:pt>
                <c:pt idx="2">
                  <c:v>1308.5830000000001</c:v>
                </c:pt>
                <c:pt idx="3">
                  <c:v>1308.671</c:v>
                </c:pt>
                <c:pt idx="4">
                  <c:v>1308.758</c:v>
                </c:pt>
                <c:pt idx="5">
                  <c:v>1308.8420000000001</c:v>
                </c:pt>
                <c:pt idx="6">
                  <c:v>1308.925</c:v>
                </c:pt>
                <c:pt idx="7">
                  <c:v>1309.008</c:v>
                </c:pt>
                <c:pt idx="8">
                  <c:v>1309.088</c:v>
                </c:pt>
                <c:pt idx="9">
                  <c:v>1309.17</c:v>
                </c:pt>
                <c:pt idx="10">
                  <c:v>1309.249</c:v>
                </c:pt>
                <c:pt idx="11">
                  <c:v>1309.329</c:v>
                </c:pt>
                <c:pt idx="12">
                  <c:v>1309.4090000000001</c:v>
                </c:pt>
                <c:pt idx="13">
                  <c:v>1309.49</c:v>
                </c:pt>
                <c:pt idx="14">
                  <c:v>1309.5730000000001</c:v>
                </c:pt>
                <c:pt idx="15">
                  <c:v>1309.654</c:v>
                </c:pt>
                <c:pt idx="16">
                  <c:v>1309.7349999999999</c:v>
                </c:pt>
                <c:pt idx="17">
                  <c:v>1309.8140000000001</c:v>
                </c:pt>
                <c:pt idx="18">
                  <c:v>1309.893</c:v>
                </c:pt>
                <c:pt idx="19">
                  <c:v>1309.97</c:v>
                </c:pt>
                <c:pt idx="20">
                  <c:v>1310.047</c:v>
                </c:pt>
                <c:pt idx="21">
                  <c:v>1310.124</c:v>
                </c:pt>
                <c:pt idx="22">
                  <c:v>1310.2</c:v>
                </c:pt>
                <c:pt idx="23">
                  <c:v>1310.2739999999999</c:v>
                </c:pt>
                <c:pt idx="24">
                  <c:v>1310.3510000000001</c:v>
                </c:pt>
                <c:pt idx="25">
                  <c:v>1310.4280000000001</c:v>
                </c:pt>
                <c:pt idx="26">
                  <c:v>1310.509</c:v>
                </c:pt>
                <c:pt idx="27">
                  <c:v>1310.588</c:v>
                </c:pt>
                <c:pt idx="28">
                  <c:v>1310.664</c:v>
                </c:pt>
                <c:pt idx="29">
                  <c:v>1310.7380000000001</c:v>
                </c:pt>
                <c:pt idx="30">
                  <c:v>1310.8150000000001</c:v>
                </c:pt>
                <c:pt idx="31">
                  <c:v>1310.8910000000001</c:v>
                </c:pt>
                <c:pt idx="32">
                  <c:v>1310.9690000000001</c:v>
                </c:pt>
                <c:pt idx="33">
                  <c:v>1311.046</c:v>
                </c:pt>
                <c:pt idx="34">
                  <c:v>1311.124</c:v>
                </c:pt>
                <c:pt idx="35">
                  <c:v>1311.2</c:v>
                </c:pt>
                <c:pt idx="36">
                  <c:v>1311.277</c:v>
                </c:pt>
                <c:pt idx="37">
                  <c:v>1311.3520000000001</c:v>
                </c:pt>
                <c:pt idx="38">
                  <c:v>1311.4280000000001</c:v>
                </c:pt>
                <c:pt idx="39">
                  <c:v>1311.5039999999999</c:v>
                </c:pt>
                <c:pt idx="40">
                  <c:v>1311.58</c:v>
                </c:pt>
                <c:pt idx="41">
                  <c:v>1311.655</c:v>
                </c:pt>
                <c:pt idx="42">
                  <c:v>1311.7329999999999</c:v>
                </c:pt>
                <c:pt idx="43">
                  <c:v>1311.809</c:v>
                </c:pt>
                <c:pt idx="44">
                  <c:v>1311.8879999999999</c:v>
                </c:pt>
                <c:pt idx="45">
                  <c:v>1311.9649999999999</c:v>
                </c:pt>
                <c:pt idx="46">
                  <c:v>1312.0450000000001</c:v>
                </c:pt>
                <c:pt idx="47">
                  <c:v>1312.1220000000001</c:v>
                </c:pt>
                <c:pt idx="48">
                  <c:v>1312.2</c:v>
                </c:pt>
                <c:pt idx="49">
                  <c:v>1312.279</c:v>
                </c:pt>
                <c:pt idx="50">
                  <c:v>1312.4169999999999</c:v>
                </c:pt>
                <c:pt idx="51">
                  <c:v>1312.4739999999999</c:v>
                </c:pt>
                <c:pt idx="52">
                  <c:v>1312.5530000000001</c:v>
                </c:pt>
                <c:pt idx="53">
                  <c:v>1312.6320000000001</c:v>
                </c:pt>
                <c:pt idx="54">
                  <c:v>1312.7090000000001</c:v>
                </c:pt>
                <c:pt idx="55">
                  <c:v>1312.788</c:v>
                </c:pt>
                <c:pt idx="56">
                  <c:v>1312.8689999999999</c:v>
                </c:pt>
                <c:pt idx="57">
                  <c:v>1312.9480000000001</c:v>
                </c:pt>
                <c:pt idx="58">
                  <c:v>1313.0239999999999</c:v>
                </c:pt>
                <c:pt idx="59">
                  <c:v>1313.1030000000001</c:v>
                </c:pt>
                <c:pt idx="60">
                  <c:v>1313.183</c:v>
                </c:pt>
                <c:pt idx="61">
                  <c:v>1313.2650000000001</c:v>
                </c:pt>
                <c:pt idx="62">
                  <c:v>1313.3440000000001</c:v>
                </c:pt>
                <c:pt idx="63">
                  <c:v>1313.422</c:v>
                </c:pt>
                <c:pt idx="64">
                  <c:v>1313.5029999999999</c:v>
                </c:pt>
                <c:pt idx="65">
                  <c:v>1313.585</c:v>
                </c:pt>
                <c:pt idx="66">
                  <c:v>1313.6659999999999</c:v>
                </c:pt>
                <c:pt idx="67">
                  <c:v>1313.748</c:v>
                </c:pt>
                <c:pt idx="68">
                  <c:v>1313.828</c:v>
                </c:pt>
                <c:pt idx="69">
                  <c:v>1313.9090000000001</c:v>
                </c:pt>
                <c:pt idx="70">
                  <c:v>1313.991</c:v>
                </c:pt>
                <c:pt idx="71">
                  <c:v>1314.0730000000001</c:v>
                </c:pt>
                <c:pt idx="72">
                  <c:v>1314.154</c:v>
                </c:pt>
                <c:pt idx="73">
                  <c:v>1314.239</c:v>
                </c:pt>
                <c:pt idx="74">
                  <c:v>1314.3230000000001</c:v>
                </c:pt>
                <c:pt idx="75">
                  <c:v>1314.4079999999999</c:v>
                </c:pt>
                <c:pt idx="76">
                  <c:v>1314.4929999999999</c:v>
                </c:pt>
                <c:pt idx="77">
                  <c:v>1314.579</c:v>
                </c:pt>
                <c:pt idx="78">
                  <c:v>1314.6679999999999</c:v>
                </c:pt>
                <c:pt idx="79">
                  <c:v>1314.759</c:v>
                </c:pt>
                <c:pt idx="80">
                  <c:v>1314.847</c:v>
                </c:pt>
                <c:pt idx="81">
                  <c:v>1314.9359999999999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5-43E4-9CF5-B88B86A7CED5}"/>
            </c:ext>
          </c:extLst>
        </c:ser>
        <c:ser>
          <c:idx val="1"/>
          <c:order val="1"/>
          <c:tx>
            <c:strRef>
              <c:f>Curve!$J$1</c:f>
              <c:strCache>
                <c:ptCount val="1"/>
                <c:pt idx="0">
                  <c:v>WL@Maximum current_1310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Curve!$G$3:$G$124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</c:numCache>
            </c:numRef>
          </c:xVal>
          <c:yVal>
            <c:numRef>
              <c:f>Curve!$J$3:$J$124</c:f>
              <c:numCache>
                <c:formatCode>General</c:formatCode>
                <c:ptCount val="122"/>
                <c:pt idx="0">
                  <c:v>1315.8630000000001</c:v>
                </c:pt>
                <c:pt idx="1">
                  <c:v>1315.7750000000001</c:v>
                </c:pt>
                <c:pt idx="2">
                  <c:v>1315.6869999999999</c:v>
                </c:pt>
                <c:pt idx="3">
                  <c:v>1315.6</c:v>
                </c:pt>
                <c:pt idx="4">
                  <c:v>1315.509</c:v>
                </c:pt>
                <c:pt idx="5">
                  <c:v>1315.421</c:v>
                </c:pt>
                <c:pt idx="6">
                  <c:v>1315.335</c:v>
                </c:pt>
                <c:pt idx="7">
                  <c:v>1315.248</c:v>
                </c:pt>
                <c:pt idx="8">
                  <c:v>1315.162</c:v>
                </c:pt>
                <c:pt idx="9">
                  <c:v>1315.0740000000001</c:v>
                </c:pt>
                <c:pt idx="10">
                  <c:v>1314.9860000000001</c:v>
                </c:pt>
                <c:pt idx="11">
                  <c:v>1314.902</c:v>
                </c:pt>
                <c:pt idx="12">
                  <c:v>1314.817</c:v>
                </c:pt>
                <c:pt idx="13">
                  <c:v>1314.731</c:v>
                </c:pt>
                <c:pt idx="14">
                  <c:v>1314.6469999999999</c:v>
                </c:pt>
                <c:pt idx="15">
                  <c:v>1314.566</c:v>
                </c:pt>
                <c:pt idx="16">
                  <c:v>1314.4880000000001</c:v>
                </c:pt>
                <c:pt idx="17">
                  <c:v>1314.413</c:v>
                </c:pt>
                <c:pt idx="18">
                  <c:v>1314.335</c:v>
                </c:pt>
                <c:pt idx="19">
                  <c:v>1314.2560000000001</c:v>
                </c:pt>
                <c:pt idx="20">
                  <c:v>1314.1790000000001</c:v>
                </c:pt>
                <c:pt idx="21">
                  <c:v>1314.1020000000001</c:v>
                </c:pt>
                <c:pt idx="22">
                  <c:v>1314.0239999999999</c:v>
                </c:pt>
                <c:pt idx="23">
                  <c:v>1313.9449999999999</c:v>
                </c:pt>
                <c:pt idx="24">
                  <c:v>1313.864</c:v>
                </c:pt>
                <c:pt idx="25">
                  <c:v>1313.7850000000001</c:v>
                </c:pt>
                <c:pt idx="26">
                  <c:v>1313.6959999999999</c:v>
                </c:pt>
                <c:pt idx="27">
                  <c:v>1313.614</c:v>
                </c:pt>
                <c:pt idx="28">
                  <c:v>1313.5350000000001</c:v>
                </c:pt>
                <c:pt idx="29">
                  <c:v>1313.454</c:v>
                </c:pt>
                <c:pt idx="30">
                  <c:v>1313.374</c:v>
                </c:pt>
                <c:pt idx="31">
                  <c:v>1313.299</c:v>
                </c:pt>
                <c:pt idx="32">
                  <c:v>1313.2170000000001</c:v>
                </c:pt>
                <c:pt idx="33">
                  <c:v>1313.1389999999999</c:v>
                </c:pt>
                <c:pt idx="34">
                  <c:v>1313.0630000000001</c:v>
                </c:pt>
                <c:pt idx="35">
                  <c:v>1312.9860000000001</c:v>
                </c:pt>
                <c:pt idx="36">
                  <c:v>1312.904</c:v>
                </c:pt>
                <c:pt idx="37">
                  <c:v>1312.8209999999999</c:v>
                </c:pt>
                <c:pt idx="38">
                  <c:v>1312.7360000000001</c:v>
                </c:pt>
                <c:pt idx="39">
                  <c:v>1312.6569999999999</c:v>
                </c:pt>
                <c:pt idx="40">
                  <c:v>1312.577</c:v>
                </c:pt>
                <c:pt idx="41">
                  <c:v>1312.501</c:v>
                </c:pt>
                <c:pt idx="42">
                  <c:v>1312.423</c:v>
                </c:pt>
                <c:pt idx="43">
                  <c:v>1312.3430000000001</c:v>
                </c:pt>
                <c:pt idx="44">
                  <c:v>1312.2619999999999</c:v>
                </c:pt>
                <c:pt idx="45">
                  <c:v>1312.1859999999999</c:v>
                </c:pt>
                <c:pt idx="46">
                  <c:v>1312.107</c:v>
                </c:pt>
                <c:pt idx="47">
                  <c:v>1312.0309999999999</c:v>
                </c:pt>
                <c:pt idx="48">
                  <c:v>1311.9490000000001</c:v>
                </c:pt>
                <c:pt idx="49">
                  <c:v>1311.8710000000001</c:v>
                </c:pt>
                <c:pt idx="50">
                  <c:v>1311.7919999999999</c:v>
                </c:pt>
                <c:pt idx="51">
                  <c:v>1311.7149999999999</c:v>
                </c:pt>
                <c:pt idx="52">
                  <c:v>1311.6369999999999</c:v>
                </c:pt>
                <c:pt idx="53">
                  <c:v>1311.56</c:v>
                </c:pt>
                <c:pt idx="54">
                  <c:v>1311.4780000000001</c:v>
                </c:pt>
                <c:pt idx="55">
                  <c:v>1311.4010000000001</c:v>
                </c:pt>
                <c:pt idx="56">
                  <c:v>1311.325</c:v>
                </c:pt>
                <c:pt idx="57">
                  <c:v>1311.25</c:v>
                </c:pt>
                <c:pt idx="58">
                  <c:v>1311.171</c:v>
                </c:pt>
                <c:pt idx="59">
                  <c:v>1311.0930000000001</c:v>
                </c:pt>
                <c:pt idx="60">
                  <c:v>1311.0139999999999</c:v>
                </c:pt>
                <c:pt idx="61">
                  <c:v>1310.9380000000001</c:v>
                </c:pt>
                <c:pt idx="62">
                  <c:v>1310.8579999999999</c:v>
                </c:pt>
                <c:pt idx="63">
                  <c:v>1310.7829999999999</c:v>
                </c:pt>
                <c:pt idx="64">
                  <c:v>1310.7080000000001</c:v>
                </c:pt>
                <c:pt idx="65">
                  <c:v>1310.6300000000001</c:v>
                </c:pt>
                <c:pt idx="66">
                  <c:v>1310.5530000000001</c:v>
                </c:pt>
                <c:pt idx="67">
                  <c:v>1310.4760000000001</c:v>
                </c:pt>
                <c:pt idx="68">
                  <c:v>1310.3979999999999</c:v>
                </c:pt>
                <c:pt idx="69">
                  <c:v>1310.3219999999999</c:v>
                </c:pt>
                <c:pt idx="70">
                  <c:v>1310.239</c:v>
                </c:pt>
                <c:pt idx="71">
                  <c:v>1310.163</c:v>
                </c:pt>
                <c:pt idx="72">
                  <c:v>1310.086</c:v>
                </c:pt>
                <c:pt idx="73">
                  <c:v>1310.01</c:v>
                </c:pt>
                <c:pt idx="74">
                  <c:v>1309.9349999999999</c:v>
                </c:pt>
                <c:pt idx="75">
                  <c:v>1309.8589999999999</c:v>
                </c:pt>
                <c:pt idx="76">
                  <c:v>1309.778</c:v>
                </c:pt>
                <c:pt idx="77">
                  <c:v>1309.702</c:v>
                </c:pt>
                <c:pt idx="78">
                  <c:v>1309.624</c:v>
                </c:pt>
                <c:pt idx="79">
                  <c:v>1309.55</c:v>
                </c:pt>
                <c:pt idx="80">
                  <c:v>1309.47</c:v>
                </c:pt>
                <c:pt idx="81">
                  <c:v>1309.3979999999999</c:v>
                </c:pt>
                <c:pt idx="82">
                  <c:v>1309.3230000000001</c:v>
                </c:pt>
                <c:pt idx="83">
                  <c:v>1309.2449999999999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5-43E4-9CF5-B88B86A7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2"/>
          <c:order val="2"/>
          <c:tx>
            <c:strRef>
              <c:f>Curve!$AC$1</c:f>
              <c:strCache>
                <c:ptCount val="1"/>
                <c:pt idx="0">
                  <c:v>Operational_DDMI Bias_1310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Curve!$AC$3:$AC$119</c:f>
              <c:numCache>
                <c:formatCode>General</c:formatCode>
                <c:ptCount val="117"/>
                <c:pt idx="0">
                  <c:v>124</c:v>
                </c:pt>
                <c:pt idx="1">
                  <c:v>125</c:v>
                </c:pt>
                <c:pt idx="2">
                  <c:v>126</c:v>
                </c:pt>
                <c:pt idx="3">
                  <c:v>127</c:v>
                </c:pt>
                <c:pt idx="4">
                  <c:v>127</c:v>
                </c:pt>
                <c:pt idx="5">
                  <c:v>128</c:v>
                </c:pt>
                <c:pt idx="6">
                  <c:v>129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139</c:v>
                </c:pt>
                <c:pt idx="22">
                  <c:v>139</c:v>
                </c:pt>
                <c:pt idx="23">
                  <c:v>140</c:v>
                </c:pt>
                <c:pt idx="24">
                  <c:v>140</c:v>
                </c:pt>
                <c:pt idx="25">
                  <c:v>141</c:v>
                </c:pt>
                <c:pt idx="26">
                  <c:v>142</c:v>
                </c:pt>
                <c:pt idx="27">
                  <c:v>142</c:v>
                </c:pt>
                <c:pt idx="28">
                  <c:v>143</c:v>
                </c:pt>
                <c:pt idx="29">
                  <c:v>143</c:v>
                </c:pt>
                <c:pt idx="30">
                  <c:v>144</c:v>
                </c:pt>
                <c:pt idx="31">
                  <c:v>145</c:v>
                </c:pt>
                <c:pt idx="32">
                  <c:v>145</c:v>
                </c:pt>
                <c:pt idx="33">
                  <c:v>146</c:v>
                </c:pt>
                <c:pt idx="34">
                  <c:v>146</c:v>
                </c:pt>
                <c:pt idx="35">
                  <c:v>147</c:v>
                </c:pt>
                <c:pt idx="36">
                  <c:v>147</c:v>
                </c:pt>
                <c:pt idx="37">
                  <c:v>148</c:v>
                </c:pt>
                <c:pt idx="38">
                  <c:v>148</c:v>
                </c:pt>
                <c:pt idx="39">
                  <c:v>149</c:v>
                </c:pt>
                <c:pt idx="40">
                  <c:v>150</c:v>
                </c:pt>
                <c:pt idx="41">
                  <c:v>150</c:v>
                </c:pt>
                <c:pt idx="42">
                  <c:v>151</c:v>
                </c:pt>
                <c:pt idx="43">
                  <c:v>152</c:v>
                </c:pt>
                <c:pt idx="44">
                  <c:v>153</c:v>
                </c:pt>
                <c:pt idx="45">
                  <c:v>155</c:v>
                </c:pt>
                <c:pt idx="46">
                  <c:v>156</c:v>
                </c:pt>
                <c:pt idx="47">
                  <c:v>157</c:v>
                </c:pt>
                <c:pt idx="48">
                  <c:v>158</c:v>
                </c:pt>
                <c:pt idx="49">
                  <c:v>159</c:v>
                </c:pt>
                <c:pt idx="50">
                  <c:v>160</c:v>
                </c:pt>
                <c:pt idx="51">
                  <c:v>161</c:v>
                </c:pt>
                <c:pt idx="52">
                  <c:v>162</c:v>
                </c:pt>
                <c:pt idx="53">
                  <c:v>163</c:v>
                </c:pt>
                <c:pt idx="54">
                  <c:v>164</c:v>
                </c:pt>
                <c:pt idx="55">
                  <c:v>165</c:v>
                </c:pt>
                <c:pt idx="56">
                  <c:v>166</c:v>
                </c:pt>
                <c:pt idx="57">
                  <c:v>167</c:v>
                </c:pt>
                <c:pt idx="58">
                  <c:v>169</c:v>
                </c:pt>
                <c:pt idx="59">
                  <c:v>170</c:v>
                </c:pt>
                <c:pt idx="60">
                  <c:v>171</c:v>
                </c:pt>
                <c:pt idx="61">
                  <c:v>172</c:v>
                </c:pt>
                <c:pt idx="62">
                  <c:v>174</c:v>
                </c:pt>
                <c:pt idx="63">
                  <c:v>176</c:v>
                </c:pt>
                <c:pt idx="64">
                  <c:v>178</c:v>
                </c:pt>
                <c:pt idx="65">
                  <c:v>179</c:v>
                </c:pt>
                <c:pt idx="66">
                  <c:v>181</c:v>
                </c:pt>
                <c:pt idx="67">
                  <c:v>183</c:v>
                </c:pt>
                <c:pt idx="68">
                  <c:v>184</c:v>
                </c:pt>
                <c:pt idx="69">
                  <c:v>186</c:v>
                </c:pt>
                <c:pt idx="70">
                  <c:v>187</c:v>
                </c:pt>
                <c:pt idx="71">
                  <c:v>189</c:v>
                </c:pt>
                <c:pt idx="72">
                  <c:v>191</c:v>
                </c:pt>
                <c:pt idx="73">
                  <c:v>193</c:v>
                </c:pt>
                <c:pt idx="74">
                  <c:v>196</c:v>
                </c:pt>
                <c:pt idx="75">
                  <c:v>198</c:v>
                </c:pt>
                <c:pt idx="76">
                  <c:v>200</c:v>
                </c:pt>
                <c:pt idx="77">
                  <c:v>202</c:v>
                </c:pt>
                <c:pt idx="78">
                  <c:v>205</c:v>
                </c:pt>
                <c:pt idx="79">
                  <c:v>208</c:v>
                </c:pt>
                <c:pt idx="80">
                  <c:v>211</c:v>
                </c:pt>
                <c:pt idx="81">
                  <c:v>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35-43E4-9CF5-B88B86A7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894079"/>
        <c:axId val="1704891583"/>
      </c:scatterChart>
      <c:valAx>
        <c:axId val="350937488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  <c:max val="1316"/>
          <c:min val="13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  <c:majorUnit val="1"/>
      </c:valAx>
      <c:valAx>
        <c:axId val="1704894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4891583"/>
        <c:crosses val="autoZero"/>
        <c:crossBetween val="midCat"/>
      </c:valAx>
      <c:valAx>
        <c:axId val="1704891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94079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Wavelength@1330nm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Curve!$E$1</c:f>
              <c:strCache>
                <c:ptCount val="1"/>
                <c:pt idx="0">
                  <c:v>WL@Operational current_1330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Curve!$E$3:$E$119</c:f>
              <c:numCache>
                <c:formatCode>General</c:formatCode>
                <c:ptCount val="117"/>
                <c:pt idx="0">
                  <c:v>1327.69</c:v>
                </c:pt>
                <c:pt idx="1">
                  <c:v>1327.778</c:v>
                </c:pt>
                <c:pt idx="2">
                  <c:v>1327.866</c:v>
                </c:pt>
                <c:pt idx="3">
                  <c:v>1327.9559999999999</c:v>
                </c:pt>
                <c:pt idx="4">
                  <c:v>1328.0450000000001</c:v>
                </c:pt>
                <c:pt idx="5">
                  <c:v>1328.1320000000001</c:v>
                </c:pt>
                <c:pt idx="6">
                  <c:v>1328.2180000000001</c:v>
                </c:pt>
                <c:pt idx="7">
                  <c:v>1328.3030000000001</c:v>
                </c:pt>
                <c:pt idx="8">
                  <c:v>1328.3879999999999</c:v>
                </c:pt>
                <c:pt idx="9">
                  <c:v>1328.472</c:v>
                </c:pt>
                <c:pt idx="10">
                  <c:v>1328.5530000000001</c:v>
                </c:pt>
                <c:pt idx="11">
                  <c:v>1328.634</c:v>
                </c:pt>
                <c:pt idx="12">
                  <c:v>1328.7149999999999</c:v>
                </c:pt>
                <c:pt idx="13">
                  <c:v>1328.797</c:v>
                </c:pt>
                <c:pt idx="14">
                  <c:v>1328.88</c:v>
                </c:pt>
                <c:pt idx="15">
                  <c:v>1328.961</c:v>
                </c:pt>
                <c:pt idx="16">
                  <c:v>1329.0409999999999</c:v>
                </c:pt>
                <c:pt idx="17">
                  <c:v>1329.12</c:v>
                </c:pt>
                <c:pt idx="18">
                  <c:v>1329.201</c:v>
                </c:pt>
                <c:pt idx="19">
                  <c:v>1329.2809999999999</c:v>
                </c:pt>
                <c:pt idx="20">
                  <c:v>1329.3589999999999</c:v>
                </c:pt>
                <c:pt idx="21">
                  <c:v>1329.4369999999999</c:v>
                </c:pt>
                <c:pt idx="22">
                  <c:v>1329.5160000000001</c:v>
                </c:pt>
                <c:pt idx="23">
                  <c:v>1329.5920000000001</c:v>
                </c:pt>
                <c:pt idx="24">
                  <c:v>1329.671</c:v>
                </c:pt>
                <c:pt idx="25">
                  <c:v>1329.751</c:v>
                </c:pt>
                <c:pt idx="26">
                  <c:v>1329.8330000000001</c:v>
                </c:pt>
                <c:pt idx="27">
                  <c:v>1329.913</c:v>
                </c:pt>
                <c:pt idx="28">
                  <c:v>1329.989</c:v>
                </c:pt>
                <c:pt idx="29">
                  <c:v>1330.0640000000001</c:v>
                </c:pt>
                <c:pt idx="30">
                  <c:v>1330.14</c:v>
                </c:pt>
                <c:pt idx="31">
                  <c:v>1330.2180000000001</c:v>
                </c:pt>
                <c:pt idx="32">
                  <c:v>1330.2950000000001</c:v>
                </c:pt>
                <c:pt idx="33">
                  <c:v>1330.3710000000001</c:v>
                </c:pt>
                <c:pt idx="34">
                  <c:v>1330.4480000000001</c:v>
                </c:pt>
                <c:pt idx="35">
                  <c:v>1330.5239999999999</c:v>
                </c:pt>
                <c:pt idx="36">
                  <c:v>1330.6030000000001</c:v>
                </c:pt>
                <c:pt idx="37">
                  <c:v>1330.681</c:v>
                </c:pt>
                <c:pt idx="38">
                  <c:v>1330.758</c:v>
                </c:pt>
                <c:pt idx="39">
                  <c:v>1330.836</c:v>
                </c:pt>
                <c:pt idx="40">
                  <c:v>1330.915</c:v>
                </c:pt>
                <c:pt idx="41">
                  <c:v>1330.9939999999999</c:v>
                </c:pt>
                <c:pt idx="42">
                  <c:v>1331.0730000000001</c:v>
                </c:pt>
                <c:pt idx="43">
                  <c:v>1331.153</c:v>
                </c:pt>
                <c:pt idx="44">
                  <c:v>1331.2349999999999</c:v>
                </c:pt>
                <c:pt idx="45">
                  <c:v>1331.3140000000001</c:v>
                </c:pt>
                <c:pt idx="46">
                  <c:v>1331.393</c:v>
                </c:pt>
                <c:pt idx="47">
                  <c:v>1331.472</c:v>
                </c:pt>
                <c:pt idx="48">
                  <c:v>1331.549</c:v>
                </c:pt>
                <c:pt idx="49">
                  <c:v>1331.6289999999999</c:v>
                </c:pt>
                <c:pt idx="50">
                  <c:v>1331.768</c:v>
                </c:pt>
                <c:pt idx="51">
                  <c:v>1331.8240000000001</c:v>
                </c:pt>
                <c:pt idx="52">
                  <c:v>1331.905</c:v>
                </c:pt>
                <c:pt idx="53">
                  <c:v>1331.9870000000001</c:v>
                </c:pt>
                <c:pt idx="54">
                  <c:v>1332.069</c:v>
                </c:pt>
                <c:pt idx="55">
                  <c:v>1332.1469999999999</c:v>
                </c:pt>
                <c:pt idx="56">
                  <c:v>1332.2280000000001</c:v>
                </c:pt>
                <c:pt idx="57">
                  <c:v>1332.309</c:v>
                </c:pt>
                <c:pt idx="58">
                  <c:v>1332.3879999999999</c:v>
                </c:pt>
                <c:pt idx="59">
                  <c:v>1332.4680000000001</c:v>
                </c:pt>
                <c:pt idx="60">
                  <c:v>1332.549</c:v>
                </c:pt>
                <c:pt idx="61">
                  <c:v>1332.63</c:v>
                </c:pt>
                <c:pt idx="62">
                  <c:v>1332.71</c:v>
                </c:pt>
                <c:pt idx="63">
                  <c:v>1332.79</c:v>
                </c:pt>
                <c:pt idx="64">
                  <c:v>1332.873</c:v>
                </c:pt>
                <c:pt idx="65">
                  <c:v>1332.953</c:v>
                </c:pt>
                <c:pt idx="66">
                  <c:v>1333.0319999999999</c:v>
                </c:pt>
                <c:pt idx="67">
                  <c:v>1333.1130000000001</c:v>
                </c:pt>
                <c:pt idx="68">
                  <c:v>1333.194</c:v>
                </c:pt>
                <c:pt idx="69">
                  <c:v>1333.2739999999999</c:v>
                </c:pt>
                <c:pt idx="70">
                  <c:v>1333.3610000000001</c:v>
                </c:pt>
                <c:pt idx="71">
                  <c:v>1333.443</c:v>
                </c:pt>
                <c:pt idx="72">
                  <c:v>1333.528</c:v>
                </c:pt>
                <c:pt idx="73">
                  <c:v>1333.617</c:v>
                </c:pt>
                <c:pt idx="74">
                  <c:v>1333.7049999999999</c:v>
                </c:pt>
                <c:pt idx="75">
                  <c:v>1333.7919999999999</c:v>
                </c:pt>
                <c:pt idx="76">
                  <c:v>1333.8820000000001</c:v>
                </c:pt>
                <c:pt idx="77">
                  <c:v>1333.9680000000001</c:v>
                </c:pt>
                <c:pt idx="78">
                  <c:v>1334.059</c:v>
                </c:pt>
                <c:pt idx="79">
                  <c:v>1334.1510000000001</c:v>
                </c:pt>
                <c:pt idx="80">
                  <c:v>1334.242</c:v>
                </c:pt>
                <c:pt idx="81">
                  <c:v>1334.3309999999999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2-4F91-AE66-49D0D613BF1E}"/>
            </c:ext>
          </c:extLst>
        </c:ser>
        <c:ser>
          <c:idx val="1"/>
          <c:order val="1"/>
          <c:tx>
            <c:strRef>
              <c:f>Curve!$K$1</c:f>
              <c:strCache>
                <c:ptCount val="1"/>
                <c:pt idx="0">
                  <c:v>WL@Maximum current_1330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Curve!$G$3:$G$124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</c:numCache>
            </c:numRef>
          </c:xVal>
          <c:yVal>
            <c:numRef>
              <c:f>Curve!$K$3:$K$124</c:f>
              <c:numCache>
                <c:formatCode>General</c:formatCode>
                <c:ptCount val="122"/>
                <c:pt idx="0">
                  <c:v>1335.279</c:v>
                </c:pt>
                <c:pt idx="1">
                  <c:v>1335.193</c:v>
                </c:pt>
                <c:pt idx="2">
                  <c:v>1335.104</c:v>
                </c:pt>
                <c:pt idx="3">
                  <c:v>1335.0139999999999</c:v>
                </c:pt>
                <c:pt idx="4">
                  <c:v>1334.92</c:v>
                </c:pt>
                <c:pt idx="5">
                  <c:v>1334.829</c:v>
                </c:pt>
                <c:pt idx="6">
                  <c:v>1334.7439999999999</c:v>
                </c:pt>
                <c:pt idx="7">
                  <c:v>1334.655</c:v>
                </c:pt>
                <c:pt idx="8">
                  <c:v>1334.568</c:v>
                </c:pt>
                <c:pt idx="9">
                  <c:v>1334.481</c:v>
                </c:pt>
                <c:pt idx="10">
                  <c:v>1334.393</c:v>
                </c:pt>
                <c:pt idx="11">
                  <c:v>1334.308</c:v>
                </c:pt>
                <c:pt idx="12">
                  <c:v>1334.223</c:v>
                </c:pt>
                <c:pt idx="13">
                  <c:v>1334.135</c:v>
                </c:pt>
                <c:pt idx="14">
                  <c:v>1334.05</c:v>
                </c:pt>
                <c:pt idx="15">
                  <c:v>1333.9680000000001</c:v>
                </c:pt>
                <c:pt idx="16">
                  <c:v>1333.8889999999999</c:v>
                </c:pt>
                <c:pt idx="17">
                  <c:v>1333.807</c:v>
                </c:pt>
                <c:pt idx="18">
                  <c:v>1333.7280000000001</c:v>
                </c:pt>
                <c:pt idx="19">
                  <c:v>1333.6469999999999</c:v>
                </c:pt>
                <c:pt idx="20">
                  <c:v>1333.5640000000001</c:v>
                </c:pt>
                <c:pt idx="21">
                  <c:v>1333.4860000000001</c:v>
                </c:pt>
                <c:pt idx="22">
                  <c:v>1333.4079999999999</c:v>
                </c:pt>
                <c:pt idx="23">
                  <c:v>1333.326</c:v>
                </c:pt>
                <c:pt idx="24">
                  <c:v>1333.2439999999999</c:v>
                </c:pt>
                <c:pt idx="25">
                  <c:v>1333.165</c:v>
                </c:pt>
                <c:pt idx="26">
                  <c:v>1333.076</c:v>
                </c:pt>
                <c:pt idx="27">
                  <c:v>1332.9970000000001</c:v>
                </c:pt>
                <c:pt idx="28">
                  <c:v>1332.9159999999999</c:v>
                </c:pt>
                <c:pt idx="29">
                  <c:v>1332.836</c:v>
                </c:pt>
                <c:pt idx="30">
                  <c:v>1332.758</c:v>
                </c:pt>
                <c:pt idx="31">
                  <c:v>1332.6769999999999</c:v>
                </c:pt>
                <c:pt idx="32">
                  <c:v>1332.596</c:v>
                </c:pt>
                <c:pt idx="33">
                  <c:v>1332.52</c:v>
                </c:pt>
                <c:pt idx="34">
                  <c:v>1332.44</c:v>
                </c:pt>
                <c:pt idx="35">
                  <c:v>1332.3610000000001</c:v>
                </c:pt>
                <c:pt idx="36">
                  <c:v>1332.277</c:v>
                </c:pt>
                <c:pt idx="37">
                  <c:v>1332.1949999999999</c:v>
                </c:pt>
                <c:pt idx="38">
                  <c:v>1332.107</c:v>
                </c:pt>
                <c:pt idx="39">
                  <c:v>1332.028</c:v>
                </c:pt>
                <c:pt idx="40">
                  <c:v>1331.9459999999999</c:v>
                </c:pt>
                <c:pt idx="41">
                  <c:v>1331.8710000000001</c:v>
                </c:pt>
                <c:pt idx="42">
                  <c:v>1331.7909999999999</c:v>
                </c:pt>
                <c:pt idx="43">
                  <c:v>1331.71</c:v>
                </c:pt>
                <c:pt idx="44">
                  <c:v>1331.6310000000001</c:v>
                </c:pt>
                <c:pt idx="45">
                  <c:v>1331.5540000000001</c:v>
                </c:pt>
                <c:pt idx="46">
                  <c:v>1331.4749999999999</c:v>
                </c:pt>
                <c:pt idx="47">
                  <c:v>1331.3969999999999</c:v>
                </c:pt>
                <c:pt idx="48">
                  <c:v>1331.3140000000001</c:v>
                </c:pt>
                <c:pt idx="49">
                  <c:v>1331.2339999999999</c:v>
                </c:pt>
                <c:pt idx="50">
                  <c:v>1331.1510000000001</c:v>
                </c:pt>
                <c:pt idx="51">
                  <c:v>1331.0730000000001</c:v>
                </c:pt>
                <c:pt idx="52">
                  <c:v>1330.992</c:v>
                </c:pt>
                <c:pt idx="53">
                  <c:v>1330.913</c:v>
                </c:pt>
                <c:pt idx="54">
                  <c:v>1330.828</c:v>
                </c:pt>
                <c:pt idx="55">
                  <c:v>1330.75</c:v>
                </c:pt>
                <c:pt idx="56">
                  <c:v>1330.672</c:v>
                </c:pt>
                <c:pt idx="57">
                  <c:v>1330.595</c:v>
                </c:pt>
                <c:pt idx="58">
                  <c:v>1330.5139999999999</c:v>
                </c:pt>
                <c:pt idx="59">
                  <c:v>1330.4380000000001</c:v>
                </c:pt>
                <c:pt idx="60">
                  <c:v>1330.3589999999999</c:v>
                </c:pt>
                <c:pt idx="61">
                  <c:v>1330.2840000000001</c:v>
                </c:pt>
                <c:pt idx="62">
                  <c:v>1330.2059999999999</c:v>
                </c:pt>
                <c:pt idx="63">
                  <c:v>1330.13</c:v>
                </c:pt>
                <c:pt idx="64">
                  <c:v>1330.0519999999999</c:v>
                </c:pt>
                <c:pt idx="65">
                  <c:v>1329.9739999999999</c:v>
                </c:pt>
                <c:pt idx="66">
                  <c:v>1329.8979999999999</c:v>
                </c:pt>
                <c:pt idx="67">
                  <c:v>1329.82</c:v>
                </c:pt>
                <c:pt idx="68">
                  <c:v>1329.741</c:v>
                </c:pt>
                <c:pt idx="69">
                  <c:v>1329.664</c:v>
                </c:pt>
                <c:pt idx="70">
                  <c:v>1329.578</c:v>
                </c:pt>
                <c:pt idx="71">
                  <c:v>1329.499</c:v>
                </c:pt>
                <c:pt idx="72">
                  <c:v>1329.421</c:v>
                </c:pt>
                <c:pt idx="73">
                  <c:v>1329.3440000000001</c:v>
                </c:pt>
                <c:pt idx="74">
                  <c:v>1329.2670000000001</c:v>
                </c:pt>
                <c:pt idx="75">
                  <c:v>1329.19</c:v>
                </c:pt>
                <c:pt idx="76">
                  <c:v>1329.1079999999999</c:v>
                </c:pt>
                <c:pt idx="77">
                  <c:v>1329.0319999999999</c:v>
                </c:pt>
                <c:pt idx="78">
                  <c:v>1328.953</c:v>
                </c:pt>
                <c:pt idx="79">
                  <c:v>1328.8779999999999</c:v>
                </c:pt>
                <c:pt idx="80">
                  <c:v>1328.796</c:v>
                </c:pt>
                <c:pt idx="81">
                  <c:v>1328.722</c:v>
                </c:pt>
                <c:pt idx="82">
                  <c:v>1328.645</c:v>
                </c:pt>
                <c:pt idx="83">
                  <c:v>1328.566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12-4F91-AE66-49D0D613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2"/>
          <c:order val="2"/>
          <c:tx>
            <c:strRef>
              <c:f>Curve!$AD$1</c:f>
              <c:strCache>
                <c:ptCount val="1"/>
                <c:pt idx="0">
                  <c:v>Operational_DDMI Bias_1330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Curve!$A$3:$A$119</c:f>
              <c:numCache>
                <c:formatCode>General</c:formatCode>
                <c:ptCount val="117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Curve!$AD$3:$AD$119</c:f>
              <c:numCache>
                <c:formatCode>General</c:formatCode>
                <c:ptCount val="117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141</c:v>
                </c:pt>
                <c:pt idx="9">
                  <c:v>141</c:v>
                </c:pt>
                <c:pt idx="10">
                  <c:v>141</c:v>
                </c:pt>
                <c:pt idx="11">
                  <c:v>141</c:v>
                </c:pt>
                <c:pt idx="12">
                  <c:v>141</c:v>
                </c:pt>
                <c:pt idx="13">
                  <c:v>141</c:v>
                </c:pt>
                <c:pt idx="14">
                  <c:v>141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144</c:v>
                </c:pt>
                <c:pt idx="23">
                  <c:v>144</c:v>
                </c:pt>
                <c:pt idx="24">
                  <c:v>144</c:v>
                </c:pt>
                <c:pt idx="25">
                  <c:v>145</c:v>
                </c:pt>
                <c:pt idx="26">
                  <c:v>145</c:v>
                </c:pt>
                <c:pt idx="27">
                  <c:v>145</c:v>
                </c:pt>
                <c:pt idx="28">
                  <c:v>146</c:v>
                </c:pt>
                <c:pt idx="29">
                  <c:v>146</c:v>
                </c:pt>
                <c:pt idx="30">
                  <c:v>147</c:v>
                </c:pt>
                <c:pt idx="31">
                  <c:v>148</c:v>
                </c:pt>
                <c:pt idx="32">
                  <c:v>148</c:v>
                </c:pt>
                <c:pt idx="33">
                  <c:v>148</c:v>
                </c:pt>
                <c:pt idx="34">
                  <c:v>149</c:v>
                </c:pt>
                <c:pt idx="35">
                  <c:v>149</c:v>
                </c:pt>
                <c:pt idx="36">
                  <c:v>150</c:v>
                </c:pt>
                <c:pt idx="37">
                  <c:v>151</c:v>
                </c:pt>
                <c:pt idx="38">
                  <c:v>151</c:v>
                </c:pt>
                <c:pt idx="39">
                  <c:v>152</c:v>
                </c:pt>
                <c:pt idx="40">
                  <c:v>153</c:v>
                </c:pt>
                <c:pt idx="41">
                  <c:v>154</c:v>
                </c:pt>
                <c:pt idx="42">
                  <c:v>154</c:v>
                </c:pt>
                <c:pt idx="43">
                  <c:v>155</c:v>
                </c:pt>
                <c:pt idx="44">
                  <c:v>156</c:v>
                </c:pt>
                <c:pt idx="45">
                  <c:v>156</c:v>
                </c:pt>
                <c:pt idx="46">
                  <c:v>157</c:v>
                </c:pt>
                <c:pt idx="47">
                  <c:v>158</c:v>
                </c:pt>
                <c:pt idx="48">
                  <c:v>159</c:v>
                </c:pt>
                <c:pt idx="49">
                  <c:v>160</c:v>
                </c:pt>
                <c:pt idx="50">
                  <c:v>161</c:v>
                </c:pt>
                <c:pt idx="51">
                  <c:v>162</c:v>
                </c:pt>
                <c:pt idx="52">
                  <c:v>163</c:v>
                </c:pt>
                <c:pt idx="53">
                  <c:v>165</c:v>
                </c:pt>
                <c:pt idx="54">
                  <c:v>166</c:v>
                </c:pt>
                <c:pt idx="55">
                  <c:v>167</c:v>
                </c:pt>
                <c:pt idx="56">
                  <c:v>168</c:v>
                </c:pt>
                <c:pt idx="57">
                  <c:v>169</c:v>
                </c:pt>
                <c:pt idx="58">
                  <c:v>170</c:v>
                </c:pt>
                <c:pt idx="59">
                  <c:v>171</c:v>
                </c:pt>
                <c:pt idx="60">
                  <c:v>173</c:v>
                </c:pt>
                <c:pt idx="61">
                  <c:v>174</c:v>
                </c:pt>
                <c:pt idx="62">
                  <c:v>175</c:v>
                </c:pt>
                <c:pt idx="63">
                  <c:v>177</c:v>
                </c:pt>
                <c:pt idx="64">
                  <c:v>178</c:v>
                </c:pt>
                <c:pt idx="65">
                  <c:v>180</c:v>
                </c:pt>
                <c:pt idx="66">
                  <c:v>181</c:v>
                </c:pt>
                <c:pt idx="67">
                  <c:v>183</c:v>
                </c:pt>
                <c:pt idx="68">
                  <c:v>184</c:v>
                </c:pt>
                <c:pt idx="69">
                  <c:v>186</c:v>
                </c:pt>
                <c:pt idx="70">
                  <c:v>188</c:v>
                </c:pt>
                <c:pt idx="71">
                  <c:v>190</c:v>
                </c:pt>
                <c:pt idx="72">
                  <c:v>191</c:v>
                </c:pt>
                <c:pt idx="73">
                  <c:v>194</c:v>
                </c:pt>
                <c:pt idx="74">
                  <c:v>196</c:v>
                </c:pt>
                <c:pt idx="75">
                  <c:v>198</c:v>
                </c:pt>
                <c:pt idx="76">
                  <c:v>200</c:v>
                </c:pt>
                <c:pt idx="77">
                  <c:v>203</c:v>
                </c:pt>
                <c:pt idx="78">
                  <c:v>205</c:v>
                </c:pt>
                <c:pt idx="79">
                  <c:v>208</c:v>
                </c:pt>
                <c:pt idx="80">
                  <c:v>211</c:v>
                </c:pt>
                <c:pt idx="8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12-4F91-AE66-49D0D613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6335"/>
        <c:axId val="1691627999"/>
      </c:scatterChart>
      <c:valAx>
        <c:axId val="350937488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  <c:max val="1336"/>
          <c:min val="13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  <c:majorUnit val="1"/>
      </c:valAx>
      <c:valAx>
        <c:axId val="169162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1627999"/>
        <c:crosses val="autoZero"/>
        <c:crossBetween val="midCat"/>
      </c:valAx>
      <c:valAx>
        <c:axId val="16916279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6335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TXP_Operational Bias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Curve!$W$1</c:f>
              <c:strCache>
                <c:ptCount val="1"/>
                <c:pt idx="0">
                  <c:v>Operational_TxP_1270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Curve!$W$2:$W$119</c:f>
              <c:numCache>
                <c:formatCode>General</c:formatCode>
                <c:ptCount val="118"/>
                <c:pt idx="0">
                  <c:v>1.4</c:v>
                </c:pt>
                <c:pt idx="1">
                  <c:v>1.29</c:v>
                </c:pt>
                <c:pt idx="2">
                  <c:v>1.31</c:v>
                </c:pt>
                <c:pt idx="3">
                  <c:v>1.36</c:v>
                </c:pt>
                <c:pt idx="4">
                  <c:v>1.41</c:v>
                </c:pt>
                <c:pt idx="5">
                  <c:v>1.35</c:v>
                </c:pt>
                <c:pt idx="6">
                  <c:v>1.38</c:v>
                </c:pt>
                <c:pt idx="7">
                  <c:v>1.36</c:v>
                </c:pt>
                <c:pt idx="8">
                  <c:v>1.36</c:v>
                </c:pt>
                <c:pt idx="9">
                  <c:v>1.35</c:v>
                </c:pt>
                <c:pt idx="10">
                  <c:v>1.33</c:v>
                </c:pt>
                <c:pt idx="11">
                  <c:v>1.32</c:v>
                </c:pt>
                <c:pt idx="12">
                  <c:v>1.31</c:v>
                </c:pt>
                <c:pt idx="13">
                  <c:v>1.33</c:v>
                </c:pt>
                <c:pt idx="14">
                  <c:v>1.38</c:v>
                </c:pt>
                <c:pt idx="15">
                  <c:v>1.42</c:v>
                </c:pt>
                <c:pt idx="16">
                  <c:v>1.45</c:v>
                </c:pt>
                <c:pt idx="17">
                  <c:v>1.39</c:v>
                </c:pt>
                <c:pt idx="18">
                  <c:v>1.29</c:v>
                </c:pt>
                <c:pt idx="19">
                  <c:v>1.24</c:v>
                </c:pt>
                <c:pt idx="20">
                  <c:v>1.28</c:v>
                </c:pt>
                <c:pt idx="21">
                  <c:v>1.32</c:v>
                </c:pt>
                <c:pt idx="22">
                  <c:v>1.35</c:v>
                </c:pt>
                <c:pt idx="23">
                  <c:v>1.34</c:v>
                </c:pt>
                <c:pt idx="24">
                  <c:v>1.36</c:v>
                </c:pt>
                <c:pt idx="25">
                  <c:v>1.4</c:v>
                </c:pt>
                <c:pt idx="26">
                  <c:v>1.4</c:v>
                </c:pt>
                <c:pt idx="27">
                  <c:v>1.4</c:v>
                </c:pt>
                <c:pt idx="28">
                  <c:v>1.32</c:v>
                </c:pt>
                <c:pt idx="29">
                  <c:v>1.3</c:v>
                </c:pt>
                <c:pt idx="30">
                  <c:v>1.32</c:v>
                </c:pt>
                <c:pt idx="31">
                  <c:v>1.28</c:v>
                </c:pt>
                <c:pt idx="32">
                  <c:v>1.36</c:v>
                </c:pt>
                <c:pt idx="33">
                  <c:v>1.38</c:v>
                </c:pt>
                <c:pt idx="34">
                  <c:v>1.39</c:v>
                </c:pt>
                <c:pt idx="35">
                  <c:v>1.34</c:v>
                </c:pt>
                <c:pt idx="36">
                  <c:v>1.3</c:v>
                </c:pt>
                <c:pt idx="37">
                  <c:v>1.27</c:v>
                </c:pt>
                <c:pt idx="38">
                  <c:v>1.24</c:v>
                </c:pt>
                <c:pt idx="39">
                  <c:v>1.26</c:v>
                </c:pt>
                <c:pt idx="40">
                  <c:v>1.17</c:v>
                </c:pt>
                <c:pt idx="41">
                  <c:v>1.18</c:v>
                </c:pt>
                <c:pt idx="42">
                  <c:v>1.18</c:v>
                </c:pt>
                <c:pt idx="43">
                  <c:v>1.24</c:v>
                </c:pt>
                <c:pt idx="44">
                  <c:v>1.28</c:v>
                </c:pt>
                <c:pt idx="45">
                  <c:v>1.29</c:v>
                </c:pt>
                <c:pt idx="46">
                  <c:v>1.31</c:v>
                </c:pt>
                <c:pt idx="47">
                  <c:v>1.29</c:v>
                </c:pt>
                <c:pt idx="48">
                  <c:v>1.19</c:v>
                </c:pt>
                <c:pt idx="49">
                  <c:v>1.2</c:v>
                </c:pt>
                <c:pt idx="50">
                  <c:v>1.21</c:v>
                </c:pt>
                <c:pt idx="51">
                  <c:v>1.27</c:v>
                </c:pt>
                <c:pt idx="52">
                  <c:v>1.27</c:v>
                </c:pt>
                <c:pt idx="53">
                  <c:v>1.27</c:v>
                </c:pt>
                <c:pt idx="54">
                  <c:v>1.29</c:v>
                </c:pt>
                <c:pt idx="55">
                  <c:v>1.23</c:v>
                </c:pt>
                <c:pt idx="56">
                  <c:v>1.17</c:v>
                </c:pt>
                <c:pt idx="57">
                  <c:v>1.1299999999999999</c:v>
                </c:pt>
                <c:pt idx="58">
                  <c:v>1.1499999999999999</c:v>
                </c:pt>
                <c:pt idx="59">
                  <c:v>1.1200000000000001</c:v>
                </c:pt>
                <c:pt idx="60">
                  <c:v>1.1100000000000001</c:v>
                </c:pt>
                <c:pt idx="61">
                  <c:v>1.1100000000000001</c:v>
                </c:pt>
                <c:pt idx="62">
                  <c:v>1.1399999999999999</c:v>
                </c:pt>
                <c:pt idx="63">
                  <c:v>1.1299999999999999</c:v>
                </c:pt>
                <c:pt idx="64">
                  <c:v>1.1399999999999999</c:v>
                </c:pt>
                <c:pt idx="65">
                  <c:v>1.1399999999999999</c:v>
                </c:pt>
                <c:pt idx="66">
                  <c:v>1.1599999999999999</c:v>
                </c:pt>
                <c:pt idx="67">
                  <c:v>1.1399999999999999</c:v>
                </c:pt>
                <c:pt idx="68">
                  <c:v>1.1000000000000001</c:v>
                </c:pt>
                <c:pt idx="69">
                  <c:v>1.01</c:v>
                </c:pt>
                <c:pt idx="70">
                  <c:v>1.02</c:v>
                </c:pt>
                <c:pt idx="71">
                  <c:v>1.07</c:v>
                </c:pt>
                <c:pt idx="72">
                  <c:v>1.17</c:v>
                </c:pt>
                <c:pt idx="73">
                  <c:v>1.25</c:v>
                </c:pt>
                <c:pt idx="74">
                  <c:v>1.18</c:v>
                </c:pt>
                <c:pt idx="75">
                  <c:v>1.1299999999999999</c:v>
                </c:pt>
                <c:pt idx="76">
                  <c:v>1.1399999999999999</c:v>
                </c:pt>
                <c:pt idx="77">
                  <c:v>1.06</c:v>
                </c:pt>
                <c:pt idx="78">
                  <c:v>1</c:v>
                </c:pt>
                <c:pt idx="79">
                  <c:v>1.01</c:v>
                </c:pt>
                <c:pt idx="80">
                  <c:v>0.97</c:v>
                </c:pt>
                <c:pt idx="81">
                  <c:v>1.04</c:v>
                </c:pt>
                <c:pt idx="82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D-491A-95A2-C0D7290FACB3}"/>
            </c:ext>
          </c:extLst>
        </c:ser>
        <c:ser>
          <c:idx val="4"/>
          <c:order val="1"/>
          <c:tx>
            <c:strRef>
              <c:f>Curve!$X$1</c:f>
              <c:strCache>
                <c:ptCount val="1"/>
                <c:pt idx="0">
                  <c:v>Operational_TxP_1290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Curve!$X$2:$X$119</c:f>
              <c:numCache>
                <c:formatCode>General</c:formatCode>
                <c:ptCount val="118"/>
                <c:pt idx="0">
                  <c:v>0.9</c:v>
                </c:pt>
                <c:pt idx="1">
                  <c:v>0.86</c:v>
                </c:pt>
                <c:pt idx="2">
                  <c:v>0.89</c:v>
                </c:pt>
                <c:pt idx="3">
                  <c:v>0.94</c:v>
                </c:pt>
                <c:pt idx="4">
                  <c:v>0.96</c:v>
                </c:pt>
                <c:pt idx="5">
                  <c:v>1.02</c:v>
                </c:pt>
                <c:pt idx="6">
                  <c:v>1.03</c:v>
                </c:pt>
                <c:pt idx="7">
                  <c:v>1.01</c:v>
                </c:pt>
                <c:pt idx="8">
                  <c:v>1.04</c:v>
                </c:pt>
                <c:pt idx="9">
                  <c:v>1.04</c:v>
                </c:pt>
                <c:pt idx="10">
                  <c:v>1.06</c:v>
                </c:pt>
                <c:pt idx="11">
                  <c:v>1.08</c:v>
                </c:pt>
                <c:pt idx="12">
                  <c:v>1.1200000000000001</c:v>
                </c:pt>
                <c:pt idx="13">
                  <c:v>1.06</c:v>
                </c:pt>
                <c:pt idx="14">
                  <c:v>1.05</c:v>
                </c:pt>
                <c:pt idx="15">
                  <c:v>1.08</c:v>
                </c:pt>
                <c:pt idx="16">
                  <c:v>1.04</c:v>
                </c:pt>
                <c:pt idx="17">
                  <c:v>1.07</c:v>
                </c:pt>
                <c:pt idx="18">
                  <c:v>1.07</c:v>
                </c:pt>
                <c:pt idx="19">
                  <c:v>1.04</c:v>
                </c:pt>
                <c:pt idx="20">
                  <c:v>1.06</c:v>
                </c:pt>
                <c:pt idx="21">
                  <c:v>1.03</c:v>
                </c:pt>
                <c:pt idx="22">
                  <c:v>1.07</c:v>
                </c:pt>
                <c:pt idx="23">
                  <c:v>1.07</c:v>
                </c:pt>
                <c:pt idx="24">
                  <c:v>1.01</c:v>
                </c:pt>
                <c:pt idx="25">
                  <c:v>0.92</c:v>
                </c:pt>
                <c:pt idx="26">
                  <c:v>0.93</c:v>
                </c:pt>
                <c:pt idx="27">
                  <c:v>0.97</c:v>
                </c:pt>
                <c:pt idx="28">
                  <c:v>0.97</c:v>
                </c:pt>
                <c:pt idx="29">
                  <c:v>1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1</c:v>
                </c:pt>
                <c:pt idx="34">
                  <c:v>1.07</c:v>
                </c:pt>
                <c:pt idx="35">
                  <c:v>1.08</c:v>
                </c:pt>
                <c:pt idx="36">
                  <c:v>1.05</c:v>
                </c:pt>
                <c:pt idx="37">
                  <c:v>1.05</c:v>
                </c:pt>
                <c:pt idx="38">
                  <c:v>1.1200000000000001</c:v>
                </c:pt>
                <c:pt idx="39">
                  <c:v>1.1499999999999999</c:v>
                </c:pt>
                <c:pt idx="40">
                  <c:v>1.1100000000000001</c:v>
                </c:pt>
                <c:pt idx="41">
                  <c:v>1.17</c:v>
                </c:pt>
                <c:pt idx="42">
                  <c:v>1.07</c:v>
                </c:pt>
                <c:pt idx="43">
                  <c:v>0.98</c:v>
                </c:pt>
                <c:pt idx="44">
                  <c:v>1.04</c:v>
                </c:pt>
                <c:pt idx="45">
                  <c:v>0.99</c:v>
                </c:pt>
                <c:pt idx="46">
                  <c:v>0.93</c:v>
                </c:pt>
                <c:pt idx="47">
                  <c:v>0.97</c:v>
                </c:pt>
                <c:pt idx="48">
                  <c:v>0.95</c:v>
                </c:pt>
                <c:pt idx="49">
                  <c:v>0.92</c:v>
                </c:pt>
                <c:pt idx="50">
                  <c:v>0.94</c:v>
                </c:pt>
                <c:pt idx="51">
                  <c:v>0.92</c:v>
                </c:pt>
                <c:pt idx="52">
                  <c:v>0.9</c:v>
                </c:pt>
                <c:pt idx="53">
                  <c:v>0.86</c:v>
                </c:pt>
                <c:pt idx="54">
                  <c:v>0.91</c:v>
                </c:pt>
                <c:pt idx="55">
                  <c:v>0.91</c:v>
                </c:pt>
                <c:pt idx="56">
                  <c:v>0.94</c:v>
                </c:pt>
                <c:pt idx="57">
                  <c:v>0.91</c:v>
                </c:pt>
                <c:pt idx="58">
                  <c:v>0.92</c:v>
                </c:pt>
                <c:pt idx="59">
                  <c:v>0.85</c:v>
                </c:pt>
                <c:pt idx="60">
                  <c:v>0.86</c:v>
                </c:pt>
                <c:pt idx="61">
                  <c:v>0.86</c:v>
                </c:pt>
                <c:pt idx="62">
                  <c:v>0.92</c:v>
                </c:pt>
                <c:pt idx="63">
                  <c:v>0.9</c:v>
                </c:pt>
                <c:pt idx="64">
                  <c:v>0.9</c:v>
                </c:pt>
                <c:pt idx="65">
                  <c:v>0.91</c:v>
                </c:pt>
                <c:pt idx="66">
                  <c:v>0.88</c:v>
                </c:pt>
                <c:pt idx="67">
                  <c:v>0.92</c:v>
                </c:pt>
                <c:pt idx="68">
                  <c:v>0.92</c:v>
                </c:pt>
                <c:pt idx="69">
                  <c:v>0.91</c:v>
                </c:pt>
                <c:pt idx="70">
                  <c:v>0.94</c:v>
                </c:pt>
                <c:pt idx="71">
                  <c:v>0.97</c:v>
                </c:pt>
                <c:pt idx="72">
                  <c:v>0.96</c:v>
                </c:pt>
                <c:pt idx="73">
                  <c:v>0.94</c:v>
                </c:pt>
                <c:pt idx="74">
                  <c:v>0.96</c:v>
                </c:pt>
                <c:pt idx="75">
                  <c:v>0.9</c:v>
                </c:pt>
                <c:pt idx="76">
                  <c:v>0.87</c:v>
                </c:pt>
                <c:pt idx="77">
                  <c:v>0.89</c:v>
                </c:pt>
                <c:pt idx="78">
                  <c:v>0.82</c:v>
                </c:pt>
                <c:pt idx="79">
                  <c:v>0.81</c:v>
                </c:pt>
                <c:pt idx="80">
                  <c:v>0.84</c:v>
                </c:pt>
                <c:pt idx="81">
                  <c:v>0.79</c:v>
                </c:pt>
                <c:pt idx="82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D-491A-95A2-C0D7290FACB3}"/>
            </c:ext>
          </c:extLst>
        </c:ser>
        <c:ser>
          <c:idx val="5"/>
          <c:order val="2"/>
          <c:tx>
            <c:strRef>
              <c:f>Curve!$Y$1</c:f>
              <c:strCache>
                <c:ptCount val="1"/>
                <c:pt idx="0">
                  <c:v>Operational_TxP_1310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Curve!$V$2:$V$100</c:f>
              <c:numCache>
                <c:formatCode>General</c:formatCode>
                <c:ptCount val="99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Curve!$Y$2:$Y$100</c:f>
              <c:numCache>
                <c:formatCode>General</c:formatCode>
                <c:ptCount val="99"/>
                <c:pt idx="0">
                  <c:v>2.4900000000000002</c:v>
                </c:pt>
                <c:pt idx="1">
                  <c:v>2.4900000000000002</c:v>
                </c:pt>
                <c:pt idx="2">
                  <c:v>2.41</c:v>
                </c:pt>
                <c:pt idx="3">
                  <c:v>2.46</c:v>
                </c:pt>
                <c:pt idx="4">
                  <c:v>2.48</c:v>
                </c:pt>
                <c:pt idx="5">
                  <c:v>2.48</c:v>
                </c:pt>
                <c:pt idx="6">
                  <c:v>2.4500000000000002</c:v>
                </c:pt>
                <c:pt idx="7">
                  <c:v>2.46</c:v>
                </c:pt>
                <c:pt idx="8">
                  <c:v>2.4900000000000002</c:v>
                </c:pt>
                <c:pt idx="9">
                  <c:v>2.48</c:v>
                </c:pt>
                <c:pt idx="10">
                  <c:v>2.5099999999999998</c:v>
                </c:pt>
                <c:pt idx="11">
                  <c:v>2.5099999999999998</c:v>
                </c:pt>
                <c:pt idx="12">
                  <c:v>2.56</c:v>
                </c:pt>
                <c:pt idx="13">
                  <c:v>2.62</c:v>
                </c:pt>
                <c:pt idx="14">
                  <c:v>2.6</c:v>
                </c:pt>
                <c:pt idx="15">
                  <c:v>2.59</c:v>
                </c:pt>
                <c:pt idx="16">
                  <c:v>2.66</c:v>
                </c:pt>
                <c:pt idx="17">
                  <c:v>2.66</c:v>
                </c:pt>
                <c:pt idx="18">
                  <c:v>2.61</c:v>
                </c:pt>
                <c:pt idx="19">
                  <c:v>2.63</c:v>
                </c:pt>
                <c:pt idx="20">
                  <c:v>2.63</c:v>
                </c:pt>
                <c:pt idx="21">
                  <c:v>2.57</c:v>
                </c:pt>
                <c:pt idx="22">
                  <c:v>2.54</c:v>
                </c:pt>
                <c:pt idx="23">
                  <c:v>2.5299999999999998</c:v>
                </c:pt>
                <c:pt idx="24">
                  <c:v>2.5099999999999998</c:v>
                </c:pt>
                <c:pt idx="25">
                  <c:v>2.5499999999999998</c:v>
                </c:pt>
                <c:pt idx="26">
                  <c:v>2.5299999999999998</c:v>
                </c:pt>
                <c:pt idx="27">
                  <c:v>2.5099999999999998</c:v>
                </c:pt>
                <c:pt idx="28">
                  <c:v>2.5499999999999998</c:v>
                </c:pt>
                <c:pt idx="29">
                  <c:v>2.52</c:v>
                </c:pt>
                <c:pt idx="30">
                  <c:v>2.5099999999999998</c:v>
                </c:pt>
                <c:pt idx="31">
                  <c:v>2.54</c:v>
                </c:pt>
                <c:pt idx="32">
                  <c:v>2.54</c:v>
                </c:pt>
                <c:pt idx="33">
                  <c:v>2.57</c:v>
                </c:pt>
                <c:pt idx="34">
                  <c:v>2.54</c:v>
                </c:pt>
                <c:pt idx="35">
                  <c:v>2.59</c:v>
                </c:pt>
                <c:pt idx="36">
                  <c:v>2.52</c:v>
                </c:pt>
                <c:pt idx="37">
                  <c:v>2.46</c:v>
                </c:pt>
                <c:pt idx="38">
                  <c:v>2.5099999999999998</c:v>
                </c:pt>
                <c:pt idx="39">
                  <c:v>2.48</c:v>
                </c:pt>
                <c:pt idx="40">
                  <c:v>2.4700000000000002</c:v>
                </c:pt>
                <c:pt idx="41">
                  <c:v>2.4500000000000002</c:v>
                </c:pt>
                <c:pt idx="42">
                  <c:v>2.48</c:v>
                </c:pt>
                <c:pt idx="43">
                  <c:v>2.4700000000000002</c:v>
                </c:pt>
                <c:pt idx="44">
                  <c:v>2.48</c:v>
                </c:pt>
                <c:pt idx="45">
                  <c:v>2.5299999999999998</c:v>
                </c:pt>
                <c:pt idx="46">
                  <c:v>2.57</c:v>
                </c:pt>
                <c:pt idx="47">
                  <c:v>2.58</c:v>
                </c:pt>
                <c:pt idx="48">
                  <c:v>2.5099999999999998</c:v>
                </c:pt>
                <c:pt idx="49">
                  <c:v>2.5299999999999998</c:v>
                </c:pt>
                <c:pt idx="50">
                  <c:v>2.5499999999999998</c:v>
                </c:pt>
                <c:pt idx="51">
                  <c:v>2.56</c:v>
                </c:pt>
                <c:pt idx="52">
                  <c:v>2.58</c:v>
                </c:pt>
                <c:pt idx="53">
                  <c:v>2.54</c:v>
                </c:pt>
                <c:pt idx="54">
                  <c:v>2.5499999999999998</c:v>
                </c:pt>
                <c:pt idx="55">
                  <c:v>2.52</c:v>
                </c:pt>
                <c:pt idx="56">
                  <c:v>2.5299999999999998</c:v>
                </c:pt>
                <c:pt idx="57">
                  <c:v>2.52</c:v>
                </c:pt>
                <c:pt idx="58">
                  <c:v>2.5099999999999998</c:v>
                </c:pt>
                <c:pt idx="59">
                  <c:v>2.48</c:v>
                </c:pt>
                <c:pt idx="60">
                  <c:v>2.38</c:v>
                </c:pt>
                <c:pt idx="61">
                  <c:v>2.4900000000000002</c:v>
                </c:pt>
                <c:pt idx="62">
                  <c:v>2.42</c:v>
                </c:pt>
                <c:pt idx="63">
                  <c:v>2.38</c:v>
                </c:pt>
                <c:pt idx="64">
                  <c:v>2.44</c:v>
                </c:pt>
                <c:pt idx="65">
                  <c:v>2.44</c:v>
                </c:pt>
                <c:pt idx="66">
                  <c:v>2.38</c:v>
                </c:pt>
                <c:pt idx="67">
                  <c:v>2.38</c:v>
                </c:pt>
                <c:pt idx="68">
                  <c:v>2.38</c:v>
                </c:pt>
                <c:pt idx="69">
                  <c:v>2.35</c:v>
                </c:pt>
                <c:pt idx="70">
                  <c:v>2.29</c:v>
                </c:pt>
                <c:pt idx="71">
                  <c:v>2.3199999999999998</c:v>
                </c:pt>
                <c:pt idx="72">
                  <c:v>2.29</c:v>
                </c:pt>
                <c:pt idx="73">
                  <c:v>2.2200000000000002</c:v>
                </c:pt>
                <c:pt idx="74">
                  <c:v>2.27</c:v>
                </c:pt>
                <c:pt idx="75">
                  <c:v>2.2599999999999998</c:v>
                </c:pt>
                <c:pt idx="76">
                  <c:v>2.21</c:v>
                </c:pt>
                <c:pt idx="77">
                  <c:v>2.2200000000000002</c:v>
                </c:pt>
                <c:pt idx="78">
                  <c:v>2.2400000000000002</c:v>
                </c:pt>
                <c:pt idx="79">
                  <c:v>2.2799999999999998</c:v>
                </c:pt>
                <c:pt idx="80">
                  <c:v>2.33</c:v>
                </c:pt>
                <c:pt idx="81">
                  <c:v>2.31</c:v>
                </c:pt>
                <c:pt idx="82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5D-491A-95A2-C0D7290FACB3}"/>
            </c:ext>
          </c:extLst>
        </c:ser>
        <c:ser>
          <c:idx val="6"/>
          <c:order val="3"/>
          <c:tx>
            <c:strRef>
              <c:f>Curve!$Z$1</c:f>
              <c:strCache>
                <c:ptCount val="1"/>
                <c:pt idx="0">
                  <c:v>Operational_TxP_1330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Curve!$Z$2:$Z$119</c:f>
              <c:numCache>
                <c:formatCode>General</c:formatCode>
                <c:ptCount val="118"/>
                <c:pt idx="0">
                  <c:v>2.17</c:v>
                </c:pt>
                <c:pt idx="1">
                  <c:v>2.11</c:v>
                </c:pt>
                <c:pt idx="2">
                  <c:v>2.08</c:v>
                </c:pt>
                <c:pt idx="3">
                  <c:v>2.09</c:v>
                </c:pt>
                <c:pt idx="4">
                  <c:v>2.14</c:v>
                </c:pt>
                <c:pt idx="5">
                  <c:v>2.09</c:v>
                </c:pt>
                <c:pt idx="6">
                  <c:v>2.09</c:v>
                </c:pt>
                <c:pt idx="7">
                  <c:v>2.0699999999999998</c:v>
                </c:pt>
                <c:pt idx="8">
                  <c:v>2.08</c:v>
                </c:pt>
                <c:pt idx="9">
                  <c:v>2.13</c:v>
                </c:pt>
                <c:pt idx="10">
                  <c:v>2.13</c:v>
                </c:pt>
                <c:pt idx="11">
                  <c:v>2.0699999999999998</c:v>
                </c:pt>
                <c:pt idx="12">
                  <c:v>2.0299999999999998</c:v>
                </c:pt>
                <c:pt idx="13">
                  <c:v>2.08</c:v>
                </c:pt>
                <c:pt idx="14">
                  <c:v>2.0099999999999998</c:v>
                </c:pt>
                <c:pt idx="15">
                  <c:v>2.02</c:v>
                </c:pt>
                <c:pt idx="16">
                  <c:v>2.06</c:v>
                </c:pt>
                <c:pt idx="17">
                  <c:v>2.0099999999999998</c:v>
                </c:pt>
                <c:pt idx="18">
                  <c:v>1.97</c:v>
                </c:pt>
                <c:pt idx="19">
                  <c:v>2.0499999999999998</c:v>
                </c:pt>
                <c:pt idx="20">
                  <c:v>2.04</c:v>
                </c:pt>
                <c:pt idx="21">
                  <c:v>1.99</c:v>
                </c:pt>
                <c:pt idx="22">
                  <c:v>2.0099999999999998</c:v>
                </c:pt>
                <c:pt idx="23">
                  <c:v>2</c:v>
                </c:pt>
                <c:pt idx="24">
                  <c:v>2.02</c:v>
                </c:pt>
                <c:pt idx="25">
                  <c:v>2.0499999999999998</c:v>
                </c:pt>
                <c:pt idx="26">
                  <c:v>2.04</c:v>
                </c:pt>
                <c:pt idx="27">
                  <c:v>2</c:v>
                </c:pt>
                <c:pt idx="28">
                  <c:v>1.99</c:v>
                </c:pt>
                <c:pt idx="29">
                  <c:v>1.98</c:v>
                </c:pt>
                <c:pt idx="30">
                  <c:v>1.97</c:v>
                </c:pt>
                <c:pt idx="31">
                  <c:v>1.97</c:v>
                </c:pt>
                <c:pt idx="32">
                  <c:v>1.95</c:v>
                </c:pt>
                <c:pt idx="33">
                  <c:v>1.87</c:v>
                </c:pt>
                <c:pt idx="34">
                  <c:v>1.95</c:v>
                </c:pt>
                <c:pt idx="35">
                  <c:v>1.96</c:v>
                </c:pt>
                <c:pt idx="36">
                  <c:v>1.94</c:v>
                </c:pt>
                <c:pt idx="37">
                  <c:v>1.93</c:v>
                </c:pt>
                <c:pt idx="38">
                  <c:v>1.95</c:v>
                </c:pt>
                <c:pt idx="39">
                  <c:v>1.95</c:v>
                </c:pt>
                <c:pt idx="40">
                  <c:v>1.97</c:v>
                </c:pt>
                <c:pt idx="41">
                  <c:v>1.99</c:v>
                </c:pt>
                <c:pt idx="42">
                  <c:v>1.97</c:v>
                </c:pt>
                <c:pt idx="43">
                  <c:v>2.0099999999999998</c:v>
                </c:pt>
                <c:pt idx="44">
                  <c:v>1.99</c:v>
                </c:pt>
                <c:pt idx="45">
                  <c:v>1.95</c:v>
                </c:pt>
                <c:pt idx="46">
                  <c:v>1.93</c:v>
                </c:pt>
                <c:pt idx="47">
                  <c:v>1.93</c:v>
                </c:pt>
                <c:pt idx="48">
                  <c:v>1.85</c:v>
                </c:pt>
                <c:pt idx="49">
                  <c:v>1.9</c:v>
                </c:pt>
                <c:pt idx="50">
                  <c:v>1.89</c:v>
                </c:pt>
                <c:pt idx="51">
                  <c:v>1.91</c:v>
                </c:pt>
                <c:pt idx="52">
                  <c:v>1.91</c:v>
                </c:pt>
                <c:pt idx="53">
                  <c:v>1.9</c:v>
                </c:pt>
                <c:pt idx="54">
                  <c:v>1.88</c:v>
                </c:pt>
                <c:pt idx="55">
                  <c:v>1.82</c:v>
                </c:pt>
                <c:pt idx="56">
                  <c:v>1.82</c:v>
                </c:pt>
                <c:pt idx="57">
                  <c:v>1.81</c:v>
                </c:pt>
                <c:pt idx="58">
                  <c:v>1.83</c:v>
                </c:pt>
                <c:pt idx="59">
                  <c:v>1.82</c:v>
                </c:pt>
                <c:pt idx="60">
                  <c:v>1.78</c:v>
                </c:pt>
                <c:pt idx="61">
                  <c:v>1.77</c:v>
                </c:pt>
                <c:pt idx="62">
                  <c:v>1.76</c:v>
                </c:pt>
                <c:pt idx="63">
                  <c:v>1.75</c:v>
                </c:pt>
                <c:pt idx="64">
                  <c:v>1.79</c:v>
                </c:pt>
                <c:pt idx="65">
                  <c:v>1.78</c:v>
                </c:pt>
                <c:pt idx="66">
                  <c:v>1.77</c:v>
                </c:pt>
                <c:pt idx="67">
                  <c:v>1.77</c:v>
                </c:pt>
                <c:pt idx="68">
                  <c:v>1.72</c:v>
                </c:pt>
                <c:pt idx="69">
                  <c:v>1.71</c:v>
                </c:pt>
                <c:pt idx="70">
                  <c:v>1.78</c:v>
                </c:pt>
                <c:pt idx="71">
                  <c:v>1.7</c:v>
                </c:pt>
                <c:pt idx="72">
                  <c:v>1.77</c:v>
                </c:pt>
                <c:pt idx="73">
                  <c:v>1.72</c:v>
                </c:pt>
                <c:pt idx="74">
                  <c:v>1.81</c:v>
                </c:pt>
                <c:pt idx="75">
                  <c:v>1.82</c:v>
                </c:pt>
                <c:pt idx="76">
                  <c:v>1.79</c:v>
                </c:pt>
                <c:pt idx="77">
                  <c:v>1.72</c:v>
                </c:pt>
                <c:pt idx="78">
                  <c:v>1.7</c:v>
                </c:pt>
                <c:pt idx="79">
                  <c:v>1.69</c:v>
                </c:pt>
                <c:pt idx="80">
                  <c:v>1.69</c:v>
                </c:pt>
                <c:pt idx="81">
                  <c:v>1.77</c:v>
                </c:pt>
                <c:pt idx="82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5D-491A-95A2-C0D7290FA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7"/>
          <c:order val="4"/>
          <c:tx>
            <c:strRef>
              <c:f>Curve!$AD$1</c:f>
              <c:strCache>
                <c:ptCount val="1"/>
                <c:pt idx="0">
                  <c:v>Operational_DDMI Bias_1330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Curve!$A$3:$A$100</c:f>
              <c:numCache>
                <c:formatCode>General</c:formatCode>
                <c:ptCount val="98"/>
                <c:pt idx="0">
                  <c:v>0.75</c:v>
                </c:pt>
                <c:pt idx="1">
                  <c:v>1.76</c:v>
                </c:pt>
                <c:pt idx="2">
                  <c:v>2.7</c:v>
                </c:pt>
                <c:pt idx="3">
                  <c:v>3.69</c:v>
                </c:pt>
                <c:pt idx="4">
                  <c:v>4.67</c:v>
                </c:pt>
                <c:pt idx="5">
                  <c:v>5.61</c:v>
                </c:pt>
                <c:pt idx="6">
                  <c:v>6.5</c:v>
                </c:pt>
                <c:pt idx="7">
                  <c:v>7.41</c:v>
                </c:pt>
                <c:pt idx="8">
                  <c:v>8.3000000000000007</c:v>
                </c:pt>
                <c:pt idx="9">
                  <c:v>9.17</c:v>
                </c:pt>
                <c:pt idx="10">
                  <c:v>10.050000000000001</c:v>
                </c:pt>
                <c:pt idx="11">
                  <c:v>10.95</c:v>
                </c:pt>
                <c:pt idx="12">
                  <c:v>11.82</c:v>
                </c:pt>
                <c:pt idx="13">
                  <c:v>12.69</c:v>
                </c:pt>
                <c:pt idx="14">
                  <c:v>13.56</c:v>
                </c:pt>
                <c:pt idx="15">
                  <c:v>14.41</c:v>
                </c:pt>
                <c:pt idx="16">
                  <c:v>15.26</c:v>
                </c:pt>
                <c:pt idx="17">
                  <c:v>16.12</c:v>
                </c:pt>
                <c:pt idx="18">
                  <c:v>16.989999999999998</c:v>
                </c:pt>
                <c:pt idx="19">
                  <c:v>17.829999999999998</c:v>
                </c:pt>
                <c:pt idx="20">
                  <c:v>18.68</c:v>
                </c:pt>
                <c:pt idx="21">
                  <c:v>19.5</c:v>
                </c:pt>
                <c:pt idx="22">
                  <c:v>20.36</c:v>
                </c:pt>
                <c:pt idx="23">
                  <c:v>21.21</c:v>
                </c:pt>
                <c:pt idx="24">
                  <c:v>22.08</c:v>
                </c:pt>
                <c:pt idx="25">
                  <c:v>22.97</c:v>
                </c:pt>
                <c:pt idx="26">
                  <c:v>23.82</c:v>
                </c:pt>
                <c:pt idx="27">
                  <c:v>24.62</c:v>
                </c:pt>
                <c:pt idx="28">
                  <c:v>25.45</c:v>
                </c:pt>
                <c:pt idx="29">
                  <c:v>26.29</c:v>
                </c:pt>
                <c:pt idx="30">
                  <c:v>27.11</c:v>
                </c:pt>
                <c:pt idx="31">
                  <c:v>27.99</c:v>
                </c:pt>
                <c:pt idx="32">
                  <c:v>28.8</c:v>
                </c:pt>
                <c:pt idx="33">
                  <c:v>29.64</c:v>
                </c:pt>
                <c:pt idx="34">
                  <c:v>30.49</c:v>
                </c:pt>
                <c:pt idx="35">
                  <c:v>31.32</c:v>
                </c:pt>
                <c:pt idx="36">
                  <c:v>32.159999999999997</c:v>
                </c:pt>
                <c:pt idx="37">
                  <c:v>33.01</c:v>
                </c:pt>
                <c:pt idx="38">
                  <c:v>33.840000000000003</c:v>
                </c:pt>
                <c:pt idx="39">
                  <c:v>34.68</c:v>
                </c:pt>
                <c:pt idx="40">
                  <c:v>35.54</c:v>
                </c:pt>
                <c:pt idx="41">
                  <c:v>36.369999999999997</c:v>
                </c:pt>
                <c:pt idx="42">
                  <c:v>37.21</c:v>
                </c:pt>
                <c:pt idx="43">
                  <c:v>38.04</c:v>
                </c:pt>
                <c:pt idx="44">
                  <c:v>38.9</c:v>
                </c:pt>
                <c:pt idx="45">
                  <c:v>39.75</c:v>
                </c:pt>
                <c:pt idx="46">
                  <c:v>40.58</c:v>
                </c:pt>
                <c:pt idx="47">
                  <c:v>41.42</c:v>
                </c:pt>
                <c:pt idx="48">
                  <c:v>42.24</c:v>
                </c:pt>
                <c:pt idx="49">
                  <c:v>43.48</c:v>
                </c:pt>
                <c:pt idx="50">
                  <c:v>44.27</c:v>
                </c:pt>
                <c:pt idx="51">
                  <c:v>45.09</c:v>
                </c:pt>
                <c:pt idx="52">
                  <c:v>45.94</c:v>
                </c:pt>
                <c:pt idx="53">
                  <c:v>46.76</c:v>
                </c:pt>
                <c:pt idx="54">
                  <c:v>47.6</c:v>
                </c:pt>
                <c:pt idx="55">
                  <c:v>48.45</c:v>
                </c:pt>
                <c:pt idx="56">
                  <c:v>49.28</c:v>
                </c:pt>
                <c:pt idx="57">
                  <c:v>50.12</c:v>
                </c:pt>
                <c:pt idx="58">
                  <c:v>50.94</c:v>
                </c:pt>
                <c:pt idx="59">
                  <c:v>51.77</c:v>
                </c:pt>
                <c:pt idx="60">
                  <c:v>52.62</c:v>
                </c:pt>
                <c:pt idx="61">
                  <c:v>53.45</c:v>
                </c:pt>
                <c:pt idx="62">
                  <c:v>54.29</c:v>
                </c:pt>
                <c:pt idx="63">
                  <c:v>55.14</c:v>
                </c:pt>
                <c:pt idx="64">
                  <c:v>55.97</c:v>
                </c:pt>
                <c:pt idx="65">
                  <c:v>56.81</c:v>
                </c:pt>
                <c:pt idx="66">
                  <c:v>57.67</c:v>
                </c:pt>
                <c:pt idx="67">
                  <c:v>58.45</c:v>
                </c:pt>
                <c:pt idx="68">
                  <c:v>59.3</c:v>
                </c:pt>
                <c:pt idx="69">
                  <c:v>60.16</c:v>
                </c:pt>
                <c:pt idx="70">
                  <c:v>60.95</c:v>
                </c:pt>
                <c:pt idx="71">
                  <c:v>61.75</c:v>
                </c:pt>
                <c:pt idx="72">
                  <c:v>62.57</c:v>
                </c:pt>
                <c:pt idx="73">
                  <c:v>63.41</c:v>
                </c:pt>
                <c:pt idx="74">
                  <c:v>64.27</c:v>
                </c:pt>
                <c:pt idx="75">
                  <c:v>65.099999999999994</c:v>
                </c:pt>
                <c:pt idx="76">
                  <c:v>65.89</c:v>
                </c:pt>
                <c:pt idx="77">
                  <c:v>66.75</c:v>
                </c:pt>
                <c:pt idx="78">
                  <c:v>67.569999999999993</c:v>
                </c:pt>
                <c:pt idx="79">
                  <c:v>68.42</c:v>
                </c:pt>
                <c:pt idx="80">
                  <c:v>69.28</c:v>
                </c:pt>
                <c:pt idx="81">
                  <c:v>70.11</c:v>
                </c:pt>
              </c:numCache>
            </c:numRef>
          </c:xVal>
          <c:yVal>
            <c:numRef>
              <c:f>Curve!$AD$3:$AD$100</c:f>
              <c:numCache>
                <c:formatCode>General</c:formatCode>
                <c:ptCount val="98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141</c:v>
                </c:pt>
                <c:pt idx="9">
                  <c:v>141</c:v>
                </c:pt>
                <c:pt idx="10">
                  <c:v>141</c:v>
                </c:pt>
                <c:pt idx="11">
                  <c:v>141</c:v>
                </c:pt>
                <c:pt idx="12">
                  <c:v>141</c:v>
                </c:pt>
                <c:pt idx="13">
                  <c:v>141</c:v>
                </c:pt>
                <c:pt idx="14">
                  <c:v>141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144</c:v>
                </c:pt>
                <c:pt idx="23">
                  <c:v>144</c:v>
                </c:pt>
                <c:pt idx="24">
                  <c:v>144</c:v>
                </c:pt>
                <c:pt idx="25">
                  <c:v>145</c:v>
                </c:pt>
                <c:pt idx="26">
                  <c:v>145</c:v>
                </c:pt>
                <c:pt idx="27">
                  <c:v>145</c:v>
                </c:pt>
                <c:pt idx="28">
                  <c:v>146</c:v>
                </c:pt>
                <c:pt idx="29">
                  <c:v>146</c:v>
                </c:pt>
                <c:pt idx="30">
                  <c:v>147</c:v>
                </c:pt>
                <c:pt idx="31">
                  <c:v>148</c:v>
                </c:pt>
                <c:pt idx="32">
                  <c:v>148</c:v>
                </c:pt>
                <c:pt idx="33">
                  <c:v>148</c:v>
                </c:pt>
                <c:pt idx="34">
                  <c:v>149</c:v>
                </c:pt>
                <c:pt idx="35">
                  <c:v>149</c:v>
                </c:pt>
                <c:pt idx="36">
                  <c:v>150</c:v>
                </c:pt>
                <c:pt idx="37">
                  <c:v>151</c:v>
                </c:pt>
                <c:pt idx="38">
                  <c:v>151</c:v>
                </c:pt>
                <c:pt idx="39">
                  <c:v>152</c:v>
                </c:pt>
                <c:pt idx="40">
                  <c:v>153</c:v>
                </c:pt>
                <c:pt idx="41">
                  <c:v>154</c:v>
                </c:pt>
                <c:pt idx="42">
                  <c:v>154</c:v>
                </c:pt>
                <c:pt idx="43">
                  <c:v>155</c:v>
                </c:pt>
                <c:pt idx="44">
                  <c:v>156</c:v>
                </c:pt>
                <c:pt idx="45">
                  <c:v>156</c:v>
                </c:pt>
                <c:pt idx="46">
                  <c:v>157</c:v>
                </c:pt>
                <c:pt idx="47">
                  <c:v>158</c:v>
                </c:pt>
                <c:pt idx="48">
                  <c:v>159</c:v>
                </c:pt>
                <c:pt idx="49">
                  <c:v>160</c:v>
                </c:pt>
                <c:pt idx="50">
                  <c:v>161</c:v>
                </c:pt>
                <c:pt idx="51">
                  <c:v>162</c:v>
                </c:pt>
                <c:pt idx="52">
                  <c:v>163</c:v>
                </c:pt>
                <c:pt idx="53">
                  <c:v>165</c:v>
                </c:pt>
                <c:pt idx="54">
                  <c:v>166</c:v>
                </c:pt>
                <c:pt idx="55">
                  <c:v>167</c:v>
                </c:pt>
                <c:pt idx="56">
                  <c:v>168</c:v>
                </c:pt>
                <c:pt idx="57">
                  <c:v>169</c:v>
                </c:pt>
                <c:pt idx="58">
                  <c:v>170</c:v>
                </c:pt>
                <c:pt idx="59">
                  <c:v>171</c:v>
                </c:pt>
                <c:pt idx="60">
                  <c:v>173</c:v>
                </c:pt>
                <c:pt idx="61">
                  <c:v>174</c:v>
                </c:pt>
                <c:pt idx="62">
                  <c:v>175</c:v>
                </c:pt>
                <c:pt idx="63">
                  <c:v>177</c:v>
                </c:pt>
                <c:pt idx="64">
                  <c:v>178</c:v>
                </c:pt>
                <c:pt idx="65">
                  <c:v>180</c:v>
                </c:pt>
                <c:pt idx="66">
                  <c:v>181</c:v>
                </c:pt>
                <c:pt idx="67">
                  <c:v>183</c:v>
                </c:pt>
                <c:pt idx="68">
                  <c:v>184</c:v>
                </c:pt>
                <c:pt idx="69">
                  <c:v>186</c:v>
                </c:pt>
                <c:pt idx="70">
                  <c:v>188</c:v>
                </c:pt>
                <c:pt idx="71">
                  <c:v>190</c:v>
                </c:pt>
                <c:pt idx="72">
                  <c:v>191</c:v>
                </c:pt>
                <c:pt idx="73">
                  <c:v>194</c:v>
                </c:pt>
                <c:pt idx="74">
                  <c:v>196</c:v>
                </c:pt>
                <c:pt idx="75">
                  <c:v>198</c:v>
                </c:pt>
                <c:pt idx="76">
                  <c:v>200</c:v>
                </c:pt>
                <c:pt idx="77">
                  <c:v>203</c:v>
                </c:pt>
                <c:pt idx="78">
                  <c:v>205</c:v>
                </c:pt>
                <c:pt idx="79">
                  <c:v>208</c:v>
                </c:pt>
                <c:pt idx="80">
                  <c:v>211</c:v>
                </c:pt>
                <c:pt idx="8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5D-491A-95A2-C0D7290FACB3}"/>
            </c:ext>
          </c:extLst>
        </c:ser>
        <c:ser>
          <c:idx val="8"/>
          <c:order val="5"/>
          <c:tx>
            <c:strRef>
              <c:f>Curve!$AA$1</c:f>
              <c:strCache>
                <c:ptCount val="1"/>
                <c:pt idx="0">
                  <c:v>Operational_DDMI Bias_1270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Curve!$V$2:$V$100</c:f>
              <c:numCache>
                <c:formatCode>General</c:formatCode>
                <c:ptCount val="99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Curve!$AA$2:$AA$100</c:f>
              <c:numCache>
                <c:formatCode>General</c:formatCode>
                <c:ptCount val="99"/>
                <c:pt idx="0">
                  <c:v>124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139</c:v>
                </c:pt>
                <c:pt idx="23">
                  <c:v>139</c:v>
                </c:pt>
                <c:pt idx="24">
                  <c:v>140</c:v>
                </c:pt>
                <c:pt idx="25">
                  <c:v>140</c:v>
                </c:pt>
                <c:pt idx="26">
                  <c:v>141</c:v>
                </c:pt>
                <c:pt idx="27">
                  <c:v>142</c:v>
                </c:pt>
                <c:pt idx="28">
                  <c:v>142</c:v>
                </c:pt>
                <c:pt idx="29">
                  <c:v>143</c:v>
                </c:pt>
                <c:pt idx="30">
                  <c:v>143</c:v>
                </c:pt>
                <c:pt idx="31">
                  <c:v>144</c:v>
                </c:pt>
                <c:pt idx="32">
                  <c:v>145</c:v>
                </c:pt>
                <c:pt idx="33">
                  <c:v>145</c:v>
                </c:pt>
                <c:pt idx="34">
                  <c:v>146</c:v>
                </c:pt>
                <c:pt idx="35">
                  <c:v>146</c:v>
                </c:pt>
                <c:pt idx="36">
                  <c:v>147</c:v>
                </c:pt>
                <c:pt idx="37">
                  <c:v>147</c:v>
                </c:pt>
                <c:pt idx="38">
                  <c:v>148</c:v>
                </c:pt>
                <c:pt idx="39">
                  <c:v>148</c:v>
                </c:pt>
                <c:pt idx="40">
                  <c:v>149</c:v>
                </c:pt>
                <c:pt idx="41">
                  <c:v>150</c:v>
                </c:pt>
                <c:pt idx="42">
                  <c:v>150</c:v>
                </c:pt>
                <c:pt idx="43">
                  <c:v>151</c:v>
                </c:pt>
                <c:pt idx="44">
                  <c:v>152</c:v>
                </c:pt>
                <c:pt idx="45">
                  <c:v>153</c:v>
                </c:pt>
                <c:pt idx="46">
                  <c:v>155</c:v>
                </c:pt>
                <c:pt idx="47">
                  <c:v>156</c:v>
                </c:pt>
                <c:pt idx="48">
                  <c:v>157</c:v>
                </c:pt>
                <c:pt idx="49">
                  <c:v>158</c:v>
                </c:pt>
                <c:pt idx="50">
                  <c:v>159</c:v>
                </c:pt>
                <c:pt idx="51">
                  <c:v>160</c:v>
                </c:pt>
                <c:pt idx="52">
                  <c:v>161</c:v>
                </c:pt>
                <c:pt idx="53">
                  <c:v>162</c:v>
                </c:pt>
                <c:pt idx="54">
                  <c:v>163</c:v>
                </c:pt>
                <c:pt idx="55">
                  <c:v>164</c:v>
                </c:pt>
                <c:pt idx="56">
                  <c:v>165</c:v>
                </c:pt>
                <c:pt idx="57">
                  <c:v>166</c:v>
                </c:pt>
                <c:pt idx="58">
                  <c:v>167</c:v>
                </c:pt>
                <c:pt idx="59">
                  <c:v>169</c:v>
                </c:pt>
                <c:pt idx="60">
                  <c:v>170</c:v>
                </c:pt>
                <c:pt idx="61">
                  <c:v>171</c:v>
                </c:pt>
                <c:pt idx="62">
                  <c:v>172</c:v>
                </c:pt>
                <c:pt idx="63">
                  <c:v>174</c:v>
                </c:pt>
                <c:pt idx="64">
                  <c:v>176</c:v>
                </c:pt>
                <c:pt idx="65">
                  <c:v>178</c:v>
                </c:pt>
                <c:pt idx="66">
                  <c:v>179</c:v>
                </c:pt>
                <c:pt idx="67">
                  <c:v>181</c:v>
                </c:pt>
                <c:pt idx="68">
                  <c:v>183</c:v>
                </c:pt>
                <c:pt idx="69">
                  <c:v>184</c:v>
                </c:pt>
                <c:pt idx="70">
                  <c:v>186</c:v>
                </c:pt>
                <c:pt idx="71">
                  <c:v>187</c:v>
                </c:pt>
                <c:pt idx="72">
                  <c:v>189</c:v>
                </c:pt>
                <c:pt idx="73">
                  <c:v>191</c:v>
                </c:pt>
                <c:pt idx="74">
                  <c:v>193</c:v>
                </c:pt>
                <c:pt idx="75">
                  <c:v>196</c:v>
                </c:pt>
                <c:pt idx="76">
                  <c:v>198</c:v>
                </c:pt>
                <c:pt idx="77">
                  <c:v>200</c:v>
                </c:pt>
                <c:pt idx="78">
                  <c:v>202</c:v>
                </c:pt>
                <c:pt idx="79">
                  <c:v>205</c:v>
                </c:pt>
                <c:pt idx="80">
                  <c:v>208</c:v>
                </c:pt>
                <c:pt idx="81">
                  <c:v>211</c:v>
                </c:pt>
                <c:pt idx="82">
                  <c:v>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5D-491A-95A2-C0D7290FACB3}"/>
            </c:ext>
          </c:extLst>
        </c:ser>
        <c:ser>
          <c:idx val="9"/>
          <c:order val="6"/>
          <c:tx>
            <c:strRef>
              <c:f>Curve!$AB$1</c:f>
              <c:strCache>
                <c:ptCount val="1"/>
                <c:pt idx="0">
                  <c:v>Operational_DDMI Bias_1290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Curve!$V$2:$V$100</c:f>
              <c:numCache>
                <c:formatCode>General</c:formatCode>
                <c:ptCount val="99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Curve!$AB$2:$AB$100</c:f>
              <c:numCache>
                <c:formatCode>General</c:formatCode>
                <c:ptCount val="99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  <c:pt idx="9">
                  <c:v>141</c:v>
                </c:pt>
                <c:pt idx="10">
                  <c:v>141</c:v>
                </c:pt>
                <c:pt idx="11">
                  <c:v>141</c:v>
                </c:pt>
                <c:pt idx="12">
                  <c:v>141</c:v>
                </c:pt>
                <c:pt idx="13">
                  <c:v>141</c:v>
                </c:pt>
                <c:pt idx="14">
                  <c:v>141</c:v>
                </c:pt>
                <c:pt idx="15">
                  <c:v>141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144</c:v>
                </c:pt>
                <c:pt idx="24">
                  <c:v>144</c:v>
                </c:pt>
                <c:pt idx="25">
                  <c:v>144</c:v>
                </c:pt>
                <c:pt idx="26">
                  <c:v>145</c:v>
                </c:pt>
                <c:pt idx="27">
                  <c:v>145</c:v>
                </c:pt>
                <c:pt idx="28">
                  <c:v>145</c:v>
                </c:pt>
                <c:pt idx="29">
                  <c:v>146</c:v>
                </c:pt>
                <c:pt idx="30">
                  <c:v>146</c:v>
                </c:pt>
                <c:pt idx="31">
                  <c:v>147</c:v>
                </c:pt>
                <c:pt idx="32">
                  <c:v>148</c:v>
                </c:pt>
                <c:pt idx="33">
                  <c:v>148</c:v>
                </c:pt>
                <c:pt idx="34">
                  <c:v>148</c:v>
                </c:pt>
                <c:pt idx="35">
                  <c:v>149</c:v>
                </c:pt>
                <c:pt idx="36">
                  <c:v>149</c:v>
                </c:pt>
                <c:pt idx="37">
                  <c:v>150</c:v>
                </c:pt>
                <c:pt idx="38">
                  <c:v>151</c:v>
                </c:pt>
                <c:pt idx="39">
                  <c:v>151</c:v>
                </c:pt>
                <c:pt idx="40">
                  <c:v>152</c:v>
                </c:pt>
                <c:pt idx="41">
                  <c:v>153</c:v>
                </c:pt>
                <c:pt idx="42">
                  <c:v>154</c:v>
                </c:pt>
                <c:pt idx="43">
                  <c:v>154</c:v>
                </c:pt>
                <c:pt idx="44">
                  <c:v>155</c:v>
                </c:pt>
                <c:pt idx="45">
                  <c:v>156</c:v>
                </c:pt>
                <c:pt idx="46">
                  <c:v>156</c:v>
                </c:pt>
                <c:pt idx="47">
                  <c:v>157</c:v>
                </c:pt>
                <c:pt idx="48">
                  <c:v>158</c:v>
                </c:pt>
                <c:pt idx="49">
                  <c:v>159</c:v>
                </c:pt>
                <c:pt idx="50">
                  <c:v>160</c:v>
                </c:pt>
                <c:pt idx="51">
                  <c:v>161</c:v>
                </c:pt>
                <c:pt idx="52">
                  <c:v>162</c:v>
                </c:pt>
                <c:pt idx="53">
                  <c:v>163</c:v>
                </c:pt>
                <c:pt idx="54">
                  <c:v>165</c:v>
                </c:pt>
                <c:pt idx="55">
                  <c:v>166</c:v>
                </c:pt>
                <c:pt idx="56">
                  <c:v>167</c:v>
                </c:pt>
                <c:pt idx="57">
                  <c:v>168</c:v>
                </c:pt>
                <c:pt idx="58">
                  <c:v>169</c:v>
                </c:pt>
                <c:pt idx="59">
                  <c:v>170</c:v>
                </c:pt>
                <c:pt idx="60">
                  <c:v>171</c:v>
                </c:pt>
                <c:pt idx="61">
                  <c:v>173</c:v>
                </c:pt>
                <c:pt idx="62">
                  <c:v>174</c:v>
                </c:pt>
                <c:pt idx="63">
                  <c:v>175</c:v>
                </c:pt>
                <c:pt idx="64">
                  <c:v>177</c:v>
                </c:pt>
                <c:pt idx="65">
                  <c:v>178</c:v>
                </c:pt>
                <c:pt idx="66">
                  <c:v>180</c:v>
                </c:pt>
                <c:pt idx="67">
                  <c:v>181</c:v>
                </c:pt>
                <c:pt idx="68">
                  <c:v>183</c:v>
                </c:pt>
                <c:pt idx="69">
                  <c:v>184</c:v>
                </c:pt>
                <c:pt idx="70">
                  <c:v>186</c:v>
                </c:pt>
                <c:pt idx="71">
                  <c:v>188</c:v>
                </c:pt>
                <c:pt idx="72">
                  <c:v>190</c:v>
                </c:pt>
                <c:pt idx="73">
                  <c:v>191</c:v>
                </c:pt>
                <c:pt idx="74">
                  <c:v>194</c:v>
                </c:pt>
                <c:pt idx="75">
                  <c:v>196</c:v>
                </c:pt>
                <c:pt idx="76">
                  <c:v>198</c:v>
                </c:pt>
                <c:pt idx="77">
                  <c:v>200</c:v>
                </c:pt>
                <c:pt idx="78">
                  <c:v>203</c:v>
                </c:pt>
                <c:pt idx="79">
                  <c:v>205</c:v>
                </c:pt>
                <c:pt idx="80">
                  <c:v>208</c:v>
                </c:pt>
                <c:pt idx="81">
                  <c:v>211</c:v>
                </c:pt>
                <c:pt idx="82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5D-491A-95A2-C0D7290FACB3}"/>
            </c:ext>
          </c:extLst>
        </c:ser>
        <c:ser>
          <c:idx val="10"/>
          <c:order val="7"/>
          <c:tx>
            <c:strRef>
              <c:f>Curve!$AC$1</c:f>
              <c:strCache>
                <c:ptCount val="1"/>
                <c:pt idx="0">
                  <c:v>Operational_DDMI Bias_1310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Curve!$V$2:$V$100</c:f>
              <c:numCache>
                <c:formatCode>General</c:formatCode>
                <c:ptCount val="99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Curve!$AC$2:$AC$100</c:f>
              <c:numCache>
                <c:formatCode>General</c:formatCode>
                <c:ptCount val="99"/>
                <c:pt idx="0">
                  <c:v>124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139</c:v>
                </c:pt>
                <c:pt idx="23">
                  <c:v>139</c:v>
                </c:pt>
                <c:pt idx="24">
                  <c:v>140</c:v>
                </c:pt>
                <c:pt idx="25">
                  <c:v>140</c:v>
                </c:pt>
                <c:pt idx="26">
                  <c:v>141</c:v>
                </c:pt>
                <c:pt idx="27">
                  <c:v>142</c:v>
                </c:pt>
                <c:pt idx="28">
                  <c:v>142</c:v>
                </c:pt>
                <c:pt idx="29">
                  <c:v>143</c:v>
                </c:pt>
                <c:pt idx="30">
                  <c:v>143</c:v>
                </c:pt>
                <c:pt idx="31">
                  <c:v>144</c:v>
                </c:pt>
                <c:pt idx="32">
                  <c:v>145</c:v>
                </c:pt>
                <c:pt idx="33">
                  <c:v>145</c:v>
                </c:pt>
                <c:pt idx="34">
                  <c:v>146</c:v>
                </c:pt>
                <c:pt idx="35">
                  <c:v>146</c:v>
                </c:pt>
                <c:pt idx="36">
                  <c:v>147</c:v>
                </c:pt>
                <c:pt idx="37">
                  <c:v>147</c:v>
                </c:pt>
                <c:pt idx="38">
                  <c:v>148</c:v>
                </c:pt>
                <c:pt idx="39">
                  <c:v>148</c:v>
                </c:pt>
                <c:pt idx="40">
                  <c:v>149</c:v>
                </c:pt>
                <c:pt idx="41">
                  <c:v>150</c:v>
                </c:pt>
                <c:pt idx="42">
                  <c:v>150</c:v>
                </c:pt>
                <c:pt idx="43">
                  <c:v>151</c:v>
                </c:pt>
                <c:pt idx="44">
                  <c:v>152</c:v>
                </c:pt>
                <c:pt idx="45">
                  <c:v>153</c:v>
                </c:pt>
                <c:pt idx="46">
                  <c:v>155</c:v>
                </c:pt>
                <c:pt idx="47">
                  <c:v>156</c:v>
                </c:pt>
                <c:pt idx="48">
                  <c:v>157</c:v>
                </c:pt>
                <c:pt idx="49">
                  <c:v>158</c:v>
                </c:pt>
                <c:pt idx="50">
                  <c:v>159</c:v>
                </c:pt>
                <c:pt idx="51">
                  <c:v>160</c:v>
                </c:pt>
                <c:pt idx="52">
                  <c:v>161</c:v>
                </c:pt>
                <c:pt idx="53">
                  <c:v>162</c:v>
                </c:pt>
                <c:pt idx="54">
                  <c:v>163</c:v>
                </c:pt>
                <c:pt idx="55">
                  <c:v>164</c:v>
                </c:pt>
                <c:pt idx="56">
                  <c:v>165</c:v>
                </c:pt>
                <c:pt idx="57">
                  <c:v>166</c:v>
                </c:pt>
                <c:pt idx="58">
                  <c:v>167</c:v>
                </c:pt>
                <c:pt idx="59">
                  <c:v>169</c:v>
                </c:pt>
                <c:pt idx="60">
                  <c:v>170</c:v>
                </c:pt>
                <c:pt idx="61">
                  <c:v>171</c:v>
                </c:pt>
                <c:pt idx="62">
                  <c:v>172</c:v>
                </c:pt>
                <c:pt idx="63">
                  <c:v>174</c:v>
                </c:pt>
                <c:pt idx="64">
                  <c:v>176</c:v>
                </c:pt>
                <c:pt idx="65">
                  <c:v>178</c:v>
                </c:pt>
                <c:pt idx="66">
                  <c:v>179</c:v>
                </c:pt>
                <c:pt idx="67">
                  <c:v>181</c:v>
                </c:pt>
                <c:pt idx="68">
                  <c:v>183</c:v>
                </c:pt>
                <c:pt idx="69">
                  <c:v>184</c:v>
                </c:pt>
                <c:pt idx="70">
                  <c:v>186</c:v>
                </c:pt>
                <c:pt idx="71">
                  <c:v>187</c:v>
                </c:pt>
                <c:pt idx="72">
                  <c:v>189</c:v>
                </c:pt>
                <c:pt idx="73">
                  <c:v>191</c:v>
                </c:pt>
                <c:pt idx="74">
                  <c:v>193</c:v>
                </c:pt>
                <c:pt idx="75">
                  <c:v>196</c:v>
                </c:pt>
                <c:pt idx="76">
                  <c:v>198</c:v>
                </c:pt>
                <c:pt idx="77">
                  <c:v>200</c:v>
                </c:pt>
                <c:pt idx="78">
                  <c:v>202</c:v>
                </c:pt>
                <c:pt idx="79">
                  <c:v>205</c:v>
                </c:pt>
                <c:pt idx="80">
                  <c:v>208</c:v>
                </c:pt>
                <c:pt idx="81">
                  <c:v>211</c:v>
                </c:pt>
                <c:pt idx="82">
                  <c:v>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5D-491A-95A2-C0D7290FA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6335"/>
        <c:axId val="1691627999"/>
      </c:scatterChart>
      <c:valAx>
        <c:axId val="350937488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dBm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  <c:majorUnit val="1"/>
      </c:valAx>
      <c:valAx>
        <c:axId val="169162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1627999"/>
        <c:crosses val="autoZero"/>
        <c:crossBetween val="midCat"/>
      </c:valAx>
      <c:valAx>
        <c:axId val="1691627999"/>
        <c:scaling>
          <c:orientation val="minMax"/>
          <c:min val="8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6335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TXP_Max Bias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Curve!$AG$1</c:f>
              <c:strCache>
                <c:ptCount val="1"/>
                <c:pt idx="0">
                  <c:v>Max_TxP_1270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Curve!$AE$2:$AE$123</c:f>
              <c:numCache>
                <c:formatCode>General</c:formatCode>
                <c:ptCount val="122"/>
                <c:pt idx="0">
                  <c:v>70.77</c:v>
                </c:pt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</c:numCache>
            </c:numRef>
          </c:xVal>
          <c:yVal>
            <c:numRef>
              <c:f>Curve!$AG$2:$AG$123</c:f>
              <c:numCache>
                <c:formatCode>General</c:formatCode>
                <c:ptCount val="122"/>
                <c:pt idx="0">
                  <c:v>2.83</c:v>
                </c:pt>
                <c:pt idx="1">
                  <c:v>3.08</c:v>
                </c:pt>
                <c:pt idx="2">
                  <c:v>3.26</c:v>
                </c:pt>
                <c:pt idx="3">
                  <c:v>3.47</c:v>
                </c:pt>
                <c:pt idx="4">
                  <c:v>3.65</c:v>
                </c:pt>
                <c:pt idx="5">
                  <c:v>3.77</c:v>
                </c:pt>
                <c:pt idx="6">
                  <c:v>3.85</c:v>
                </c:pt>
                <c:pt idx="7">
                  <c:v>3.98</c:v>
                </c:pt>
                <c:pt idx="8">
                  <c:v>4.1399999999999997</c:v>
                </c:pt>
                <c:pt idx="9">
                  <c:v>4.3600000000000003</c:v>
                </c:pt>
                <c:pt idx="10">
                  <c:v>4.57</c:v>
                </c:pt>
                <c:pt idx="11">
                  <c:v>4.62</c:v>
                </c:pt>
                <c:pt idx="12">
                  <c:v>4.75</c:v>
                </c:pt>
                <c:pt idx="13">
                  <c:v>4.78</c:v>
                </c:pt>
                <c:pt idx="14">
                  <c:v>4.9400000000000004</c:v>
                </c:pt>
                <c:pt idx="15">
                  <c:v>5.0599999999999996</c:v>
                </c:pt>
                <c:pt idx="16">
                  <c:v>5.14</c:v>
                </c:pt>
                <c:pt idx="17">
                  <c:v>5.28</c:v>
                </c:pt>
                <c:pt idx="18">
                  <c:v>5.43</c:v>
                </c:pt>
                <c:pt idx="19">
                  <c:v>5.48</c:v>
                </c:pt>
                <c:pt idx="20">
                  <c:v>5.62</c:v>
                </c:pt>
                <c:pt idx="21">
                  <c:v>5.76</c:v>
                </c:pt>
                <c:pt idx="22">
                  <c:v>5.79</c:v>
                </c:pt>
                <c:pt idx="23">
                  <c:v>5.77</c:v>
                </c:pt>
                <c:pt idx="24">
                  <c:v>5.86</c:v>
                </c:pt>
                <c:pt idx="25">
                  <c:v>5.92</c:v>
                </c:pt>
                <c:pt idx="26">
                  <c:v>6.11</c:v>
                </c:pt>
                <c:pt idx="27">
                  <c:v>6.29</c:v>
                </c:pt>
                <c:pt idx="28">
                  <c:v>6.45</c:v>
                </c:pt>
                <c:pt idx="29">
                  <c:v>6.54</c:v>
                </c:pt>
                <c:pt idx="30">
                  <c:v>6.61</c:v>
                </c:pt>
                <c:pt idx="31">
                  <c:v>6.66</c:v>
                </c:pt>
                <c:pt idx="32">
                  <c:v>6.79</c:v>
                </c:pt>
                <c:pt idx="33">
                  <c:v>6.83</c:v>
                </c:pt>
                <c:pt idx="34">
                  <c:v>6.84</c:v>
                </c:pt>
                <c:pt idx="35">
                  <c:v>6.93</c:v>
                </c:pt>
                <c:pt idx="36">
                  <c:v>6.99</c:v>
                </c:pt>
                <c:pt idx="37">
                  <c:v>7.14</c:v>
                </c:pt>
                <c:pt idx="38">
                  <c:v>7.26</c:v>
                </c:pt>
                <c:pt idx="39">
                  <c:v>7.31</c:v>
                </c:pt>
                <c:pt idx="40">
                  <c:v>7.47</c:v>
                </c:pt>
                <c:pt idx="41">
                  <c:v>7.5</c:v>
                </c:pt>
                <c:pt idx="42">
                  <c:v>7.52</c:v>
                </c:pt>
                <c:pt idx="43">
                  <c:v>7.59</c:v>
                </c:pt>
                <c:pt idx="44">
                  <c:v>7.65</c:v>
                </c:pt>
                <c:pt idx="45">
                  <c:v>7.71</c:v>
                </c:pt>
                <c:pt idx="46">
                  <c:v>7.77</c:v>
                </c:pt>
                <c:pt idx="47">
                  <c:v>7.85</c:v>
                </c:pt>
                <c:pt idx="48">
                  <c:v>7.91</c:v>
                </c:pt>
                <c:pt idx="49">
                  <c:v>7.92</c:v>
                </c:pt>
                <c:pt idx="50">
                  <c:v>7.95</c:v>
                </c:pt>
                <c:pt idx="51">
                  <c:v>8</c:v>
                </c:pt>
                <c:pt idx="52">
                  <c:v>7.98</c:v>
                </c:pt>
                <c:pt idx="53">
                  <c:v>7.97</c:v>
                </c:pt>
                <c:pt idx="54">
                  <c:v>8.0299999999999994</c:v>
                </c:pt>
                <c:pt idx="55">
                  <c:v>8.16</c:v>
                </c:pt>
                <c:pt idx="56">
                  <c:v>8.2100000000000009</c:v>
                </c:pt>
                <c:pt idx="57">
                  <c:v>8.2899999999999991</c:v>
                </c:pt>
                <c:pt idx="58">
                  <c:v>8.39</c:v>
                </c:pt>
                <c:pt idx="59">
                  <c:v>8.39</c:v>
                </c:pt>
                <c:pt idx="60">
                  <c:v>8.48</c:v>
                </c:pt>
                <c:pt idx="61">
                  <c:v>8.49</c:v>
                </c:pt>
                <c:pt idx="62">
                  <c:v>8.4600000000000009</c:v>
                </c:pt>
                <c:pt idx="63">
                  <c:v>8.4700000000000006</c:v>
                </c:pt>
                <c:pt idx="64">
                  <c:v>8.5</c:v>
                </c:pt>
                <c:pt idx="65">
                  <c:v>8.52</c:v>
                </c:pt>
                <c:pt idx="66">
                  <c:v>8.58</c:v>
                </c:pt>
                <c:pt idx="67">
                  <c:v>8.65</c:v>
                </c:pt>
                <c:pt idx="68">
                  <c:v>8.77</c:v>
                </c:pt>
                <c:pt idx="69">
                  <c:v>8.7899999999999991</c:v>
                </c:pt>
                <c:pt idx="70">
                  <c:v>8.7799999999999994</c:v>
                </c:pt>
                <c:pt idx="71">
                  <c:v>8.77</c:v>
                </c:pt>
                <c:pt idx="72">
                  <c:v>8.8000000000000007</c:v>
                </c:pt>
                <c:pt idx="73">
                  <c:v>8.82</c:v>
                </c:pt>
                <c:pt idx="74">
                  <c:v>8.82</c:v>
                </c:pt>
                <c:pt idx="75">
                  <c:v>8.82</c:v>
                </c:pt>
                <c:pt idx="76">
                  <c:v>8.9</c:v>
                </c:pt>
                <c:pt idx="77">
                  <c:v>8.9700000000000006</c:v>
                </c:pt>
                <c:pt idx="78">
                  <c:v>9.07</c:v>
                </c:pt>
                <c:pt idx="79">
                  <c:v>9.19</c:v>
                </c:pt>
                <c:pt idx="80">
                  <c:v>9.15</c:v>
                </c:pt>
                <c:pt idx="81">
                  <c:v>9.1300000000000008</c:v>
                </c:pt>
                <c:pt idx="82">
                  <c:v>9.1300000000000008</c:v>
                </c:pt>
                <c:pt idx="83">
                  <c:v>9.17</c:v>
                </c:pt>
                <c:pt idx="84">
                  <c:v>9.1999999999999993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F-4CAD-A20A-4B4F6CC7869E}"/>
            </c:ext>
          </c:extLst>
        </c:ser>
        <c:ser>
          <c:idx val="4"/>
          <c:order val="1"/>
          <c:tx>
            <c:strRef>
              <c:f>Curve!$AH$1</c:f>
              <c:strCache>
                <c:ptCount val="1"/>
                <c:pt idx="0">
                  <c:v>Max_TxP_1290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Curve!$AE$2:$AE$124</c:f>
              <c:numCache>
                <c:formatCode>General</c:formatCode>
                <c:ptCount val="123"/>
                <c:pt idx="0">
                  <c:v>70.77</c:v>
                </c:pt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</c:numCache>
            </c:numRef>
          </c:xVal>
          <c:yVal>
            <c:numRef>
              <c:f>Curve!$AH$2:$AH$124</c:f>
              <c:numCache>
                <c:formatCode>General</c:formatCode>
                <c:ptCount val="123"/>
                <c:pt idx="0">
                  <c:v>2.57</c:v>
                </c:pt>
                <c:pt idx="1">
                  <c:v>2.74</c:v>
                </c:pt>
                <c:pt idx="2">
                  <c:v>2.86</c:v>
                </c:pt>
                <c:pt idx="3">
                  <c:v>3.06</c:v>
                </c:pt>
                <c:pt idx="4">
                  <c:v>3.26</c:v>
                </c:pt>
                <c:pt idx="5">
                  <c:v>3.46</c:v>
                </c:pt>
                <c:pt idx="6">
                  <c:v>3.6</c:v>
                </c:pt>
                <c:pt idx="7">
                  <c:v>3.76</c:v>
                </c:pt>
                <c:pt idx="8">
                  <c:v>3.9</c:v>
                </c:pt>
                <c:pt idx="9">
                  <c:v>4.0599999999999996</c:v>
                </c:pt>
                <c:pt idx="10">
                  <c:v>4.25</c:v>
                </c:pt>
                <c:pt idx="11">
                  <c:v>4.3899999999999997</c:v>
                </c:pt>
                <c:pt idx="12">
                  <c:v>4.5199999999999996</c:v>
                </c:pt>
                <c:pt idx="13">
                  <c:v>4.6399999999999997</c:v>
                </c:pt>
                <c:pt idx="14">
                  <c:v>4.7699999999999996</c:v>
                </c:pt>
                <c:pt idx="15">
                  <c:v>4.88</c:v>
                </c:pt>
                <c:pt idx="16">
                  <c:v>5.0199999999999996</c:v>
                </c:pt>
                <c:pt idx="17">
                  <c:v>5.15</c:v>
                </c:pt>
                <c:pt idx="18">
                  <c:v>5.28</c:v>
                </c:pt>
                <c:pt idx="19">
                  <c:v>5.38</c:v>
                </c:pt>
                <c:pt idx="20">
                  <c:v>5.48</c:v>
                </c:pt>
                <c:pt idx="21">
                  <c:v>5.59</c:v>
                </c:pt>
                <c:pt idx="22">
                  <c:v>5.68</c:v>
                </c:pt>
                <c:pt idx="23">
                  <c:v>5.79</c:v>
                </c:pt>
                <c:pt idx="24">
                  <c:v>5.84</c:v>
                </c:pt>
                <c:pt idx="25">
                  <c:v>5.97</c:v>
                </c:pt>
                <c:pt idx="26">
                  <c:v>5.98</c:v>
                </c:pt>
                <c:pt idx="27">
                  <c:v>6.08</c:v>
                </c:pt>
                <c:pt idx="28">
                  <c:v>6.14</c:v>
                </c:pt>
                <c:pt idx="29">
                  <c:v>6.2</c:v>
                </c:pt>
                <c:pt idx="30">
                  <c:v>6.26</c:v>
                </c:pt>
                <c:pt idx="31">
                  <c:v>6.34</c:v>
                </c:pt>
                <c:pt idx="32">
                  <c:v>6.42</c:v>
                </c:pt>
                <c:pt idx="33">
                  <c:v>6.51</c:v>
                </c:pt>
                <c:pt idx="34">
                  <c:v>6.59</c:v>
                </c:pt>
                <c:pt idx="35">
                  <c:v>6.65</c:v>
                </c:pt>
                <c:pt idx="36">
                  <c:v>6.77</c:v>
                </c:pt>
                <c:pt idx="37">
                  <c:v>6.89</c:v>
                </c:pt>
                <c:pt idx="38">
                  <c:v>6.96</c:v>
                </c:pt>
                <c:pt idx="39">
                  <c:v>7.07</c:v>
                </c:pt>
                <c:pt idx="40">
                  <c:v>7.09</c:v>
                </c:pt>
                <c:pt idx="41">
                  <c:v>7.18</c:v>
                </c:pt>
                <c:pt idx="42">
                  <c:v>7.21</c:v>
                </c:pt>
                <c:pt idx="43">
                  <c:v>7.25</c:v>
                </c:pt>
                <c:pt idx="44">
                  <c:v>7.29</c:v>
                </c:pt>
                <c:pt idx="45">
                  <c:v>7.43</c:v>
                </c:pt>
                <c:pt idx="46">
                  <c:v>7.45</c:v>
                </c:pt>
                <c:pt idx="47">
                  <c:v>7.52</c:v>
                </c:pt>
                <c:pt idx="48">
                  <c:v>7.54</c:v>
                </c:pt>
                <c:pt idx="49">
                  <c:v>7.63</c:v>
                </c:pt>
                <c:pt idx="50">
                  <c:v>7.75</c:v>
                </c:pt>
                <c:pt idx="51">
                  <c:v>7.77</c:v>
                </c:pt>
                <c:pt idx="52">
                  <c:v>7.75</c:v>
                </c:pt>
                <c:pt idx="53">
                  <c:v>7.83</c:v>
                </c:pt>
                <c:pt idx="54">
                  <c:v>7.95</c:v>
                </c:pt>
                <c:pt idx="55">
                  <c:v>7.99</c:v>
                </c:pt>
                <c:pt idx="56">
                  <c:v>8</c:v>
                </c:pt>
                <c:pt idx="57">
                  <c:v>8.0500000000000007</c:v>
                </c:pt>
                <c:pt idx="58">
                  <c:v>8.09</c:v>
                </c:pt>
                <c:pt idx="59">
                  <c:v>8.09</c:v>
                </c:pt>
                <c:pt idx="60">
                  <c:v>8.17</c:v>
                </c:pt>
                <c:pt idx="61">
                  <c:v>8.1999999999999993</c:v>
                </c:pt>
                <c:pt idx="62">
                  <c:v>8.2100000000000009</c:v>
                </c:pt>
                <c:pt idx="63">
                  <c:v>8.19</c:v>
                </c:pt>
                <c:pt idx="64">
                  <c:v>8.2899999999999991</c:v>
                </c:pt>
                <c:pt idx="65">
                  <c:v>8.3800000000000008</c:v>
                </c:pt>
                <c:pt idx="66">
                  <c:v>8.4</c:v>
                </c:pt>
                <c:pt idx="67">
                  <c:v>8.42</c:v>
                </c:pt>
                <c:pt idx="68">
                  <c:v>8.48</c:v>
                </c:pt>
                <c:pt idx="69">
                  <c:v>8.48</c:v>
                </c:pt>
                <c:pt idx="70">
                  <c:v>8.5500000000000007</c:v>
                </c:pt>
                <c:pt idx="71">
                  <c:v>8.6</c:v>
                </c:pt>
                <c:pt idx="72">
                  <c:v>8.67</c:v>
                </c:pt>
                <c:pt idx="73">
                  <c:v>8.6999999999999993</c:v>
                </c:pt>
                <c:pt idx="74">
                  <c:v>8.67</c:v>
                </c:pt>
                <c:pt idx="75">
                  <c:v>8.69</c:v>
                </c:pt>
                <c:pt idx="76">
                  <c:v>8.69</c:v>
                </c:pt>
                <c:pt idx="77">
                  <c:v>8.6999999999999993</c:v>
                </c:pt>
                <c:pt idx="78">
                  <c:v>8.7100000000000009</c:v>
                </c:pt>
                <c:pt idx="79">
                  <c:v>8.77</c:v>
                </c:pt>
                <c:pt idx="80">
                  <c:v>8.73</c:v>
                </c:pt>
                <c:pt idx="81">
                  <c:v>8.8000000000000007</c:v>
                </c:pt>
                <c:pt idx="82">
                  <c:v>8.76</c:v>
                </c:pt>
                <c:pt idx="83">
                  <c:v>8.8000000000000007</c:v>
                </c:pt>
                <c:pt idx="84">
                  <c:v>8.83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6F-4CAD-A20A-4B4F6CC7869E}"/>
            </c:ext>
          </c:extLst>
        </c:ser>
        <c:ser>
          <c:idx val="5"/>
          <c:order val="2"/>
          <c:tx>
            <c:strRef>
              <c:f>Curve!$AI$1</c:f>
              <c:strCache>
                <c:ptCount val="1"/>
                <c:pt idx="0">
                  <c:v>Max_TxP_1310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Curve!$AE$2:$AE$124</c:f>
              <c:numCache>
                <c:formatCode>General</c:formatCode>
                <c:ptCount val="123"/>
                <c:pt idx="0">
                  <c:v>70.77</c:v>
                </c:pt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</c:numCache>
            </c:numRef>
          </c:xVal>
          <c:yVal>
            <c:numRef>
              <c:f>Curve!$AI$2:$AI$124</c:f>
              <c:numCache>
                <c:formatCode>General</c:formatCode>
                <c:ptCount val="123"/>
                <c:pt idx="0">
                  <c:v>3.98</c:v>
                </c:pt>
                <c:pt idx="1">
                  <c:v>4.1399999999999997</c:v>
                </c:pt>
                <c:pt idx="2">
                  <c:v>4.28</c:v>
                </c:pt>
                <c:pt idx="3">
                  <c:v>4.38</c:v>
                </c:pt>
                <c:pt idx="4">
                  <c:v>4.5</c:v>
                </c:pt>
                <c:pt idx="5">
                  <c:v>4.6500000000000004</c:v>
                </c:pt>
                <c:pt idx="6">
                  <c:v>4.76</c:v>
                </c:pt>
                <c:pt idx="7">
                  <c:v>4.8600000000000003</c:v>
                </c:pt>
                <c:pt idx="8">
                  <c:v>4.96</c:v>
                </c:pt>
                <c:pt idx="9">
                  <c:v>5.08</c:v>
                </c:pt>
                <c:pt idx="10">
                  <c:v>5.26</c:v>
                </c:pt>
                <c:pt idx="11">
                  <c:v>5.33</c:v>
                </c:pt>
                <c:pt idx="12">
                  <c:v>5.43</c:v>
                </c:pt>
                <c:pt idx="13">
                  <c:v>5.51</c:v>
                </c:pt>
                <c:pt idx="14">
                  <c:v>5.67</c:v>
                </c:pt>
                <c:pt idx="15">
                  <c:v>5.71</c:v>
                </c:pt>
                <c:pt idx="16">
                  <c:v>5.79</c:v>
                </c:pt>
                <c:pt idx="17">
                  <c:v>5.86</c:v>
                </c:pt>
                <c:pt idx="18">
                  <c:v>5.9</c:v>
                </c:pt>
                <c:pt idx="19">
                  <c:v>5.99</c:v>
                </c:pt>
                <c:pt idx="20">
                  <c:v>6.1</c:v>
                </c:pt>
                <c:pt idx="21">
                  <c:v>6.24</c:v>
                </c:pt>
                <c:pt idx="22">
                  <c:v>6.3</c:v>
                </c:pt>
                <c:pt idx="23">
                  <c:v>6.38</c:v>
                </c:pt>
                <c:pt idx="24">
                  <c:v>6.42</c:v>
                </c:pt>
                <c:pt idx="25">
                  <c:v>6.55</c:v>
                </c:pt>
                <c:pt idx="26">
                  <c:v>6.66</c:v>
                </c:pt>
                <c:pt idx="27">
                  <c:v>6.74</c:v>
                </c:pt>
                <c:pt idx="28">
                  <c:v>6.84</c:v>
                </c:pt>
                <c:pt idx="29">
                  <c:v>6.89</c:v>
                </c:pt>
                <c:pt idx="30">
                  <c:v>6.98</c:v>
                </c:pt>
                <c:pt idx="31">
                  <c:v>7</c:v>
                </c:pt>
                <c:pt idx="32">
                  <c:v>7.09</c:v>
                </c:pt>
                <c:pt idx="33">
                  <c:v>7.19</c:v>
                </c:pt>
                <c:pt idx="34">
                  <c:v>7.28</c:v>
                </c:pt>
                <c:pt idx="35">
                  <c:v>7.31</c:v>
                </c:pt>
                <c:pt idx="36">
                  <c:v>7.39</c:v>
                </c:pt>
                <c:pt idx="37">
                  <c:v>7.47</c:v>
                </c:pt>
                <c:pt idx="38">
                  <c:v>7.52</c:v>
                </c:pt>
                <c:pt idx="39">
                  <c:v>7.6</c:v>
                </c:pt>
                <c:pt idx="40">
                  <c:v>7.64</c:v>
                </c:pt>
                <c:pt idx="41">
                  <c:v>7.72</c:v>
                </c:pt>
                <c:pt idx="42">
                  <c:v>7.77</c:v>
                </c:pt>
                <c:pt idx="43">
                  <c:v>7.9</c:v>
                </c:pt>
                <c:pt idx="44">
                  <c:v>7.86</c:v>
                </c:pt>
                <c:pt idx="45">
                  <c:v>7.92</c:v>
                </c:pt>
                <c:pt idx="46">
                  <c:v>7.9</c:v>
                </c:pt>
                <c:pt idx="47">
                  <c:v>8.02</c:v>
                </c:pt>
                <c:pt idx="48">
                  <c:v>8.08</c:v>
                </c:pt>
                <c:pt idx="49">
                  <c:v>8.1</c:v>
                </c:pt>
                <c:pt idx="50">
                  <c:v>8.16</c:v>
                </c:pt>
                <c:pt idx="51">
                  <c:v>8.16</c:v>
                </c:pt>
                <c:pt idx="52">
                  <c:v>8.2100000000000009</c:v>
                </c:pt>
                <c:pt idx="53">
                  <c:v>8.2200000000000006</c:v>
                </c:pt>
                <c:pt idx="54">
                  <c:v>8.34</c:v>
                </c:pt>
                <c:pt idx="55">
                  <c:v>8.4</c:v>
                </c:pt>
                <c:pt idx="56">
                  <c:v>8.43</c:v>
                </c:pt>
                <c:pt idx="57">
                  <c:v>8.4600000000000009</c:v>
                </c:pt>
                <c:pt idx="58">
                  <c:v>8.5299999999999994</c:v>
                </c:pt>
                <c:pt idx="59">
                  <c:v>8.6</c:v>
                </c:pt>
                <c:pt idx="60">
                  <c:v>8.6999999999999993</c:v>
                </c:pt>
                <c:pt idx="61">
                  <c:v>8.77</c:v>
                </c:pt>
                <c:pt idx="62">
                  <c:v>8.82</c:v>
                </c:pt>
                <c:pt idx="63">
                  <c:v>8.8699999999999992</c:v>
                </c:pt>
                <c:pt idx="64">
                  <c:v>8.89</c:v>
                </c:pt>
                <c:pt idx="65">
                  <c:v>8.94</c:v>
                </c:pt>
                <c:pt idx="66">
                  <c:v>9.02</c:v>
                </c:pt>
                <c:pt idx="67">
                  <c:v>9.0500000000000007</c:v>
                </c:pt>
                <c:pt idx="68">
                  <c:v>9.06</c:v>
                </c:pt>
                <c:pt idx="69">
                  <c:v>9.1199999999999992</c:v>
                </c:pt>
                <c:pt idx="70">
                  <c:v>9.16</c:v>
                </c:pt>
                <c:pt idx="71">
                  <c:v>9.2200000000000006</c:v>
                </c:pt>
                <c:pt idx="72">
                  <c:v>9.25</c:v>
                </c:pt>
                <c:pt idx="73">
                  <c:v>9.3000000000000007</c:v>
                </c:pt>
                <c:pt idx="74">
                  <c:v>9.39</c:v>
                </c:pt>
                <c:pt idx="75">
                  <c:v>9.41</c:v>
                </c:pt>
                <c:pt idx="76">
                  <c:v>9.48</c:v>
                </c:pt>
                <c:pt idx="77">
                  <c:v>9.51</c:v>
                </c:pt>
                <c:pt idx="78">
                  <c:v>9.6</c:v>
                </c:pt>
                <c:pt idx="79">
                  <c:v>9.6</c:v>
                </c:pt>
                <c:pt idx="80">
                  <c:v>9.6199999999999992</c:v>
                </c:pt>
                <c:pt idx="81">
                  <c:v>9.64</c:v>
                </c:pt>
                <c:pt idx="82">
                  <c:v>9.6999999999999993</c:v>
                </c:pt>
                <c:pt idx="83">
                  <c:v>9.68</c:v>
                </c:pt>
                <c:pt idx="84">
                  <c:v>9.7200000000000006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6F-4CAD-A20A-4B4F6CC7869E}"/>
            </c:ext>
          </c:extLst>
        </c:ser>
        <c:ser>
          <c:idx val="6"/>
          <c:order val="3"/>
          <c:tx>
            <c:strRef>
              <c:f>Curve!$AJ$1</c:f>
              <c:strCache>
                <c:ptCount val="1"/>
                <c:pt idx="0">
                  <c:v>Max_TxP_1330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Curve!$AE$2:$AE$124</c:f>
              <c:numCache>
                <c:formatCode>General</c:formatCode>
                <c:ptCount val="123"/>
                <c:pt idx="0">
                  <c:v>70.77</c:v>
                </c:pt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</c:numCache>
            </c:numRef>
          </c:xVal>
          <c:yVal>
            <c:numRef>
              <c:f>Curve!$AJ$2:$AJ$124</c:f>
              <c:numCache>
                <c:formatCode>General</c:formatCode>
                <c:ptCount val="123"/>
                <c:pt idx="0">
                  <c:v>2.9</c:v>
                </c:pt>
                <c:pt idx="1">
                  <c:v>3</c:v>
                </c:pt>
                <c:pt idx="2">
                  <c:v>3.1</c:v>
                </c:pt>
                <c:pt idx="3">
                  <c:v>3.23</c:v>
                </c:pt>
                <c:pt idx="4">
                  <c:v>3.37</c:v>
                </c:pt>
                <c:pt idx="5">
                  <c:v>3.45</c:v>
                </c:pt>
                <c:pt idx="6">
                  <c:v>3.53</c:v>
                </c:pt>
                <c:pt idx="7">
                  <c:v>3.56</c:v>
                </c:pt>
                <c:pt idx="8">
                  <c:v>3.65</c:v>
                </c:pt>
                <c:pt idx="9">
                  <c:v>3.75</c:v>
                </c:pt>
                <c:pt idx="10">
                  <c:v>3.87</c:v>
                </c:pt>
                <c:pt idx="11">
                  <c:v>3.92</c:v>
                </c:pt>
                <c:pt idx="12">
                  <c:v>3.93</c:v>
                </c:pt>
                <c:pt idx="13">
                  <c:v>4.04</c:v>
                </c:pt>
                <c:pt idx="14">
                  <c:v>4.09</c:v>
                </c:pt>
                <c:pt idx="15">
                  <c:v>4.1900000000000004</c:v>
                </c:pt>
                <c:pt idx="16">
                  <c:v>4.18</c:v>
                </c:pt>
                <c:pt idx="17">
                  <c:v>4.2699999999999996</c:v>
                </c:pt>
                <c:pt idx="18">
                  <c:v>4.43</c:v>
                </c:pt>
                <c:pt idx="19">
                  <c:v>4.51</c:v>
                </c:pt>
                <c:pt idx="20">
                  <c:v>4.5</c:v>
                </c:pt>
                <c:pt idx="21">
                  <c:v>4.53</c:v>
                </c:pt>
                <c:pt idx="22">
                  <c:v>4.5</c:v>
                </c:pt>
                <c:pt idx="23">
                  <c:v>4.54</c:v>
                </c:pt>
                <c:pt idx="24">
                  <c:v>4.74</c:v>
                </c:pt>
                <c:pt idx="25">
                  <c:v>4.8</c:v>
                </c:pt>
                <c:pt idx="26">
                  <c:v>4.8099999999999996</c:v>
                </c:pt>
                <c:pt idx="27">
                  <c:v>4.8</c:v>
                </c:pt>
                <c:pt idx="28">
                  <c:v>4.8499999999999996</c:v>
                </c:pt>
                <c:pt idx="29">
                  <c:v>4.96</c:v>
                </c:pt>
                <c:pt idx="30">
                  <c:v>5.05</c:v>
                </c:pt>
                <c:pt idx="31">
                  <c:v>5.07</c:v>
                </c:pt>
                <c:pt idx="32">
                  <c:v>5.1100000000000003</c:v>
                </c:pt>
                <c:pt idx="33">
                  <c:v>5.2</c:v>
                </c:pt>
                <c:pt idx="34">
                  <c:v>5.27</c:v>
                </c:pt>
                <c:pt idx="35">
                  <c:v>5.4</c:v>
                </c:pt>
                <c:pt idx="36">
                  <c:v>5.4</c:v>
                </c:pt>
                <c:pt idx="37">
                  <c:v>5.49</c:v>
                </c:pt>
                <c:pt idx="38">
                  <c:v>5.53</c:v>
                </c:pt>
                <c:pt idx="39">
                  <c:v>5.55</c:v>
                </c:pt>
                <c:pt idx="40">
                  <c:v>5.64</c:v>
                </c:pt>
                <c:pt idx="41">
                  <c:v>5.68</c:v>
                </c:pt>
                <c:pt idx="42">
                  <c:v>5.72</c:v>
                </c:pt>
                <c:pt idx="43">
                  <c:v>5.77</c:v>
                </c:pt>
                <c:pt idx="44">
                  <c:v>5.83</c:v>
                </c:pt>
                <c:pt idx="45">
                  <c:v>5.86</c:v>
                </c:pt>
                <c:pt idx="46">
                  <c:v>5.89</c:v>
                </c:pt>
                <c:pt idx="47">
                  <c:v>5.95</c:v>
                </c:pt>
                <c:pt idx="48">
                  <c:v>6.02</c:v>
                </c:pt>
                <c:pt idx="49">
                  <c:v>6.04</c:v>
                </c:pt>
                <c:pt idx="50">
                  <c:v>6.1</c:v>
                </c:pt>
                <c:pt idx="51">
                  <c:v>6.14</c:v>
                </c:pt>
                <c:pt idx="52">
                  <c:v>6.19</c:v>
                </c:pt>
                <c:pt idx="53">
                  <c:v>6.24</c:v>
                </c:pt>
                <c:pt idx="54">
                  <c:v>6.22</c:v>
                </c:pt>
                <c:pt idx="55">
                  <c:v>6.28</c:v>
                </c:pt>
                <c:pt idx="56">
                  <c:v>6.31</c:v>
                </c:pt>
                <c:pt idx="57">
                  <c:v>6.31</c:v>
                </c:pt>
                <c:pt idx="58">
                  <c:v>6.3</c:v>
                </c:pt>
                <c:pt idx="59">
                  <c:v>6.36</c:v>
                </c:pt>
                <c:pt idx="60">
                  <c:v>6.33</c:v>
                </c:pt>
                <c:pt idx="61">
                  <c:v>6.37</c:v>
                </c:pt>
                <c:pt idx="62">
                  <c:v>6.36</c:v>
                </c:pt>
                <c:pt idx="63">
                  <c:v>6.5</c:v>
                </c:pt>
                <c:pt idx="64">
                  <c:v>6.5</c:v>
                </c:pt>
                <c:pt idx="65">
                  <c:v>6.59</c:v>
                </c:pt>
                <c:pt idx="66">
                  <c:v>6.54</c:v>
                </c:pt>
                <c:pt idx="67">
                  <c:v>6.57</c:v>
                </c:pt>
                <c:pt idx="68">
                  <c:v>6.65</c:v>
                </c:pt>
                <c:pt idx="69">
                  <c:v>6.71</c:v>
                </c:pt>
                <c:pt idx="70">
                  <c:v>6.74</c:v>
                </c:pt>
                <c:pt idx="71">
                  <c:v>6.75</c:v>
                </c:pt>
                <c:pt idx="72">
                  <c:v>6.76</c:v>
                </c:pt>
                <c:pt idx="73">
                  <c:v>6.73</c:v>
                </c:pt>
                <c:pt idx="74">
                  <c:v>6.72</c:v>
                </c:pt>
                <c:pt idx="75">
                  <c:v>6.75</c:v>
                </c:pt>
                <c:pt idx="76">
                  <c:v>6.87</c:v>
                </c:pt>
                <c:pt idx="77">
                  <c:v>6.82</c:v>
                </c:pt>
                <c:pt idx="78">
                  <c:v>6.84</c:v>
                </c:pt>
                <c:pt idx="79">
                  <c:v>6.91</c:v>
                </c:pt>
                <c:pt idx="80">
                  <c:v>6.96</c:v>
                </c:pt>
                <c:pt idx="81">
                  <c:v>6.96</c:v>
                </c:pt>
                <c:pt idx="82">
                  <c:v>7.01</c:v>
                </c:pt>
                <c:pt idx="83">
                  <c:v>6.98</c:v>
                </c:pt>
                <c:pt idx="84">
                  <c:v>7.02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6F-4CAD-A20A-4B4F6CC7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937488"/>
        <c:axId val="356947840"/>
      </c:scatterChart>
      <c:scatterChart>
        <c:scatterStyle val="lineMarker"/>
        <c:varyColors val="0"/>
        <c:ser>
          <c:idx val="7"/>
          <c:order val="4"/>
          <c:tx>
            <c:strRef>
              <c:f>Curve!$AF$1</c:f>
              <c:strCache>
                <c:ptCount val="1"/>
                <c:pt idx="0">
                  <c:v>Max_DDMI Bias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Curve!$AE$2:$AE$124</c:f>
              <c:numCache>
                <c:formatCode>General</c:formatCode>
                <c:ptCount val="123"/>
                <c:pt idx="0">
                  <c:v>70.77</c:v>
                </c:pt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</c:numCache>
            </c:numRef>
          </c:xVal>
          <c:yVal>
            <c:numRef>
              <c:f>Curve!$AF$2:$AF$124</c:f>
              <c:numCache>
                <c:formatCode>General</c:formatCode>
                <c:ptCount val="123"/>
                <c:pt idx="0">
                  <c:v>399</c:v>
                </c:pt>
                <c:pt idx="1">
                  <c:v>399</c:v>
                </c:pt>
                <c:pt idx="2">
                  <c:v>399</c:v>
                </c:pt>
                <c:pt idx="3">
                  <c:v>399</c:v>
                </c:pt>
                <c:pt idx="4">
                  <c:v>399</c:v>
                </c:pt>
                <c:pt idx="5">
                  <c:v>399</c:v>
                </c:pt>
                <c:pt idx="6">
                  <c:v>399</c:v>
                </c:pt>
                <c:pt idx="7">
                  <c:v>399</c:v>
                </c:pt>
                <c:pt idx="8">
                  <c:v>399</c:v>
                </c:pt>
                <c:pt idx="9">
                  <c:v>399</c:v>
                </c:pt>
                <c:pt idx="10">
                  <c:v>399</c:v>
                </c:pt>
                <c:pt idx="11">
                  <c:v>399</c:v>
                </c:pt>
                <c:pt idx="12">
                  <c:v>399</c:v>
                </c:pt>
                <c:pt idx="13">
                  <c:v>399</c:v>
                </c:pt>
                <c:pt idx="14">
                  <c:v>399</c:v>
                </c:pt>
                <c:pt idx="15">
                  <c:v>399</c:v>
                </c:pt>
                <c:pt idx="16">
                  <c:v>399</c:v>
                </c:pt>
                <c:pt idx="17">
                  <c:v>399</c:v>
                </c:pt>
                <c:pt idx="18">
                  <c:v>399</c:v>
                </c:pt>
                <c:pt idx="19">
                  <c:v>399</c:v>
                </c:pt>
                <c:pt idx="20">
                  <c:v>399</c:v>
                </c:pt>
                <c:pt idx="21">
                  <c:v>399</c:v>
                </c:pt>
                <c:pt idx="22">
                  <c:v>399</c:v>
                </c:pt>
                <c:pt idx="23">
                  <c:v>399</c:v>
                </c:pt>
                <c:pt idx="24">
                  <c:v>399</c:v>
                </c:pt>
                <c:pt idx="25">
                  <c:v>399</c:v>
                </c:pt>
                <c:pt idx="26">
                  <c:v>399</c:v>
                </c:pt>
                <c:pt idx="27">
                  <c:v>399</c:v>
                </c:pt>
                <c:pt idx="28">
                  <c:v>399</c:v>
                </c:pt>
                <c:pt idx="29">
                  <c:v>399</c:v>
                </c:pt>
                <c:pt idx="30">
                  <c:v>399</c:v>
                </c:pt>
                <c:pt idx="31">
                  <c:v>399</c:v>
                </c:pt>
                <c:pt idx="32">
                  <c:v>399</c:v>
                </c:pt>
                <c:pt idx="33">
                  <c:v>399</c:v>
                </c:pt>
                <c:pt idx="34">
                  <c:v>399</c:v>
                </c:pt>
                <c:pt idx="35">
                  <c:v>399</c:v>
                </c:pt>
                <c:pt idx="36">
                  <c:v>399</c:v>
                </c:pt>
                <c:pt idx="37">
                  <c:v>399</c:v>
                </c:pt>
                <c:pt idx="38">
                  <c:v>399</c:v>
                </c:pt>
                <c:pt idx="39">
                  <c:v>399</c:v>
                </c:pt>
                <c:pt idx="40">
                  <c:v>399</c:v>
                </c:pt>
                <c:pt idx="41">
                  <c:v>399</c:v>
                </c:pt>
                <c:pt idx="42">
                  <c:v>399</c:v>
                </c:pt>
                <c:pt idx="43">
                  <c:v>399</c:v>
                </c:pt>
                <c:pt idx="44">
                  <c:v>399</c:v>
                </c:pt>
                <c:pt idx="45">
                  <c:v>399</c:v>
                </c:pt>
                <c:pt idx="46">
                  <c:v>399</c:v>
                </c:pt>
                <c:pt idx="47">
                  <c:v>399</c:v>
                </c:pt>
                <c:pt idx="48">
                  <c:v>399</c:v>
                </c:pt>
                <c:pt idx="49">
                  <c:v>399</c:v>
                </c:pt>
                <c:pt idx="50">
                  <c:v>399</c:v>
                </c:pt>
                <c:pt idx="51">
                  <c:v>399</c:v>
                </c:pt>
                <c:pt idx="52">
                  <c:v>399</c:v>
                </c:pt>
                <c:pt idx="53">
                  <c:v>399</c:v>
                </c:pt>
                <c:pt idx="54">
                  <c:v>399</c:v>
                </c:pt>
                <c:pt idx="55">
                  <c:v>399</c:v>
                </c:pt>
                <c:pt idx="56">
                  <c:v>399</c:v>
                </c:pt>
                <c:pt idx="57">
                  <c:v>399</c:v>
                </c:pt>
                <c:pt idx="58">
                  <c:v>399</c:v>
                </c:pt>
                <c:pt idx="59">
                  <c:v>399</c:v>
                </c:pt>
                <c:pt idx="60">
                  <c:v>399</c:v>
                </c:pt>
                <c:pt idx="61">
                  <c:v>399</c:v>
                </c:pt>
                <c:pt idx="62">
                  <c:v>399</c:v>
                </c:pt>
                <c:pt idx="63">
                  <c:v>399</c:v>
                </c:pt>
                <c:pt idx="64">
                  <c:v>399</c:v>
                </c:pt>
                <c:pt idx="65">
                  <c:v>399</c:v>
                </c:pt>
                <c:pt idx="66">
                  <c:v>399</c:v>
                </c:pt>
                <c:pt idx="67">
                  <c:v>399</c:v>
                </c:pt>
                <c:pt idx="68">
                  <c:v>399</c:v>
                </c:pt>
                <c:pt idx="69">
                  <c:v>399</c:v>
                </c:pt>
                <c:pt idx="70">
                  <c:v>399</c:v>
                </c:pt>
                <c:pt idx="71">
                  <c:v>399</c:v>
                </c:pt>
                <c:pt idx="72">
                  <c:v>399</c:v>
                </c:pt>
                <c:pt idx="73">
                  <c:v>399</c:v>
                </c:pt>
                <c:pt idx="74">
                  <c:v>399</c:v>
                </c:pt>
                <c:pt idx="75">
                  <c:v>399</c:v>
                </c:pt>
                <c:pt idx="76">
                  <c:v>399</c:v>
                </c:pt>
                <c:pt idx="77">
                  <c:v>399</c:v>
                </c:pt>
                <c:pt idx="78">
                  <c:v>399</c:v>
                </c:pt>
                <c:pt idx="79">
                  <c:v>399</c:v>
                </c:pt>
                <c:pt idx="80">
                  <c:v>399</c:v>
                </c:pt>
                <c:pt idx="81">
                  <c:v>399</c:v>
                </c:pt>
                <c:pt idx="82">
                  <c:v>399</c:v>
                </c:pt>
                <c:pt idx="83">
                  <c:v>399</c:v>
                </c:pt>
                <c:pt idx="84">
                  <c:v>399</c:v>
                </c:pt>
                <c:pt idx="85">
                  <c:v>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6F-4CAD-A20A-4B4F6CC7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6335"/>
        <c:axId val="1691627999"/>
      </c:scatterChart>
      <c:valAx>
        <c:axId val="350937488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47840"/>
        <c:crosses val="autoZero"/>
        <c:crossBetween val="midCat"/>
        <c:majorUnit val="5"/>
      </c:valAx>
      <c:valAx>
        <c:axId val="35694784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dBm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37488"/>
        <c:crosses val="autoZero"/>
        <c:crossBetween val="midCat"/>
        <c:majorUnit val="1"/>
      </c:valAx>
      <c:valAx>
        <c:axId val="169162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1627999"/>
        <c:crosses val="autoZero"/>
        <c:crossBetween val="midCat"/>
      </c:valAx>
      <c:valAx>
        <c:axId val="16916279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Bias(mA)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26335"/>
        <c:crosses val="max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Operational Current@1270nm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Operational!$F$1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Operational!$F$2:$F$119</c:f>
              <c:numCache>
                <c:formatCode>General</c:formatCode>
                <c:ptCount val="11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B-452B-A1FE-475FB2A13FBF}"/>
            </c:ext>
          </c:extLst>
        </c:ser>
        <c:ser>
          <c:idx val="2"/>
          <c:order val="1"/>
          <c:tx>
            <c:strRef>
              <c:f>Operational!$G$1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Operational!$G$2:$G$119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B-452B-A1FE-475FB2A13FBF}"/>
            </c:ext>
          </c:extLst>
        </c:ser>
        <c:ser>
          <c:idx val="0"/>
          <c:order val="2"/>
          <c:tx>
            <c:strRef>
              <c:f>Operational!$B$1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Operational!$B$2:$B$119</c:f>
              <c:numCache>
                <c:formatCode>General</c:formatCode>
                <c:ptCount val="118"/>
                <c:pt idx="0">
                  <c:v>0.08</c:v>
                </c:pt>
                <c:pt idx="1">
                  <c:v>0.09</c:v>
                </c:pt>
                <c:pt idx="2">
                  <c:v>0.08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0.09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0.1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0.1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0.1</c:v>
                </c:pt>
                <c:pt idx="50">
                  <c:v>0.06</c:v>
                </c:pt>
                <c:pt idx="51">
                  <c:v>0.17</c:v>
                </c:pt>
                <c:pt idx="52">
                  <c:v>7.0000000000000007E-2</c:v>
                </c:pt>
                <c:pt idx="53">
                  <c:v>0.09</c:v>
                </c:pt>
                <c:pt idx="54">
                  <c:v>0.1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0.09</c:v>
                </c:pt>
                <c:pt idx="59">
                  <c:v>0.1</c:v>
                </c:pt>
                <c:pt idx="60">
                  <c:v>0.09</c:v>
                </c:pt>
                <c:pt idx="61">
                  <c:v>0.09</c:v>
                </c:pt>
                <c:pt idx="62">
                  <c:v>0.1</c:v>
                </c:pt>
                <c:pt idx="63">
                  <c:v>0.1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0.11</c:v>
                </c:pt>
                <c:pt idx="78">
                  <c:v>0.1</c:v>
                </c:pt>
                <c:pt idx="79">
                  <c:v>0.11</c:v>
                </c:pt>
                <c:pt idx="80">
                  <c:v>0.11</c:v>
                </c:pt>
                <c:pt idx="81">
                  <c:v>0.1</c:v>
                </c:pt>
                <c:pt idx="82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B-452B-A1FE-475FB2A1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Operational Current@1290nm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Operational!$F$1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Operational!$F$2:$F$119</c:f>
              <c:numCache>
                <c:formatCode>General</c:formatCode>
                <c:ptCount val="11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7-4887-A3FC-6B419FF1A5C5}"/>
            </c:ext>
          </c:extLst>
        </c:ser>
        <c:ser>
          <c:idx val="2"/>
          <c:order val="1"/>
          <c:tx>
            <c:strRef>
              <c:f>Operational!$G$1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Operational!$G$2:$G$119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97-4887-A3FC-6B419FF1A5C5}"/>
            </c:ext>
          </c:extLst>
        </c:ser>
        <c:ser>
          <c:idx val="0"/>
          <c:order val="2"/>
          <c:tx>
            <c:strRef>
              <c:f>Operational!$C$1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Operational!$C$2:$C$119</c:f>
              <c:numCache>
                <c:formatCode>General</c:formatCode>
                <c:ptCount val="118"/>
                <c:pt idx="0">
                  <c:v>0.08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  <c:pt idx="17">
                  <c:v>0.1</c:v>
                </c:pt>
                <c:pt idx="18">
                  <c:v>0.09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0.1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0.1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0.1</c:v>
                </c:pt>
                <c:pt idx="48">
                  <c:v>0.09</c:v>
                </c:pt>
                <c:pt idx="49">
                  <c:v>0.1</c:v>
                </c:pt>
                <c:pt idx="50">
                  <c:v>0.06</c:v>
                </c:pt>
                <c:pt idx="51">
                  <c:v>0.18</c:v>
                </c:pt>
                <c:pt idx="52">
                  <c:v>7.0000000000000007E-2</c:v>
                </c:pt>
                <c:pt idx="53">
                  <c:v>0.09</c:v>
                </c:pt>
                <c:pt idx="54">
                  <c:v>0.1</c:v>
                </c:pt>
                <c:pt idx="55">
                  <c:v>0.09</c:v>
                </c:pt>
                <c:pt idx="56">
                  <c:v>0.09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0.09</c:v>
                </c:pt>
                <c:pt idx="62">
                  <c:v>0.1</c:v>
                </c:pt>
                <c:pt idx="63">
                  <c:v>0.09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</c:v>
                </c:pt>
                <c:pt idx="69">
                  <c:v>0.1</c:v>
                </c:pt>
                <c:pt idx="70">
                  <c:v>0.09</c:v>
                </c:pt>
                <c:pt idx="71">
                  <c:v>0.11</c:v>
                </c:pt>
                <c:pt idx="72">
                  <c:v>0.11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0.11</c:v>
                </c:pt>
                <c:pt idx="77">
                  <c:v>0.11</c:v>
                </c:pt>
                <c:pt idx="78">
                  <c:v>0.1</c:v>
                </c:pt>
                <c:pt idx="79">
                  <c:v>0.11</c:v>
                </c:pt>
                <c:pt idx="80">
                  <c:v>0.11</c:v>
                </c:pt>
                <c:pt idx="81">
                  <c:v>0.11</c:v>
                </c:pt>
                <c:pt idx="82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7-4887-A3FC-6B419FF1A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Operational Current@1310nm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Operational!$F$1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Operational!$F$2:$F$119</c:f>
              <c:numCache>
                <c:formatCode>General</c:formatCode>
                <c:ptCount val="11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9-41F8-B99F-61303C3F96F6}"/>
            </c:ext>
          </c:extLst>
        </c:ser>
        <c:ser>
          <c:idx val="2"/>
          <c:order val="1"/>
          <c:tx>
            <c:strRef>
              <c:f>Operational!$G$1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Operational!$G$2:$G$119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19-41F8-B99F-61303C3F96F6}"/>
            </c:ext>
          </c:extLst>
        </c:ser>
        <c:ser>
          <c:idx val="0"/>
          <c:order val="2"/>
          <c:tx>
            <c:strRef>
              <c:f>Operational!$D$1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Operational!$D$2:$D$119</c:f>
              <c:numCache>
                <c:formatCode>General</c:formatCode>
                <c:ptCount val="118"/>
                <c:pt idx="0">
                  <c:v>0.08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0.09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0.09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0.09</c:v>
                </c:pt>
                <c:pt idx="27">
                  <c:v>0.1</c:v>
                </c:pt>
                <c:pt idx="28">
                  <c:v>0.1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0.1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0.1</c:v>
                </c:pt>
                <c:pt idx="48">
                  <c:v>0.09</c:v>
                </c:pt>
                <c:pt idx="49">
                  <c:v>0.1</c:v>
                </c:pt>
                <c:pt idx="50">
                  <c:v>0.06</c:v>
                </c:pt>
                <c:pt idx="51">
                  <c:v>0.17</c:v>
                </c:pt>
                <c:pt idx="52">
                  <c:v>7.0000000000000007E-2</c:v>
                </c:pt>
                <c:pt idx="53">
                  <c:v>0.09</c:v>
                </c:pt>
                <c:pt idx="54">
                  <c:v>0.1</c:v>
                </c:pt>
                <c:pt idx="55">
                  <c:v>0.09</c:v>
                </c:pt>
                <c:pt idx="56">
                  <c:v>0.09</c:v>
                </c:pt>
                <c:pt idx="57">
                  <c:v>0.1</c:v>
                </c:pt>
                <c:pt idx="58">
                  <c:v>0.09</c:v>
                </c:pt>
                <c:pt idx="59">
                  <c:v>0.09</c:v>
                </c:pt>
                <c:pt idx="60">
                  <c:v>0.1</c:v>
                </c:pt>
                <c:pt idx="61">
                  <c:v>0.09</c:v>
                </c:pt>
                <c:pt idx="62">
                  <c:v>0.1</c:v>
                </c:pt>
                <c:pt idx="63">
                  <c:v>0.09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0.11</c:v>
                </c:pt>
                <c:pt idx="69">
                  <c:v>0.09</c:v>
                </c:pt>
                <c:pt idx="70">
                  <c:v>0.09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0.11</c:v>
                </c:pt>
                <c:pt idx="78">
                  <c:v>0.1</c:v>
                </c:pt>
                <c:pt idx="79">
                  <c:v>0.11</c:v>
                </c:pt>
                <c:pt idx="80">
                  <c:v>0.11</c:v>
                </c:pt>
                <c:pt idx="81">
                  <c:v>0.1</c:v>
                </c:pt>
                <c:pt idx="82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9-41F8-B99F-61303C3F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@Operational Current@1330nm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Operational!$F$1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Operational!$F$2:$F$119</c:f>
              <c:numCache>
                <c:formatCode>General</c:formatCode>
                <c:ptCount val="11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96-4D33-B3CF-4979B269D685}"/>
            </c:ext>
          </c:extLst>
        </c:ser>
        <c:ser>
          <c:idx val="2"/>
          <c:order val="1"/>
          <c:tx>
            <c:strRef>
              <c:f>Operational!$G$1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Operational!$G$2:$G$119</c:f>
              <c:numCache>
                <c:formatCode>General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96-4D33-B3CF-4979B269D685}"/>
            </c:ext>
          </c:extLst>
        </c:ser>
        <c:ser>
          <c:idx val="0"/>
          <c:order val="2"/>
          <c:tx>
            <c:strRef>
              <c:f>Operational!$E$1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Operational!$A$2:$A$119</c:f>
              <c:numCache>
                <c:formatCode>General</c:formatCode>
                <c:ptCount val="118"/>
                <c:pt idx="0">
                  <c:v>-0.21</c:v>
                </c:pt>
                <c:pt idx="1">
                  <c:v>0.75</c:v>
                </c:pt>
                <c:pt idx="2">
                  <c:v>1.76</c:v>
                </c:pt>
                <c:pt idx="3">
                  <c:v>2.7</c:v>
                </c:pt>
                <c:pt idx="4">
                  <c:v>3.69</c:v>
                </c:pt>
                <c:pt idx="5">
                  <c:v>4.67</c:v>
                </c:pt>
                <c:pt idx="6">
                  <c:v>5.61</c:v>
                </c:pt>
                <c:pt idx="7">
                  <c:v>6.5</c:v>
                </c:pt>
                <c:pt idx="8">
                  <c:v>7.41</c:v>
                </c:pt>
                <c:pt idx="9">
                  <c:v>8.3000000000000007</c:v>
                </c:pt>
                <c:pt idx="10">
                  <c:v>9.17</c:v>
                </c:pt>
                <c:pt idx="11">
                  <c:v>10.050000000000001</c:v>
                </c:pt>
                <c:pt idx="12">
                  <c:v>10.95</c:v>
                </c:pt>
                <c:pt idx="13">
                  <c:v>11.82</c:v>
                </c:pt>
                <c:pt idx="14">
                  <c:v>12.69</c:v>
                </c:pt>
                <c:pt idx="15">
                  <c:v>13.56</c:v>
                </c:pt>
                <c:pt idx="16">
                  <c:v>14.41</c:v>
                </c:pt>
                <c:pt idx="17">
                  <c:v>15.26</c:v>
                </c:pt>
                <c:pt idx="18">
                  <c:v>16.12</c:v>
                </c:pt>
                <c:pt idx="19">
                  <c:v>16.989999999999998</c:v>
                </c:pt>
                <c:pt idx="20">
                  <c:v>17.829999999999998</c:v>
                </c:pt>
                <c:pt idx="21">
                  <c:v>18.68</c:v>
                </c:pt>
                <c:pt idx="22">
                  <c:v>19.5</c:v>
                </c:pt>
                <c:pt idx="23">
                  <c:v>20.36</c:v>
                </c:pt>
                <c:pt idx="24">
                  <c:v>21.21</c:v>
                </c:pt>
                <c:pt idx="25">
                  <c:v>22.08</c:v>
                </c:pt>
                <c:pt idx="26">
                  <c:v>22.97</c:v>
                </c:pt>
                <c:pt idx="27">
                  <c:v>23.82</c:v>
                </c:pt>
                <c:pt idx="28">
                  <c:v>24.62</c:v>
                </c:pt>
                <c:pt idx="29">
                  <c:v>25.45</c:v>
                </c:pt>
                <c:pt idx="30">
                  <c:v>26.29</c:v>
                </c:pt>
                <c:pt idx="31">
                  <c:v>27.11</c:v>
                </c:pt>
                <c:pt idx="32">
                  <c:v>27.99</c:v>
                </c:pt>
                <c:pt idx="33">
                  <c:v>28.8</c:v>
                </c:pt>
                <c:pt idx="34">
                  <c:v>29.64</c:v>
                </c:pt>
                <c:pt idx="35">
                  <c:v>30.49</c:v>
                </c:pt>
                <c:pt idx="36">
                  <c:v>31.32</c:v>
                </c:pt>
                <c:pt idx="37">
                  <c:v>32.159999999999997</c:v>
                </c:pt>
                <c:pt idx="38">
                  <c:v>33.01</c:v>
                </c:pt>
                <c:pt idx="39">
                  <c:v>33.840000000000003</c:v>
                </c:pt>
                <c:pt idx="40">
                  <c:v>34.68</c:v>
                </c:pt>
                <c:pt idx="41">
                  <c:v>35.54</c:v>
                </c:pt>
                <c:pt idx="42">
                  <c:v>36.369999999999997</c:v>
                </c:pt>
                <c:pt idx="43">
                  <c:v>37.21</c:v>
                </c:pt>
                <c:pt idx="44">
                  <c:v>38.04</c:v>
                </c:pt>
                <c:pt idx="45">
                  <c:v>38.9</c:v>
                </c:pt>
                <c:pt idx="46">
                  <c:v>39.75</c:v>
                </c:pt>
                <c:pt idx="47">
                  <c:v>40.58</c:v>
                </c:pt>
                <c:pt idx="48">
                  <c:v>41.42</c:v>
                </c:pt>
                <c:pt idx="49">
                  <c:v>42.24</c:v>
                </c:pt>
                <c:pt idx="50">
                  <c:v>43.48</c:v>
                </c:pt>
                <c:pt idx="51">
                  <c:v>44.27</c:v>
                </c:pt>
                <c:pt idx="52">
                  <c:v>45.09</c:v>
                </c:pt>
                <c:pt idx="53">
                  <c:v>45.94</c:v>
                </c:pt>
                <c:pt idx="54">
                  <c:v>46.76</c:v>
                </c:pt>
                <c:pt idx="55">
                  <c:v>47.6</c:v>
                </c:pt>
                <c:pt idx="56">
                  <c:v>48.45</c:v>
                </c:pt>
                <c:pt idx="57">
                  <c:v>49.28</c:v>
                </c:pt>
                <c:pt idx="58">
                  <c:v>50.12</c:v>
                </c:pt>
                <c:pt idx="59">
                  <c:v>50.94</c:v>
                </c:pt>
                <c:pt idx="60">
                  <c:v>51.77</c:v>
                </c:pt>
                <c:pt idx="61">
                  <c:v>52.62</c:v>
                </c:pt>
                <c:pt idx="62">
                  <c:v>53.45</c:v>
                </c:pt>
                <c:pt idx="63">
                  <c:v>54.29</c:v>
                </c:pt>
                <c:pt idx="64">
                  <c:v>55.14</c:v>
                </c:pt>
                <c:pt idx="65">
                  <c:v>55.97</c:v>
                </c:pt>
                <c:pt idx="66">
                  <c:v>56.81</c:v>
                </c:pt>
                <c:pt idx="67">
                  <c:v>57.67</c:v>
                </c:pt>
                <c:pt idx="68">
                  <c:v>58.45</c:v>
                </c:pt>
                <c:pt idx="69">
                  <c:v>59.3</c:v>
                </c:pt>
                <c:pt idx="70">
                  <c:v>60.16</c:v>
                </c:pt>
                <c:pt idx="71">
                  <c:v>60.95</c:v>
                </c:pt>
                <c:pt idx="72">
                  <c:v>61.75</c:v>
                </c:pt>
                <c:pt idx="73">
                  <c:v>62.57</c:v>
                </c:pt>
                <c:pt idx="74">
                  <c:v>63.41</c:v>
                </c:pt>
                <c:pt idx="75">
                  <c:v>64.27</c:v>
                </c:pt>
                <c:pt idx="76">
                  <c:v>65.099999999999994</c:v>
                </c:pt>
                <c:pt idx="77">
                  <c:v>65.89</c:v>
                </c:pt>
                <c:pt idx="78">
                  <c:v>66.75</c:v>
                </c:pt>
                <c:pt idx="79">
                  <c:v>67.569999999999993</c:v>
                </c:pt>
                <c:pt idx="80">
                  <c:v>68.42</c:v>
                </c:pt>
                <c:pt idx="81">
                  <c:v>69.28</c:v>
                </c:pt>
                <c:pt idx="82">
                  <c:v>70.11</c:v>
                </c:pt>
              </c:numCache>
            </c:numRef>
          </c:xVal>
          <c:yVal>
            <c:numRef>
              <c:f>Operational!$E$2:$E$119</c:f>
              <c:numCache>
                <c:formatCode>General</c:formatCode>
                <c:ptCount val="118"/>
                <c:pt idx="0">
                  <c:v>0.08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0.1</c:v>
                </c:pt>
                <c:pt idx="8">
                  <c:v>0.09</c:v>
                </c:pt>
                <c:pt idx="9">
                  <c:v>0.1</c:v>
                </c:pt>
                <c:pt idx="10">
                  <c:v>0.1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0.1</c:v>
                </c:pt>
                <c:pt idx="16">
                  <c:v>0.1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0.09</c:v>
                </c:pt>
                <c:pt idx="27">
                  <c:v>0.1</c:v>
                </c:pt>
                <c:pt idx="28">
                  <c:v>0.1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0.1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0.1</c:v>
                </c:pt>
                <c:pt idx="43">
                  <c:v>0.09</c:v>
                </c:pt>
                <c:pt idx="44">
                  <c:v>0.1</c:v>
                </c:pt>
                <c:pt idx="45">
                  <c:v>0.1</c:v>
                </c:pt>
                <c:pt idx="46">
                  <c:v>0.09</c:v>
                </c:pt>
                <c:pt idx="47">
                  <c:v>0.1</c:v>
                </c:pt>
                <c:pt idx="48">
                  <c:v>0.09</c:v>
                </c:pt>
                <c:pt idx="49">
                  <c:v>0.09</c:v>
                </c:pt>
                <c:pt idx="50">
                  <c:v>0.06</c:v>
                </c:pt>
                <c:pt idx="51">
                  <c:v>0.18</c:v>
                </c:pt>
                <c:pt idx="52">
                  <c:v>7.0000000000000007E-2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0.09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</c:v>
                </c:pt>
                <c:pt idx="69">
                  <c:v>0.1</c:v>
                </c:pt>
                <c:pt idx="70">
                  <c:v>0.09</c:v>
                </c:pt>
                <c:pt idx="71">
                  <c:v>0.11</c:v>
                </c:pt>
                <c:pt idx="72">
                  <c:v>0.1</c:v>
                </c:pt>
                <c:pt idx="73">
                  <c:v>0.1</c:v>
                </c:pt>
                <c:pt idx="74">
                  <c:v>0.11</c:v>
                </c:pt>
                <c:pt idx="75">
                  <c:v>0.1</c:v>
                </c:pt>
                <c:pt idx="76">
                  <c:v>0.1</c:v>
                </c:pt>
                <c:pt idx="77">
                  <c:v>0.11</c:v>
                </c:pt>
                <c:pt idx="78">
                  <c:v>0.1</c:v>
                </c:pt>
                <c:pt idx="79">
                  <c:v>0.11</c:v>
                </c:pt>
                <c:pt idx="80">
                  <c:v>0.11</c:v>
                </c:pt>
                <c:pt idx="81">
                  <c:v>0.11</c:v>
                </c:pt>
                <c:pt idx="82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96-4D33-B3CF-4979B269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88032"/>
        <c:axId val="141777696"/>
      </c:scatterChart>
      <c:valAx>
        <c:axId val="350088032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696"/>
        <c:crossesAt val="-0.60000000000000009"/>
        <c:crossBetween val="midCat"/>
        <c:majorUnit val="5"/>
      </c:valAx>
      <c:valAx>
        <c:axId val="14177769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803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Maximum Current@1270nm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Maximum!$F$1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Maximum!$F$2:$F$124</c:f>
              <c:numCache>
                <c:formatCode>General</c:formatCode>
                <c:ptCount val="123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6-4621-925D-C3C3E9E3FA6E}"/>
            </c:ext>
          </c:extLst>
        </c:ser>
        <c:ser>
          <c:idx val="1"/>
          <c:order val="1"/>
          <c:tx>
            <c:strRef>
              <c:f>Maximum!$G$1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Maximum!$G$2:$G$124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56-4621-925D-C3C3E9E3FA6E}"/>
            </c:ext>
          </c:extLst>
        </c:ser>
        <c:ser>
          <c:idx val="2"/>
          <c:order val="2"/>
          <c:tx>
            <c:strRef>
              <c:f>Maximum!$B$1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Maximum!$A$3:$A$124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xVal>
          <c:yVal>
            <c:numRef>
              <c:f>Maximum!$B$3:$B$124</c:f>
              <c:numCache>
                <c:formatCode>General</c:formatCode>
                <c:ptCount val="122"/>
                <c:pt idx="0">
                  <c:v>0.09</c:v>
                </c:pt>
                <c:pt idx="1">
                  <c:v>0.11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0.09</c:v>
                </c:pt>
                <c:pt idx="9">
                  <c:v>0.11</c:v>
                </c:pt>
                <c:pt idx="10">
                  <c:v>0.1</c:v>
                </c:pt>
                <c:pt idx="11">
                  <c:v>0.1</c:v>
                </c:pt>
                <c:pt idx="12">
                  <c:v>0.09</c:v>
                </c:pt>
                <c:pt idx="13">
                  <c:v>0.1</c:v>
                </c:pt>
                <c:pt idx="14">
                  <c:v>0.11</c:v>
                </c:pt>
                <c:pt idx="15">
                  <c:v>0.1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0.11</c:v>
                </c:pt>
                <c:pt idx="25">
                  <c:v>7.0000000000000007E-2</c:v>
                </c:pt>
                <c:pt idx="26">
                  <c:v>0.11</c:v>
                </c:pt>
                <c:pt idx="27">
                  <c:v>0.09</c:v>
                </c:pt>
                <c:pt idx="28">
                  <c:v>0.1</c:v>
                </c:pt>
                <c:pt idx="29">
                  <c:v>0.1</c:v>
                </c:pt>
                <c:pt idx="30">
                  <c:v>0.09</c:v>
                </c:pt>
                <c:pt idx="31">
                  <c:v>0.09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0.08</c:v>
                </c:pt>
                <c:pt idx="36">
                  <c:v>0.09</c:v>
                </c:pt>
                <c:pt idx="37">
                  <c:v>0.1</c:v>
                </c:pt>
                <c:pt idx="38">
                  <c:v>0.1</c:v>
                </c:pt>
                <c:pt idx="39">
                  <c:v>0.09</c:v>
                </c:pt>
                <c:pt idx="40">
                  <c:v>0.1</c:v>
                </c:pt>
                <c:pt idx="41">
                  <c:v>0.09</c:v>
                </c:pt>
                <c:pt idx="42">
                  <c:v>0.09</c:v>
                </c:pt>
                <c:pt idx="43">
                  <c:v>0.09</c:v>
                </c:pt>
                <c:pt idx="44">
                  <c:v>0.1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0.1</c:v>
                </c:pt>
                <c:pt idx="49">
                  <c:v>0.09</c:v>
                </c:pt>
                <c:pt idx="50">
                  <c:v>0.1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0.1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0.1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0.1</c:v>
                </c:pt>
                <c:pt idx="64">
                  <c:v>0.09</c:v>
                </c:pt>
                <c:pt idx="65">
                  <c:v>0.1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0.09</c:v>
                </c:pt>
                <c:pt idx="70">
                  <c:v>0.1</c:v>
                </c:pt>
                <c:pt idx="71">
                  <c:v>0.09</c:v>
                </c:pt>
                <c:pt idx="72">
                  <c:v>0.1</c:v>
                </c:pt>
                <c:pt idx="73">
                  <c:v>0.09</c:v>
                </c:pt>
                <c:pt idx="74">
                  <c:v>0.09</c:v>
                </c:pt>
                <c:pt idx="75">
                  <c:v>0.09</c:v>
                </c:pt>
                <c:pt idx="76">
                  <c:v>0.1</c:v>
                </c:pt>
                <c:pt idx="77">
                  <c:v>0.09</c:v>
                </c:pt>
                <c:pt idx="78">
                  <c:v>0.1</c:v>
                </c:pt>
                <c:pt idx="79">
                  <c:v>0.09</c:v>
                </c:pt>
                <c:pt idx="80">
                  <c:v>0.11</c:v>
                </c:pt>
                <c:pt idx="81">
                  <c:v>0.09</c:v>
                </c:pt>
                <c:pt idx="82">
                  <c:v>0.09</c:v>
                </c:pt>
                <c:pt idx="83">
                  <c:v>0.09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56-4621-925D-C3C3E9E3F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67920"/>
        <c:axId val="356968640"/>
      </c:scatterChart>
      <c:valAx>
        <c:axId val="36436792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8640"/>
        <c:crossesAt val="-0.60000000000000009"/>
        <c:crossBetween val="midCat"/>
        <c:majorUnit val="5"/>
      </c:valAx>
      <c:valAx>
        <c:axId val="356968640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6792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Maximum Current@1290nm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Maximum!$F$1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Maximum!$F$2:$F$124</c:f>
              <c:numCache>
                <c:formatCode>General</c:formatCode>
                <c:ptCount val="123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2-4D49-AEEA-2AFE55CF5230}"/>
            </c:ext>
          </c:extLst>
        </c:ser>
        <c:ser>
          <c:idx val="1"/>
          <c:order val="1"/>
          <c:tx>
            <c:strRef>
              <c:f>Maximum!$G$1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Maximum!$G$2:$G$124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2-4D49-AEEA-2AFE55CF5230}"/>
            </c:ext>
          </c:extLst>
        </c:ser>
        <c:ser>
          <c:idx val="2"/>
          <c:order val="2"/>
          <c:tx>
            <c:strRef>
              <c:f>Maximum!$C$1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Maximum!$A$3:$A$124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xVal>
          <c:yVal>
            <c:numRef>
              <c:f>Maximum!$C$3:$C$124</c:f>
              <c:numCache>
                <c:formatCode>General</c:formatCode>
                <c:ptCount val="122"/>
                <c:pt idx="0">
                  <c:v>0.09</c:v>
                </c:pt>
                <c:pt idx="1">
                  <c:v>0.11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0.11</c:v>
                </c:pt>
                <c:pt idx="6">
                  <c:v>0.1</c:v>
                </c:pt>
                <c:pt idx="7">
                  <c:v>0.1</c:v>
                </c:pt>
                <c:pt idx="8">
                  <c:v>0.09</c:v>
                </c:pt>
                <c:pt idx="9">
                  <c:v>0.11</c:v>
                </c:pt>
                <c:pt idx="10">
                  <c:v>0.11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0.11</c:v>
                </c:pt>
                <c:pt idx="15">
                  <c:v>0.1</c:v>
                </c:pt>
                <c:pt idx="16">
                  <c:v>0.09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0.09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0.12</c:v>
                </c:pt>
                <c:pt idx="25">
                  <c:v>7.0000000000000007E-2</c:v>
                </c:pt>
                <c:pt idx="26">
                  <c:v>0.1</c:v>
                </c:pt>
                <c:pt idx="27">
                  <c:v>0.09</c:v>
                </c:pt>
                <c:pt idx="28">
                  <c:v>0.1</c:v>
                </c:pt>
                <c:pt idx="29">
                  <c:v>0.1</c:v>
                </c:pt>
                <c:pt idx="30">
                  <c:v>0.09</c:v>
                </c:pt>
                <c:pt idx="31">
                  <c:v>0.09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0.08</c:v>
                </c:pt>
                <c:pt idx="36">
                  <c:v>0.09</c:v>
                </c:pt>
                <c:pt idx="37">
                  <c:v>0.1</c:v>
                </c:pt>
                <c:pt idx="38">
                  <c:v>0.11</c:v>
                </c:pt>
                <c:pt idx="39">
                  <c:v>0.1</c:v>
                </c:pt>
                <c:pt idx="40">
                  <c:v>0.1</c:v>
                </c:pt>
                <c:pt idx="41">
                  <c:v>0.09</c:v>
                </c:pt>
                <c:pt idx="42">
                  <c:v>0.1</c:v>
                </c:pt>
                <c:pt idx="43">
                  <c:v>0.09</c:v>
                </c:pt>
                <c:pt idx="44">
                  <c:v>0.1</c:v>
                </c:pt>
                <c:pt idx="45">
                  <c:v>0.1</c:v>
                </c:pt>
                <c:pt idx="46">
                  <c:v>0.09</c:v>
                </c:pt>
                <c:pt idx="47">
                  <c:v>0.09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0.1</c:v>
                </c:pt>
                <c:pt idx="55">
                  <c:v>0.1</c:v>
                </c:pt>
                <c:pt idx="56">
                  <c:v>0.09</c:v>
                </c:pt>
                <c:pt idx="57">
                  <c:v>0.09</c:v>
                </c:pt>
                <c:pt idx="58">
                  <c:v>0.1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0.09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</c:v>
                </c:pt>
                <c:pt idx="69">
                  <c:v>0.09</c:v>
                </c:pt>
                <c:pt idx="70">
                  <c:v>0.1</c:v>
                </c:pt>
                <c:pt idx="71">
                  <c:v>0.09</c:v>
                </c:pt>
                <c:pt idx="72">
                  <c:v>0.1</c:v>
                </c:pt>
                <c:pt idx="73">
                  <c:v>0.09</c:v>
                </c:pt>
                <c:pt idx="74">
                  <c:v>0.09</c:v>
                </c:pt>
                <c:pt idx="75">
                  <c:v>0.09</c:v>
                </c:pt>
                <c:pt idx="76">
                  <c:v>0.1</c:v>
                </c:pt>
                <c:pt idx="77">
                  <c:v>0.09</c:v>
                </c:pt>
                <c:pt idx="78">
                  <c:v>0.1</c:v>
                </c:pt>
                <c:pt idx="79">
                  <c:v>0.09</c:v>
                </c:pt>
                <c:pt idx="80">
                  <c:v>0.11</c:v>
                </c:pt>
                <c:pt idx="81">
                  <c:v>0.09</c:v>
                </c:pt>
                <c:pt idx="82">
                  <c:v>0.1</c:v>
                </c:pt>
                <c:pt idx="83">
                  <c:v>0.1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22-4D49-AEEA-2AFE55CF5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67920"/>
        <c:axId val="356968640"/>
      </c:scatterChart>
      <c:valAx>
        <c:axId val="36436792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8640"/>
        <c:crossesAt val="-0.60000000000000009"/>
        <c:crossBetween val="midCat"/>
        <c:majorUnit val="5"/>
      </c:valAx>
      <c:valAx>
        <c:axId val="356968640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6792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Maximum Current@1310nm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Maximum!$F$1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Maximum!$F$2:$F$124</c:f>
              <c:numCache>
                <c:formatCode>General</c:formatCode>
                <c:ptCount val="123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1-476A-AAEE-54438A590301}"/>
            </c:ext>
          </c:extLst>
        </c:ser>
        <c:ser>
          <c:idx val="1"/>
          <c:order val="1"/>
          <c:tx>
            <c:strRef>
              <c:f>Maximum!$G$1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Maximum!$G$2:$G$124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1-476A-AAEE-54438A590301}"/>
            </c:ext>
          </c:extLst>
        </c:ser>
        <c:ser>
          <c:idx val="2"/>
          <c:order val="2"/>
          <c:tx>
            <c:strRef>
              <c:f>Maximum!$D$1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Maximum!$A$3:$A$124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xVal>
          <c:yVal>
            <c:numRef>
              <c:f>Maximum!$D$3:$D$124</c:f>
              <c:numCache>
                <c:formatCode>General</c:formatCode>
                <c:ptCount val="122"/>
                <c:pt idx="0">
                  <c:v>0.09</c:v>
                </c:pt>
                <c:pt idx="1">
                  <c:v>0.11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0.09</c:v>
                </c:pt>
                <c:pt idx="9">
                  <c:v>0.11</c:v>
                </c:pt>
                <c:pt idx="10">
                  <c:v>0.1</c:v>
                </c:pt>
                <c:pt idx="11">
                  <c:v>0.1</c:v>
                </c:pt>
                <c:pt idx="12">
                  <c:v>0.09</c:v>
                </c:pt>
                <c:pt idx="13">
                  <c:v>0.1</c:v>
                </c:pt>
                <c:pt idx="14">
                  <c:v>0.1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0.11</c:v>
                </c:pt>
                <c:pt idx="25">
                  <c:v>7.0000000000000007E-2</c:v>
                </c:pt>
                <c:pt idx="26">
                  <c:v>0.1</c:v>
                </c:pt>
                <c:pt idx="27">
                  <c:v>0.09</c:v>
                </c:pt>
                <c:pt idx="28">
                  <c:v>0.1</c:v>
                </c:pt>
                <c:pt idx="29">
                  <c:v>0.1</c:v>
                </c:pt>
                <c:pt idx="30">
                  <c:v>0.09</c:v>
                </c:pt>
                <c:pt idx="31">
                  <c:v>0.09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0.08</c:v>
                </c:pt>
                <c:pt idx="36">
                  <c:v>0.09</c:v>
                </c:pt>
                <c:pt idx="37">
                  <c:v>0.1</c:v>
                </c:pt>
                <c:pt idx="38">
                  <c:v>0.1</c:v>
                </c:pt>
                <c:pt idx="39">
                  <c:v>0.09</c:v>
                </c:pt>
                <c:pt idx="40">
                  <c:v>0.1</c:v>
                </c:pt>
                <c:pt idx="41">
                  <c:v>0.09</c:v>
                </c:pt>
                <c:pt idx="42">
                  <c:v>0.09</c:v>
                </c:pt>
                <c:pt idx="43">
                  <c:v>0.1</c:v>
                </c:pt>
                <c:pt idx="44">
                  <c:v>0.1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0.1</c:v>
                </c:pt>
                <c:pt idx="49">
                  <c:v>0.09</c:v>
                </c:pt>
                <c:pt idx="50">
                  <c:v>0.1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0.1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0.1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0.09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</c:v>
                </c:pt>
                <c:pt idx="69">
                  <c:v>0.09</c:v>
                </c:pt>
                <c:pt idx="70">
                  <c:v>0.1</c:v>
                </c:pt>
                <c:pt idx="71">
                  <c:v>0.09</c:v>
                </c:pt>
                <c:pt idx="72">
                  <c:v>0.1</c:v>
                </c:pt>
                <c:pt idx="73">
                  <c:v>0.09</c:v>
                </c:pt>
                <c:pt idx="74">
                  <c:v>0.09</c:v>
                </c:pt>
                <c:pt idx="75">
                  <c:v>0.09</c:v>
                </c:pt>
                <c:pt idx="76">
                  <c:v>0.1</c:v>
                </c:pt>
                <c:pt idx="77">
                  <c:v>0.09</c:v>
                </c:pt>
                <c:pt idx="78">
                  <c:v>0.1</c:v>
                </c:pt>
                <c:pt idx="79">
                  <c:v>0.09</c:v>
                </c:pt>
                <c:pt idx="80">
                  <c:v>0.11</c:v>
                </c:pt>
                <c:pt idx="81">
                  <c:v>0.08</c:v>
                </c:pt>
                <c:pt idx="82">
                  <c:v>0.09</c:v>
                </c:pt>
                <c:pt idx="83">
                  <c:v>0.1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1-476A-AAEE-54438A590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67920"/>
        <c:axId val="356968640"/>
      </c:scatterChart>
      <c:valAx>
        <c:axId val="36436792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8640"/>
        <c:crossesAt val="-0.60000000000000009"/>
        <c:crossBetween val="midCat"/>
        <c:majorUnit val="5"/>
      </c:valAx>
      <c:valAx>
        <c:axId val="356968640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6792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Maximum Current@1330nm</a:t>
            </a:r>
            <a:endParaRPr lang="zh-TW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Maximum!$F$1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Maximum!$F$2:$F$124</c:f>
              <c:numCache>
                <c:formatCode>General</c:formatCode>
                <c:ptCount val="123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A-4A49-9416-A1691E327240}"/>
            </c:ext>
          </c:extLst>
        </c:ser>
        <c:ser>
          <c:idx val="1"/>
          <c:order val="1"/>
          <c:tx>
            <c:strRef>
              <c:f>Maximum!$G$1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Maximum!$A$2:$A$124</c:f>
              <c:numCache>
                <c:formatCode>General</c:formatCode>
                <c:ptCount val="123"/>
                <c:pt idx="1">
                  <c:v>69.81</c:v>
                </c:pt>
                <c:pt idx="2">
                  <c:v>69</c:v>
                </c:pt>
                <c:pt idx="3">
                  <c:v>68.02</c:v>
                </c:pt>
                <c:pt idx="4">
                  <c:v>67.13</c:v>
                </c:pt>
                <c:pt idx="5">
                  <c:v>66.209999999999994</c:v>
                </c:pt>
                <c:pt idx="6">
                  <c:v>65.36</c:v>
                </c:pt>
                <c:pt idx="7">
                  <c:v>64.48</c:v>
                </c:pt>
                <c:pt idx="8">
                  <c:v>63.61</c:v>
                </c:pt>
                <c:pt idx="9">
                  <c:v>62.67</c:v>
                </c:pt>
                <c:pt idx="10">
                  <c:v>61.85</c:v>
                </c:pt>
                <c:pt idx="11">
                  <c:v>60.99</c:v>
                </c:pt>
                <c:pt idx="12">
                  <c:v>60.11</c:v>
                </c:pt>
                <c:pt idx="13">
                  <c:v>59.21</c:v>
                </c:pt>
                <c:pt idx="14">
                  <c:v>58.36</c:v>
                </c:pt>
                <c:pt idx="15">
                  <c:v>57.54</c:v>
                </c:pt>
                <c:pt idx="16">
                  <c:v>56.68</c:v>
                </c:pt>
                <c:pt idx="17">
                  <c:v>55.84</c:v>
                </c:pt>
                <c:pt idx="18">
                  <c:v>55.01</c:v>
                </c:pt>
                <c:pt idx="19">
                  <c:v>54.16</c:v>
                </c:pt>
                <c:pt idx="20">
                  <c:v>53.32</c:v>
                </c:pt>
                <c:pt idx="21">
                  <c:v>52.46</c:v>
                </c:pt>
                <c:pt idx="22">
                  <c:v>51.61</c:v>
                </c:pt>
                <c:pt idx="23">
                  <c:v>50.75</c:v>
                </c:pt>
                <c:pt idx="24">
                  <c:v>49.93</c:v>
                </c:pt>
                <c:pt idx="25">
                  <c:v>49.2</c:v>
                </c:pt>
                <c:pt idx="26">
                  <c:v>48.12</c:v>
                </c:pt>
                <c:pt idx="27">
                  <c:v>47.27</c:v>
                </c:pt>
                <c:pt idx="28">
                  <c:v>46.4</c:v>
                </c:pt>
                <c:pt idx="29">
                  <c:v>45.59</c:v>
                </c:pt>
                <c:pt idx="30">
                  <c:v>44.75</c:v>
                </c:pt>
                <c:pt idx="31">
                  <c:v>43.89</c:v>
                </c:pt>
                <c:pt idx="32">
                  <c:v>43.07</c:v>
                </c:pt>
                <c:pt idx="33">
                  <c:v>42.24</c:v>
                </c:pt>
                <c:pt idx="34">
                  <c:v>41.42</c:v>
                </c:pt>
                <c:pt idx="35">
                  <c:v>40.64</c:v>
                </c:pt>
                <c:pt idx="36">
                  <c:v>39.72</c:v>
                </c:pt>
                <c:pt idx="37">
                  <c:v>38.81</c:v>
                </c:pt>
                <c:pt idx="38">
                  <c:v>37.950000000000003</c:v>
                </c:pt>
                <c:pt idx="39">
                  <c:v>37.119999999999997</c:v>
                </c:pt>
                <c:pt idx="40">
                  <c:v>36.28</c:v>
                </c:pt>
                <c:pt idx="41">
                  <c:v>35.450000000000003</c:v>
                </c:pt>
                <c:pt idx="42">
                  <c:v>34.619999999999997</c:v>
                </c:pt>
                <c:pt idx="43">
                  <c:v>33.79</c:v>
                </c:pt>
                <c:pt idx="44">
                  <c:v>32.950000000000003</c:v>
                </c:pt>
                <c:pt idx="45">
                  <c:v>32.11</c:v>
                </c:pt>
                <c:pt idx="46">
                  <c:v>31.29</c:v>
                </c:pt>
                <c:pt idx="47">
                  <c:v>30.43</c:v>
                </c:pt>
                <c:pt idx="48">
                  <c:v>29.59</c:v>
                </c:pt>
                <c:pt idx="49">
                  <c:v>28.74</c:v>
                </c:pt>
                <c:pt idx="50">
                  <c:v>27.91</c:v>
                </c:pt>
                <c:pt idx="51">
                  <c:v>27.08</c:v>
                </c:pt>
                <c:pt idx="52">
                  <c:v>26.24</c:v>
                </c:pt>
                <c:pt idx="53">
                  <c:v>25.4</c:v>
                </c:pt>
                <c:pt idx="54">
                  <c:v>24.52</c:v>
                </c:pt>
                <c:pt idx="55">
                  <c:v>23.69</c:v>
                </c:pt>
                <c:pt idx="56">
                  <c:v>22.87</c:v>
                </c:pt>
                <c:pt idx="57">
                  <c:v>22.03</c:v>
                </c:pt>
                <c:pt idx="58">
                  <c:v>21.19</c:v>
                </c:pt>
                <c:pt idx="59">
                  <c:v>20.36</c:v>
                </c:pt>
                <c:pt idx="60">
                  <c:v>19.53</c:v>
                </c:pt>
                <c:pt idx="61">
                  <c:v>18.68</c:v>
                </c:pt>
                <c:pt idx="62">
                  <c:v>17.86</c:v>
                </c:pt>
                <c:pt idx="63">
                  <c:v>17.010000000000002</c:v>
                </c:pt>
                <c:pt idx="64">
                  <c:v>16.22</c:v>
                </c:pt>
                <c:pt idx="65">
                  <c:v>15.38</c:v>
                </c:pt>
                <c:pt idx="66">
                  <c:v>14.57</c:v>
                </c:pt>
                <c:pt idx="67">
                  <c:v>13.78</c:v>
                </c:pt>
                <c:pt idx="68">
                  <c:v>12.93</c:v>
                </c:pt>
                <c:pt idx="69">
                  <c:v>12.11</c:v>
                </c:pt>
                <c:pt idx="70">
                  <c:v>11.26</c:v>
                </c:pt>
                <c:pt idx="71">
                  <c:v>10.44</c:v>
                </c:pt>
                <c:pt idx="72">
                  <c:v>9.61</c:v>
                </c:pt>
                <c:pt idx="73">
                  <c:v>8.81</c:v>
                </c:pt>
                <c:pt idx="74">
                  <c:v>7.98</c:v>
                </c:pt>
                <c:pt idx="75">
                  <c:v>7.17</c:v>
                </c:pt>
                <c:pt idx="76">
                  <c:v>6.33</c:v>
                </c:pt>
                <c:pt idx="77">
                  <c:v>5.54</c:v>
                </c:pt>
                <c:pt idx="78">
                  <c:v>4.6900000000000004</c:v>
                </c:pt>
                <c:pt idx="79">
                  <c:v>3.91</c:v>
                </c:pt>
                <c:pt idx="80">
                  <c:v>3.06</c:v>
                </c:pt>
                <c:pt idx="81">
                  <c:v>2.2999999999999998</c:v>
                </c:pt>
                <c:pt idx="82">
                  <c:v>1.45</c:v>
                </c:pt>
                <c:pt idx="83">
                  <c:v>0.65</c:v>
                </c:pt>
                <c:pt idx="84">
                  <c:v>-0.16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Maximum!$G$2:$G$124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A-4A49-9416-A1691E327240}"/>
            </c:ext>
          </c:extLst>
        </c:ser>
        <c:ser>
          <c:idx val="2"/>
          <c:order val="2"/>
          <c:tx>
            <c:strRef>
              <c:f>Maximum!$E$1</c:f>
              <c:strCache>
                <c:ptCount val="1"/>
                <c:pt idx="0">
                  <c:v>dWL/dT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Maximum!$A$3:$A$124</c:f>
              <c:numCache>
                <c:formatCode>General</c:formatCode>
                <c:ptCount val="122"/>
                <c:pt idx="0">
                  <c:v>69.81</c:v>
                </c:pt>
                <c:pt idx="1">
                  <c:v>69</c:v>
                </c:pt>
                <c:pt idx="2">
                  <c:v>68.02</c:v>
                </c:pt>
                <c:pt idx="3">
                  <c:v>67.13</c:v>
                </c:pt>
                <c:pt idx="4">
                  <c:v>66.209999999999994</c:v>
                </c:pt>
                <c:pt idx="5">
                  <c:v>65.36</c:v>
                </c:pt>
                <c:pt idx="6">
                  <c:v>64.48</c:v>
                </c:pt>
                <c:pt idx="7">
                  <c:v>63.61</c:v>
                </c:pt>
                <c:pt idx="8">
                  <c:v>62.67</c:v>
                </c:pt>
                <c:pt idx="9">
                  <c:v>61.85</c:v>
                </c:pt>
                <c:pt idx="10">
                  <c:v>60.99</c:v>
                </c:pt>
                <c:pt idx="11">
                  <c:v>60.11</c:v>
                </c:pt>
                <c:pt idx="12">
                  <c:v>59.21</c:v>
                </c:pt>
                <c:pt idx="13">
                  <c:v>58.36</c:v>
                </c:pt>
                <c:pt idx="14">
                  <c:v>57.54</c:v>
                </c:pt>
                <c:pt idx="15">
                  <c:v>56.68</c:v>
                </c:pt>
                <c:pt idx="16">
                  <c:v>55.84</c:v>
                </c:pt>
                <c:pt idx="17">
                  <c:v>55.01</c:v>
                </c:pt>
                <c:pt idx="18">
                  <c:v>54.16</c:v>
                </c:pt>
                <c:pt idx="19">
                  <c:v>53.32</c:v>
                </c:pt>
                <c:pt idx="20">
                  <c:v>52.46</c:v>
                </c:pt>
                <c:pt idx="21">
                  <c:v>51.61</c:v>
                </c:pt>
                <c:pt idx="22">
                  <c:v>50.75</c:v>
                </c:pt>
                <c:pt idx="23">
                  <c:v>49.93</c:v>
                </c:pt>
                <c:pt idx="24">
                  <c:v>49.2</c:v>
                </c:pt>
                <c:pt idx="25">
                  <c:v>48.12</c:v>
                </c:pt>
                <c:pt idx="26">
                  <c:v>47.27</c:v>
                </c:pt>
                <c:pt idx="27">
                  <c:v>46.4</c:v>
                </c:pt>
                <c:pt idx="28">
                  <c:v>45.59</c:v>
                </c:pt>
                <c:pt idx="29">
                  <c:v>44.75</c:v>
                </c:pt>
                <c:pt idx="30">
                  <c:v>43.89</c:v>
                </c:pt>
                <c:pt idx="31">
                  <c:v>43.07</c:v>
                </c:pt>
                <c:pt idx="32">
                  <c:v>42.24</c:v>
                </c:pt>
                <c:pt idx="33">
                  <c:v>41.42</c:v>
                </c:pt>
                <c:pt idx="34">
                  <c:v>40.64</c:v>
                </c:pt>
                <c:pt idx="35">
                  <c:v>39.72</c:v>
                </c:pt>
                <c:pt idx="36">
                  <c:v>38.81</c:v>
                </c:pt>
                <c:pt idx="37">
                  <c:v>37.950000000000003</c:v>
                </c:pt>
                <c:pt idx="38">
                  <c:v>37.119999999999997</c:v>
                </c:pt>
                <c:pt idx="39">
                  <c:v>36.28</c:v>
                </c:pt>
                <c:pt idx="40">
                  <c:v>35.450000000000003</c:v>
                </c:pt>
                <c:pt idx="41">
                  <c:v>34.619999999999997</c:v>
                </c:pt>
                <c:pt idx="42">
                  <c:v>33.79</c:v>
                </c:pt>
                <c:pt idx="43">
                  <c:v>32.950000000000003</c:v>
                </c:pt>
                <c:pt idx="44">
                  <c:v>32.11</c:v>
                </c:pt>
                <c:pt idx="45">
                  <c:v>31.29</c:v>
                </c:pt>
                <c:pt idx="46">
                  <c:v>30.43</c:v>
                </c:pt>
                <c:pt idx="47">
                  <c:v>29.59</c:v>
                </c:pt>
                <c:pt idx="48">
                  <c:v>28.74</c:v>
                </c:pt>
                <c:pt idx="49">
                  <c:v>27.91</c:v>
                </c:pt>
                <c:pt idx="50">
                  <c:v>27.08</c:v>
                </c:pt>
                <c:pt idx="51">
                  <c:v>26.24</c:v>
                </c:pt>
                <c:pt idx="52">
                  <c:v>25.4</c:v>
                </c:pt>
                <c:pt idx="53">
                  <c:v>24.52</c:v>
                </c:pt>
                <c:pt idx="54">
                  <c:v>23.69</c:v>
                </c:pt>
                <c:pt idx="55">
                  <c:v>22.87</c:v>
                </c:pt>
                <c:pt idx="56">
                  <c:v>22.03</c:v>
                </c:pt>
                <c:pt idx="57">
                  <c:v>21.19</c:v>
                </c:pt>
                <c:pt idx="58">
                  <c:v>20.36</c:v>
                </c:pt>
                <c:pt idx="59">
                  <c:v>19.53</c:v>
                </c:pt>
                <c:pt idx="60">
                  <c:v>18.68</c:v>
                </c:pt>
                <c:pt idx="61">
                  <c:v>17.86</c:v>
                </c:pt>
                <c:pt idx="62">
                  <c:v>17.010000000000002</c:v>
                </c:pt>
                <c:pt idx="63">
                  <c:v>16.22</c:v>
                </c:pt>
                <c:pt idx="64">
                  <c:v>15.38</c:v>
                </c:pt>
                <c:pt idx="65">
                  <c:v>14.57</c:v>
                </c:pt>
                <c:pt idx="66">
                  <c:v>13.78</c:v>
                </c:pt>
                <c:pt idx="67">
                  <c:v>12.93</c:v>
                </c:pt>
                <c:pt idx="68">
                  <c:v>12.11</c:v>
                </c:pt>
                <c:pt idx="69">
                  <c:v>11.26</c:v>
                </c:pt>
                <c:pt idx="70">
                  <c:v>10.44</c:v>
                </c:pt>
                <c:pt idx="71">
                  <c:v>9.61</c:v>
                </c:pt>
                <c:pt idx="72">
                  <c:v>8.81</c:v>
                </c:pt>
                <c:pt idx="73">
                  <c:v>7.98</c:v>
                </c:pt>
                <c:pt idx="74">
                  <c:v>7.17</c:v>
                </c:pt>
                <c:pt idx="75">
                  <c:v>6.33</c:v>
                </c:pt>
                <c:pt idx="76">
                  <c:v>5.54</c:v>
                </c:pt>
                <c:pt idx="77">
                  <c:v>4.6900000000000004</c:v>
                </c:pt>
                <c:pt idx="78">
                  <c:v>3.91</c:v>
                </c:pt>
                <c:pt idx="79">
                  <c:v>3.06</c:v>
                </c:pt>
                <c:pt idx="80">
                  <c:v>2.2999999999999998</c:v>
                </c:pt>
                <c:pt idx="81">
                  <c:v>1.45</c:v>
                </c:pt>
                <c:pt idx="82">
                  <c:v>0.65</c:v>
                </c:pt>
                <c:pt idx="83">
                  <c:v>-0.16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xVal>
          <c:yVal>
            <c:numRef>
              <c:f>Maximum!$E$3:$E$124</c:f>
              <c:numCache>
                <c:formatCode>General</c:formatCode>
                <c:ptCount val="122"/>
                <c:pt idx="0">
                  <c:v>0.09</c:v>
                </c:pt>
                <c:pt idx="1">
                  <c:v>0.11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0.11</c:v>
                </c:pt>
                <c:pt idx="6">
                  <c:v>0.1</c:v>
                </c:pt>
                <c:pt idx="7">
                  <c:v>0.1</c:v>
                </c:pt>
                <c:pt idx="8">
                  <c:v>0.09</c:v>
                </c:pt>
                <c:pt idx="9">
                  <c:v>0.11</c:v>
                </c:pt>
                <c:pt idx="10">
                  <c:v>0.1</c:v>
                </c:pt>
                <c:pt idx="11">
                  <c:v>0.1</c:v>
                </c:pt>
                <c:pt idx="12">
                  <c:v>0.09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0.09</c:v>
                </c:pt>
                <c:pt idx="17">
                  <c:v>0.1</c:v>
                </c:pt>
                <c:pt idx="18">
                  <c:v>0.09</c:v>
                </c:pt>
                <c:pt idx="19">
                  <c:v>0.1</c:v>
                </c:pt>
                <c:pt idx="20">
                  <c:v>0.1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0.11</c:v>
                </c:pt>
                <c:pt idx="25">
                  <c:v>7.0000000000000007E-2</c:v>
                </c:pt>
                <c:pt idx="26">
                  <c:v>0.1</c:v>
                </c:pt>
                <c:pt idx="27">
                  <c:v>0.09</c:v>
                </c:pt>
                <c:pt idx="28">
                  <c:v>0.1</c:v>
                </c:pt>
                <c:pt idx="29">
                  <c:v>0.1</c:v>
                </c:pt>
                <c:pt idx="30">
                  <c:v>0.09</c:v>
                </c:pt>
                <c:pt idx="31">
                  <c:v>0.1</c:v>
                </c:pt>
                <c:pt idx="32">
                  <c:v>0.1</c:v>
                </c:pt>
                <c:pt idx="33">
                  <c:v>0.09</c:v>
                </c:pt>
                <c:pt idx="34">
                  <c:v>0.1</c:v>
                </c:pt>
                <c:pt idx="35">
                  <c:v>0.09</c:v>
                </c:pt>
                <c:pt idx="36">
                  <c:v>0.09</c:v>
                </c:pt>
                <c:pt idx="37">
                  <c:v>0.1</c:v>
                </c:pt>
                <c:pt idx="38">
                  <c:v>0.11</c:v>
                </c:pt>
                <c:pt idx="39">
                  <c:v>0.09</c:v>
                </c:pt>
                <c:pt idx="40">
                  <c:v>0.1</c:v>
                </c:pt>
                <c:pt idx="41">
                  <c:v>0.09</c:v>
                </c:pt>
                <c:pt idx="42">
                  <c:v>0.1</c:v>
                </c:pt>
                <c:pt idx="43">
                  <c:v>0.1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0.09</c:v>
                </c:pt>
                <c:pt idx="52">
                  <c:v>0.1</c:v>
                </c:pt>
                <c:pt idx="53">
                  <c:v>0.09</c:v>
                </c:pt>
                <c:pt idx="54">
                  <c:v>0.1</c:v>
                </c:pt>
                <c:pt idx="55">
                  <c:v>0.1</c:v>
                </c:pt>
                <c:pt idx="56">
                  <c:v>0.09</c:v>
                </c:pt>
                <c:pt idx="57">
                  <c:v>0.09</c:v>
                </c:pt>
                <c:pt idx="58">
                  <c:v>0.1</c:v>
                </c:pt>
                <c:pt idx="59">
                  <c:v>0.09</c:v>
                </c:pt>
                <c:pt idx="60">
                  <c:v>0.09</c:v>
                </c:pt>
                <c:pt idx="61">
                  <c:v>0.09</c:v>
                </c:pt>
                <c:pt idx="62">
                  <c:v>0.09</c:v>
                </c:pt>
                <c:pt idx="63">
                  <c:v>0.1</c:v>
                </c:pt>
                <c:pt idx="64">
                  <c:v>0.09</c:v>
                </c:pt>
                <c:pt idx="65">
                  <c:v>0.1</c:v>
                </c:pt>
                <c:pt idx="66">
                  <c:v>0.1</c:v>
                </c:pt>
                <c:pt idx="67">
                  <c:v>0.09</c:v>
                </c:pt>
                <c:pt idx="68">
                  <c:v>0.1</c:v>
                </c:pt>
                <c:pt idx="69">
                  <c:v>0.09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0.09</c:v>
                </c:pt>
                <c:pt idx="74">
                  <c:v>0.1</c:v>
                </c:pt>
                <c:pt idx="75">
                  <c:v>0.09</c:v>
                </c:pt>
                <c:pt idx="76">
                  <c:v>0.1</c:v>
                </c:pt>
                <c:pt idx="77">
                  <c:v>0.09</c:v>
                </c:pt>
                <c:pt idx="78">
                  <c:v>0.1</c:v>
                </c:pt>
                <c:pt idx="79">
                  <c:v>0.09</c:v>
                </c:pt>
                <c:pt idx="80">
                  <c:v>0.11</c:v>
                </c:pt>
                <c:pt idx="81">
                  <c:v>0.09</c:v>
                </c:pt>
                <c:pt idx="82">
                  <c:v>0.1</c:v>
                </c:pt>
                <c:pt idx="83">
                  <c:v>0.1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AA-4A49-9416-A1691E32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67920"/>
        <c:axId val="356968640"/>
      </c:scatterChart>
      <c:valAx>
        <c:axId val="364367920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Case_Temp (℃)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8640"/>
        <c:crossesAt val="-0.60000000000000009"/>
        <c:crossBetween val="midCat"/>
        <c:majorUnit val="5"/>
      </c:valAx>
      <c:valAx>
        <c:axId val="356968640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dWL/dT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6792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17931</xdr:colOff>
      <xdr:row>0</xdr:row>
      <xdr:rowOff>71719</xdr:rowOff>
    </xdr:from>
    <xdr:to>
      <xdr:col>20</xdr:col>
      <xdr:colOff>487680</xdr:colOff>
      <xdr:row>14</xdr:row>
      <xdr:rowOff>191252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15261</xdr:colOff>
      <xdr:row>16</xdr:row>
      <xdr:rowOff>6135</xdr:rowOff>
    </xdr:from>
    <xdr:to>
      <xdr:col>20</xdr:col>
      <xdr:colOff>487681</xdr:colOff>
      <xdr:row>34</xdr:row>
      <xdr:rowOff>188259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17929</xdr:colOff>
      <xdr:row>35</xdr:row>
      <xdr:rowOff>162178</xdr:rowOff>
    </xdr:from>
    <xdr:to>
      <xdr:col>20</xdr:col>
      <xdr:colOff>510540</xdr:colOff>
      <xdr:row>53</xdr:row>
      <xdr:rowOff>116541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8965</xdr:colOff>
      <xdr:row>55</xdr:row>
      <xdr:rowOff>53788</xdr:rowOff>
    </xdr:from>
    <xdr:to>
      <xdr:col>20</xdr:col>
      <xdr:colOff>518160</xdr:colOff>
      <xdr:row>69</xdr:row>
      <xdr:rowOff>143434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35859</xdr:colOff>
      <xdr:row>70</xdr:row>
      <xdr:rowOff>53340</xdr:rowOff>
    </xdr:from>
    <xdr:to>
      <xdr:col>20</xdr:col>
      <xdr:colOff>495300</xdr:colOff>
      <xdr:row>84</xdr:row>
      <xdr:rowOff>143883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42877</xdr:colOff>
      <xdr:row>85</xdr:row>
      <xdr:rowOff>61410</xdr:rowOff>
    </xdr:from>
    <xdr:to>
      <xdr:col>20</xdr:col>
      <xdr:colOff>525781</xdr:colOff>
      <xdr:row>99</xdr:row>
      <xdr:rowOff>151055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</xdr:colOff>
      <xdr:row>0</xdr:row>
      <xdr:rowOff>201930</xdr:rowOff>
    </xdr:from>
    <xdr:to>
      <xdr:col>15</xdr:col>
      <xdr:colOff>339090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65314</xdr:colOff>
      <xdr:row>16</xdr:row>
      <xdr:rowOff>130629</xdr:rowOff>
    </xdr:from>
    <xdr:to>
      <xdr:col>15</xdr:col>
      <xdr:colOff>370114</xdr:colOff>
      <xdr:row>29</xdr:row>
      <xdr:rowOff>143147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304800</xdr:colOff>
      <xdr:row>45</xdr:row>
      <xdr:rowOff>12518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15</xdr:col>
      <xdr:colOff>304800</xdr:colOff>
      <xdr:row>60</xdr:row>
      <xdr:rowOff>12519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14696</xdr:colOff>
      <xdr:row>0</xdr:row>
      <xdr:rowOff>205195</xdr:rowOff>
    </xdr:from>
    <xdr:to>
      <xdr:col>15</xdr:col>
      <xdr:colOff>319496</xdr:colOff>
      <xdr:row>14</xdr:row>
      <xdr:rowOff>68035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573741</xdr:colOff>
      <xdr:row>16</xdr:row>
      <xdr:rowOff>170329</xdr:rowOff>
    </xdr:from>
    <xdr:to>
      <xdr:col>15</xdr:col>
      <xdr:colOff>268941</xdr:colOff>
      <xdr:row>30</xdr:row>
      <xdr:rowOff>33169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304800</xdr:colOff>
      <xdr:row>45</xdr:row>
      <xdr:rowOff>69028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48</xdr:row>
      <xdr:rowOff>0</xdr:rowOff>
    </xdr:from>
    <xdr:to>
      <xdr:col>15</xdr:col>
      <xdr:colOff>304800</xdr:colOff>
      <xdr:row>61</xdr:row>
      <xdr:rowOff>69028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9"/>
  <sheetViews>
    <sheetView zoomScale="85" zoomScaleNormal="85" workbookViewId="0">
      <pane ySplit="1" topLeftCell="A54" activePane="bottomLeft" state="frozen"/>
      <selection pane="bottomLeft" activeCell="X24" sqref="X24"/>
    </sheetView>
  </sheetViews>
  <sheetFormatPr defaultRowHeight="15.6"/>
  <cols>
    <col min="1" max="1" width="10.19921875" style="1" bestFit="1" customWidth="1"/>
    <col min="2" max="2" width="11.3984375" style="1" customWidth="1"/>
    <col min="7" max="7" width="7.59765625" style="1" customWidth="1"/>
    <col min="27" max="27" width="7" style="1" customWidth="1"/>
    <col min="28" max="28" width="7.796875" style="1" customWidth="1"/>
    <col min="33" max="33" width="7.296875" style="1" customWidth="1"/>
    <col min="34" max="34" width="6.796875" style="1" customWidth="1"/>
    <col min="35" max="36" width="7.8984375" style="1" customWidth="1"/>
  </cols>
  <sheetData>
    <row r="1" spans="1:44" s="20" customFormat="1">
      <c r="A1" s="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G1" s="15" t="s">
        <v>0</v>
      </c>
      <c r="H1" s="20" t="s">
        <v>5</v>
      </c>
      <c r="I1" s="20" t="s">
        <v>6</v>
      </c>
      <c r="J1" s="20" t="s">
        <v>7</v>
      </c>
      <c r="K1" s="20" t="s">
        <v>8</v>
      </c>
      <c r="V1" s="9" t="str">
        <f t="shared" ref="V1:V32" si="0">A1</f>
        <v>Case Temp(℃)</v>
      </c>
      <c r="W1" s="20" t="s">
        <v>9</v>
      </c>
      <c r="X1" s="20" t="s">
        <v>10</v>
      </c>
      <c r="Y1" s="20" t="s">
        <v>11</v>
      </c>
      <c r="Z1" s="20" t="s">
        <v>12</v>
      </c>
      <c r="AA1" s="20" t="s">
        <v>13</v>
      </c>
      <c r="AB1" s="20" t="s">
        <v>14</v>
      </c>
      <c r="AC1" s="20" t="s">
        <v>15</v>
      </c>
      <c r="AD1" s="20" t="s">
        <v>16</v>
      </c>
      <c r="AE1" s="15" t="str">
        <f>Maximum!Q1</f>
        <v>Case Temp(℃)</v>
      </c>
      <c r="AF1" s="20" t="s">
        <v>17</v>
      </c>
      <c r="AG1" s="20" t="s">
        <v>18</v>
      </c>
      <c r="AH1" s="20" t="s">
        <v>19</v>
      </c>
      <c r="AI1" s="20" t="s">
        <v>20</v>
      </c>
      <c r="AJ1" s="20" t="s">
        <v>21</v>
      </c>
      <c r="AK1" s="20" t="s">
        <v>22</v>
      </c>
      <c r="AL1" s="20" t="s">
        <v>23</v>
      </c>
      <c r="AM1" s="20" t="s">
        <v>24</v>
      </c>
      <c r="AN1" s="20" t="s">
        <v>25</v>
      </c>
      <c r="AO1" s="20" t="s">
        <v>26</v>
      </c>
      <c r="AP1" s="20" t="s">
        <v>27</v>
      </c>
      <c r="AQ1" s="20" t="s">
        <v>28</v>
      </c>
      <c r="AR1" s="20" t="s">
        <v>29</v>
      </c>
    </row>
    <row r="2" spans="1:44" s="20" customFormat="1">
      <c r="A2" s="9">
        <f>Operational!Q2</f>
        <v>-0.21</v>
      </c>
      <c r="B2" s="20">
        <f>Operational!R2</f>
        <v>1267.809</v>
      </c>
      <c r="C2" s="20">
        <f>Operational!S2</f>
        <v>1287.6099999999999</v>
      </c>
      <c r="D2" s="20">
        <f>Operational!T2</f>
        <v>1308.3219999999999</v>
      </c>
      <c r="E2" s="20">
        <f>Operational!U2</f>
        <v>1327.604</v>
      </c>
      <c r="G2" s="15">
        <f>Maximum!Q2</f>
        <v>70.77</v>
      </c>
      <c r="H2" s="20">
        <f>Maximum!R2</f>
        <v>1275.393</v>
      </c>
      <c r="I2" s="20">
        <f>Maximum!S2</f>
        <v>1295.377</v>
      </c>
      <c r="J2" s="20">
        <f>Maximum!T2</f>
        <v>1315.9480000000001</v>
      </c>
      <c r="K2" s="20">
        <f>Maximum!U2</f>
        <v>1335.366</v>
      </c>
      <c r="V2" s="9">
        <f t="shared" si="0"/>
        <v>-0.21</v>
      </c>
      <c r="W2" s="20">
        <f>Operational!V2</f>
        <v>1.4</v>
      </c>
      <c r="X2" s="20">
        <f>Operational!W2</f>
        <v>0.9</v>
      </c>
      <c r="Y2" s="20">
        <f>Operational!X2</f>
        <v>2.4900000000000002</v>
      </c>
      <c r="Z2" s="20">
        <f>Operational!Y2</f>
        <v>2.17</v>
      </c>
      <c r="AA2" s="20">
        <f>Operational!AD2</f>
        <v>124</v>
      </c>
      <c r="AB2" s="20">
        <f>Operational!AE2</f>
        <v>140</v>
      </c>
      <c r="AC2" s="20">
        <f>Operational!AF2</f>
        <v>124</v>
      </c>
      <c r="AD2" s="20">
        <f>Operational!AG2</f>
        <v>140</v>
      </c>
      <c r="AE2" s="15">
        <f>Maximum!Q2</f>
        <v>70.77</v>
      </c>
      <c r="AF2" s="20">
        <f>Maximum!AD2</f>
        <v>399</v>
      </c>
      <c r="AG2" s="20">
        <f>Maximum!V2</f>
        <v>2.83</v>
      </c>
      <c r="AH2" s="20">
        <f>Maximum!W2</f>
        <v>2.57</v>
      </c>
      <c r="AI2" s="20">
        <f>Maximum!X2</f>
        <v>3.98</v>
      </c>
      <c r="AJ2" s="20">
        <f>Maximum!Y2</f>
        <v>2.9</v>
      </c>
    </row>
    <row r="3" spans="1:44" s="20" customFormat="1">
      <c r="A3" s="9">
        <f>Operational!Q3</f>
        <v>0.75</v>
      </c>
      <c r="B3" s="20">
        <f>Operational!R3</f>
        <v>1267.8920000000001</v>
      </c>
      <c r="C3" s="20">
        <f>Operational!S3</f>
        <v>1287.694</v>
      </c>
      <c r="D3" s="20">
        <f>Operational!T3</f>
        <v>1308.4069999999999</v>
      </c>
      <c r="E3" s="20">
        <f>Operational!U3</f>
        <v>1327.69</v>
      </c>
      <c r="G3" s="15">
        <f>Maximum!Q3</f>
        <v>69.81</v>
      </c>
      <c r="H3" s="20">
        <f>Maximum!R3</f>
        <v>1275.306</v>
      </c>
      <c r="I3" s="20">
        <f>Maximum!S3</f>
        <v>1295.29</v>
      </c>
      <c r="J3" s="20">
        <f>Maximum!T3</f>
        <v>1315.8630000000001</v>
      </c>
      <c r="K3" s="20">
        <f>Maximum!U3</f>
        <v>1335.279</v>
      </c>
      <c r="V3" s="9">
        <f t="shared" si="0"/>
        <v>0.75</v>
      </c>
      <c r="W3" s="20">
        <f>Operational!V3</f>
        <v>1.29</v>
      </c>
      <c r="X3" s="20">
        <f>Operational!W3</f>
        <v>0.86</v>
      </c>
      <c r="Y3" s="20">
        <f>Operational!X3</f>
        <v>2.4900000000000002</v>
      </c>
      <c r="Z3" s="20">
        <f>Operational!Y3</f>
        <v>2.11</v>
      </c>
      <c r="AA3" s="20">
        <f>Operational!AD3</f>
        <v>124</v>
      </c>
      <c r="AB3" s="20">
        <f>Operational!AE3</f>
        <v>140</v>
      </c>
      <c r="AC3" s="20">
        <f>Operational!AF3</f>
        <v>124</v>
      </c>
      <c r="AD3" s="20">
        <f>Operational!AG3</f>
        <v>140</v>
      </c>
      <c r="AE3" s="15">
        <f>Maximum!Q3</f>
        <v>69.81</v>
      </c>
      <c r="AF3" s="20">
        <f>Maximum!AD3</f>
        <v>399</v>
      </c>
      <c r="AG3" s="20">
        <f>Maximum!V3</f>
        <v>3.08</v>
      </c>
      <c r="AH3" s="20">
        <f>Maximum!W3</f>
        <v>2.74</v>
      </c>
      <c r="AI3" s="20">
        <f>Maximum!X3</f>
        <v>4.1399999999999997</v>
      </c>
      <c r="AJ3" s="20">
        <f>Maximum!Y3</f>
        <v>3</v>
      </c>
      <c r="AK3" s="20">
        <f t="shared" ref="AK3:AK34" si="1">W2-W3</f>
        <v>0.10999999999999988</v>
      </c>
      <c r="AL3" s="20">
        <f t="shared" ref="AL3:AL34" si="2">X2-X3</f>
        <v>4.0000000000000036E-2</v>
      </c>
      <c r="AM3" s="20">
        <f t="shared" ref="AM3:AM34" si="3">Y2-Y3</f>
        <v>0</v>
      </c>
      <c r="AN3" s="20">
        <f t="shared" ref="AN3:AN34" si="4">Z2-Z3</f>
        <v>6.0000000000000053E-2</v>
      </c>
      <c r="AO3" s="20">
        <f t="shared" ref="AO3:AO34" si="5">AG2-AG3</f>
        <v>-0.25</v>
      </c>
      <c r="AP3" s="20">
        <f t="shared" ref="AP3:AP34" si="6">AH2-AH3</f>
        <v>-0.17000000000000037</v>
      </c>
      <c r="AQ3" s="20">
        <f t="shared" ref="AQ3:AQ34" si="7">AI2-AI3</f>
        <v>-0.1599999999999997</v>
      </c>
      <c r="AR3" s="20">
        <f t="shared" ref="AR3:AR34" si="8">AJ2-AJ3</f>
        <v>-0.10000000000000009</v>
      </c>
    </row>
    <row r="4" spans="1:44" s="20" customFormat="1">
      <c r="A4" s="9">
        <f>Operational!Q4</f>
        <v>1.76</v>
      </c>
      <c r="B4" s="20">
        <f>Operational!R4</f>
        <v>1267.9760000000001</v>
      </c>
      <c r="C4" s="20">
        <f>Operational!S4</f>
        <v>1287.78</v>
      </c>
      <c r="D4" s="20">
        <f>Operational!T4</f>
        <v>1308.4949999999999</v>
      </c>
      <c r="E4" s="20">
        <f>Operational!U4</f>
        <v>1327.778</v>
      </c>
      <c r="G4" s="15">
        <f>Maximum!Q4</f>
        <v>69</v>
      </c>
      <c r="H4" s="20">
        <f>Maximum!R4</f>
        <v>1275.2190000000001</v>
      </c>
      <c r="I4" s="20">
        <f>Maximum!S4</f>
        <v>1295.202</v>
      </c>
      <c r="J4" s="20">
        <f>Maximum!T4</f>
        <v>1315.7750000000001</v>
      </c>
      <c r="K4" s="20">
        <f>Maximum!U4</f>
        <v>1335.193</v>
      </c>
      <c r="V4" s="9">
        <f t="shared" si="0"/>
        <v>1.76</v>
      </c>
      <c r="W4" s="20">
        <f>Operational!V4</f>
        <v>1.31</v>
      </c>
      <c r="X4" s="20">
        <f>Operational!W4</f>
        <v>0.89</v>
      </c>
      <c r="Y4" s="20">
        <f>Operational!X4</f>
        <v>2.41</v>
      </c>
      <c r="Z4" s="20">
        <f>Operational!Y4</f>
        <v>2.08</v>
      </c>
      <c r="AA4" s="20">
        <f>Operational!AD4</f>
        <v>125</v>
      </c>
      <c r="AB4" s="20">
        <f>Operational!AE4</f>
        <v>140</v>
      </c>
      <c r="AC4" s="20">
        <f>Operational!AF4</f>
        <v>125</v>
      </c>
      <c r="AD4" s="20">
        <f>Operational!AG4</f>
        <v>140</v>
      </c>
      <c r="AE4" s="15">
        <f>Maximum!Q4</f>
        <v>69</v>
      </c>
      <c r="AF4" s="20">
        <f>Maximum!AD4</f>
        <v>399</v>
      </c>
      <c r="AG4" s="20">
        <f>Maximum!V4</f>
        <v>3.26</v>
      </c>
      <c r="AH4" s="20">
        <f>Maximum!W4</f>
        <v>2.86</v>
      </c>
      <c r="AI4" s="20">
        <f>Maximum!X4</f>
        <v>4.28</v>
      </c>
      <c r="AJ4" s="20">
        <f>Maximum!Y4</f>
        <v>3.1</v>
      </c>
      <c r="AK4" s="20">
        <f t="shared" si="1"/>
        <v>-2.0000000000000018E-2</v>
      </c>
      <c r="AL4" s="20">
        <f t="shared" si="2"/>
        <v>-3.0000000000000027E-2</v>
      </c>
      <c r="AM4" s="20">
        <f t="shared" si="3"/>
        <v>8.0000000000000071E-2</v>
      </c>
      <c r="AN4" s="20">
        <f t="shared" si="4"/>
        <v>2.9999999999999805E-2</v>
      </c>
      <c r="AO4" s="20">
        <f t="shared" si="5"/>
        <v>-0.17999999999999972</v>
      </c>
      <c r="AP4" s="20">
        <f t="shared" si="6"/>
        <v>-0.11999999999999966</v>
      </c>
      <c r="AQ4" s="20">
        <f t="shared" si="7"/>
        <v>-0.14000000000000057</v>
      </c>
      <c r="AR4" s="20">
        <f t="shared" si="8"/>
        <v>-0.10000000000000009</v>
      </c>
    </row>
    <row r="5" spans="1:44" s="20" customFormat="1">
      <c r="A5" s="9">
        <f>Operational!Q5</f>
        <v>2.7</v>
      </c>
      <c r="B5" s="20">
        <f>Operational!R5</f>
        <v>1268.0609999999999</v>
      </c>
      <c r="C5" s="20">
        <f>Operational!S5</f>
        <v>1287.8679999999999</v>
      </c>
      <c r="D5" s="20">
        <f>Operational!T5</f>
        <v>1308.5830000000001</v>
      </c>
      <c r="E5" s="20">
        <f>Operational!U5</f>
        <v>1327.866</v>
      </c>
      <c r="G5" s="15">
        <f>Maximum!Q5</f>
        <v>68.02</v>
      </c>
      <c r="H5" s="20">
        <f>Maximum!R5</f>
        <v>1275.1310000000001</v>
      </c>
      <c r="I5" s="20">
        <f>Maximum!S5</f>
        <v>1295.1120000000001</v>
      </c>
      <c r="J5" s="20">
        <f>Maximum!T5</f>
        <v>1315.6869999999999</v>
      </c>
      <c r="K5" s="20">
        <f>Maximum!U5</f>
        <v>1335.104</v>
      </c>
      <c r="V5" s="9">
        <f t="shared" si="0"/>
        <v>2.7</v>
      </c>
      <c r="W5" s="20">
        <f>Operational!V5</f>
        <v>1.36</v>
      </c>
      <c r="X5" s="20">
        <f>Operational!W5</f>
        <v>0.94</v>
      </c>
      <c r="Y5" s="20">
        <f>Operational!X5</f>
        <v>2.46</v>
      </c>
      <c r="Z5" s="20">
        <f>Operational!Y5</f>
        <v>2.09</v>
      </c>
      <c r="AA5" s="20">
        <f>Operational!AD5</f>
        <v>126</v>
      </c>
      <c r="AB5" s="20">
        <f>Operational!AE5</f>
        <v>140</v>
      </c>
      <c r="AC5" s="20">
        <f>Operational!AF5</f>
        <v>126</v>
      </c>
      <c r="AD5" s="20">
        <f>Operational!AG5</f>
        <v>140</v>
      </c>
      <c r="AE5" s="15">
        <f>Maximum!Q5</f>
        <v>68.02</v>
      </c>
      <c r="AF5" s="20">
        <f>Maximum!AD5</f>
        <v>399</v>
      </c>
      <c r="AG5" s="20">
        <f>Maximum!V5</f>
        <v>3.47</v>
      </c>
      <c r="AH5" s="20">
        <f>Maximum!W5</f>
        <v>3.06</v>
      </c>
      <c r="AI5" s="20">
        <f>Maximum!X5</f>
        <v>4.38</v>
      </c>
      <c r="AJ5" s="20">
        <f>Maximum!Y5</f>
        <v>3.23</v>
      </c>
      <c r="AK5" s="20">
        <f t="shared" si="1"/>
        <v>-5.0000000000000044E-2</v>
      </c>
      <c r="AL5" s="20">
        <f t="shared" si="2"/>
        <v>-4.9999999999999933E-2</v>
      </c>
      <c r="AM5" s="20">
        <f t="shared" si="3"/>
        <v>-4.9999999999999822E-2</v>
      </c>
      <c r="AN5" s="20">
        <f t="shared" si="4"/>
        <v>-9.9999999999997868E-3</v>
      </c>
      <c r="AO5" s="20">
        <f t="shared" si="5"/>
        <v>-0.21000000000000041</v>
      </c>
      <c r="AP5" s="20">
        <f t="shared" si="6"/>
        <v>-0.20000000000000018</v>
      </c>
      <c r="AQ5" s="20">
        <f t="shared" si="7"/>
        <v>-9.9999999999999645E-2</v>
      </c>
      <c r="AR5" s="20">
        <f t="shared" si="8"/>
        <v>-0.12999999999999989</v>
      </c>
    </row>
    <row r="6" spans="1:44" s="20" customFormat="1">
      <c r="A6" s="9">
        <f>Operational!Q6</f>
        <v>3.69</v>
      </c>
      <c r="B6" s="20">
        <f>Operational!R6</f>
        <v>1268.1479999999999</v>
      </c>
      <c r="C6" s="20">
        <f>Operational!S6</f>
        <v>1287.9570000000001</v>
      </c>
      <c r="D6" s="20">
        <f>Operational!T6</f>
        <v>1308.671</v>
      </c>
      <c r="E6" s="20">
        <f>Operational!U6</f>
        <v>1327.9559999999999</v>
      </c>
      <c r="G6" s="15">
        <f>Maximum!Q6</f>
        <v>67.13</v>
      </c>
      <c r="H6" s="20">
        <f>Maximum!R6</f>
        <v>1275.0419999999999</v>
      </c>
      <c r="I6" s="20">
        <f>Maximum!S6</f>
        <v>1295.0219999999999</v>
      </c>
      <c r="J6" s="20">
        <f>Maximum!T6</f>
        <v>1315.6</v>
      </c>
      <c r="K6" s="20">
        <f>Maximum!U6</f>
        <v>1335.0139999999999</v>
      </c>
      <c r="V6" s="9">
        <f t="shared" si="0"/>
        <v>3.69</v>
      </c>
      <c r="W6" s="20">
        <f>Operational!V6</f>
        <v>1.41</v>
      </c>
      <c r="X6" s="20">
        <f>Operational!W6</f>
        <v>0.96</v>
      </c>
      <c r="Y6" s="20">
        <f>Operational!X6</f>
        <v>2.48</v>
      </c>
      <c r="Z6" s="20">
        <f>Operational!Y6</f>
        <v>2.14</v>
      </c>
      <c r="AA6" s="20">
        <f>Operational!AD6</f>
        <v>127</v>
      </c>
      <c r="AB6" s="20">
        <f>Operational!AE6</f>
        <v>140</v>
      </c>
      <c r="AC6" s="20">
        <f>Operational!AF6</f>
        <v>127</v>
      </c>
      <c r="AD6" s="20">
        <f>Operational!AG6</f>
        <v>140</v>
      </c>
      <c r="AE6" s="15">
        <f>Maximum!Q6</f>
        <v>67.13</v>
      </c>
      <c r="AF6" s="20">
        <f>Maximum!AD6</f>
        <v>399</v>
      </c>
      <c r="AG6" s="20">
        <f>Maximum!V6</f>
        <v>3.65</v>
      </c>
      <c r="AH6" s="20">
        <f>Maximum!W6</f>
        <v>3.26</v>
      </c>
      <c r="AI6" s="20">
        <f>Maximum!X6</f>
        <v>4.5</v>
      </c>
      <c r="AJ6" s="20">
        <f>Maximum!Y6</f>
        <v>3.37</v>
      </c>
      <c r="AK6" s="20">
        <f t="shared" si="1"/>
        <v>-4.9999999999999822E-2</v>
      </c>
      <c r="AL6" s="20">
        <f t="shared" si="2"/>
        <v>-2.0000000000000018E-2</v>
      </c>
      <c r="AM6" s="20">
        <f t="shared" si="3"/>
        <v>-2.0000000000000018E-2</v>
      </c>
      <c r="AN6" s="20">
        <f t="shared" si="4"/>
        <v>-5.0000000000000266E-2</v>
      </c>
      <c r="AO6" s="20">
        <f t="shared" si="5"/>
        <v>-0.17999999999999972</v>
      </c>
      <c r="AP6" s="20">
        <f t="shared" si="6"/>
        <v>-0.19999999999999973</v>
      </c>
      <c r="AQ6" s="20">
        <f t="shared" si="7"/>
        <v>-0.12000000000000011</v>
      </c>
      <c r="AR6" s="20">
        <f t="shared" si="8"/>
        <v>-0.14000000000000012</v>
      </c>
    </row>
    <row r="7" spans="1:44" s="20" customFormat="1">
      <c r="A7" s="9">
        <f>Operational!Q7</f>
        <v>4.67</v>
      </c>
      <c r="B7" s="20">
        <f>Operational!R7</f>
        <v>1268.2329999999999</v>
      </c>
      <c r="C7" s="20">
        <f>Operational!S7</f>
        <v>1288.0440000000001</v>
      </c>
      <c r="D7" s="20">
        <f>Operational!T7</f>
        <v>1308.758</v>
      </c>
      <c r="E7" s="20">
        <f>Operational!U7</f>
        <v>1328.0450000000001</v>
      </c>
      <c r="G7" s="15">
        <f>Maximum!Q7</f>
        <v>66.209999999999994</v>
      </c>
      <c r="H7" s="20">
        <f>Maximum!R7</f>
        <v>1274.952</v>
      </c>
      <c r="I7" s="20">
        <f>Maximum!S7</f>
        <v>1294.931</v>
      </c>
      <c r="J7" s="20">
        <f>Maximum!T7</f>
        <v>1315.509</v>
      </c>
      <c r="K7" s="20">
        <f>Maximum!U7</f>
        <v>1334.92</v>
      </c>
      <c r="V7" s="9">
        <f t="shared" si="0"/>
        <v>4.67</v>
      </c>
      <c r="W7" s="20">
        <f>Operational!V7</f>
        <v>1.35</v>
      </c>
      <c r="X7" s="20">
        <f>Operational!W7</f>
        <v>1.02</v>
      </c>
      <c r="Y7" s="20">
        <f>Operational!X7</f>
        <v>2.48</v>
      </c>
      <c r="Z7" s="20">
        <f>Operational!Y7</f>
        <v>2.09</v>
      </c>
      <c r="AA7" s="20">
        <f>Operational!AD7</f>
        <v>127</v>
      </c>
      <c r="AB7" s="20">
        <f>Operational!AE7</f>
        <v>140</v>
      </c>
      <c r="AC7" s="20">
        <f>Operational!AF7</f>
        <v>127</v>
      </c>
      <c r="AD7" s="20">
        <f>Operational!AG7</f>
        <v>140</v>
      </c>
      <c r="AE7" s="15">
        <f>Maximum!Q7</f>
        <v>66.209999999999994</v>
      </c>
      <c r="AF7" s="20">
        <f>Maximum!AD7</f>
        <v>399</v>
      </c>
      <c r="AG7" s="20">
        <f>Maximum!V7</f>
        <v>3.77</v>
      </c>
      <c r="AH7" s="20">
        <f>Maximum!W7</f>
        <v>3.46</v>
      </c>
      <c r="AI7" s="20">
        <f>Maximum!X7</f>
        <v>4.6500000000000004</v>
      </c>
      <c r="AJ7" s="20">
        <f>Maximum!Y7</f>
        <v>3.45</v>
      </c>
      <c r="AK7" s="20">
        <f t="shared" si="1"/>
        <v>5.9999999999999831E-2</v>
      </c>
      <c r="AL7" s="20">
        <f t="shared" si="2"/>
        <v>-6.0000000000000053E-2</v>
      </c>
      <c r="AM7" s="20">
        <f t="shared" si="3"/>
        <v>0</v>
      </c>
      <c r="AN7" s="20">
        <f t="shared" si="4"/>
        <v>5.0000000000000266E-2</v>
      </c>
      <c r="AO7" s="20">
        <f t="shared" si="5"/>
        <v>-0.12000000000000011</v>
      </c>
      <c r="AP7" s="20">
        <f t="shared" si="6"/>
        <v>-0.20000000000000018</v>
      </c>
      <c r="AQ7" s="20">
        <f t="shared" si="7"/>
        <v>-0.15000000000000036</v>
      </c>
      <c r="AR7" s="20">
        <f t="shared" si="8"/>
        <v>-8.0000000000000071E-2</v>
      </c>
    </row>
    <row r="8" spans="1:44" s="20" customFormat="1">
      <c r="A8" s="9">
        <f>Operational!Q8</f>
        <v>5.61</v>
      </c>
      <c r="B8" s="20">
        <f>Operational!R8</f>
        <v>1268.316</v>
      </c>
      <c r="C8" s="20">
        <f>Operational!S8</f>
        <v>1288.1300000000001</v>
      </c>
      <c r="D8" s="20">
        <f>Operational!T8</f>
        <v>1308.8420000000001</v>
      </c>
      <c r="E8" s="20">
        <f>Operational!U8</f>
        <v>1328.1320000000001</v>
      </c>
      <c r="G8" s="15">
        <f>Maximum!Q8</f>
        <v>65.36</v>
      </c>
      <c r="H8" s="20">
        <f>Maximum!R8</f>
        <v>1274.8630000000001</v>
      </c>
      <c r="I8" s="20">
        <f>Maximum!S8</f>
        <v>1294.8399999999999</v>
      </c>
      <c r="J8" s="20">
        <f>Maximum!T8</f>
        <v>1315.421</v>
      </c>
      <c r="K8" s="20">
        <f>Maximum!U8</f>
        <v>1334.829</v>
      </c>
      <c r="V8" s="9">
        <f t="shared" si="0"/>
        <v>5.61</v>
      </c>
      <c r="W8" s="20">
        <f>Operational!V8</f>
        <v>1.38</v>
      </c>
      <c r="X8" s="20">
        <f>Operational!W8</f>
        <v>1.03</v>
      </c>
      <c r="Y8" s="20">
        <f>Operational!X8</f>
        <v>2.4500000000000002</v>
      </c>
      <c r="Z8" s="20">
        <f>Operational!Y8</f>
        <v>2.09</v>
      </c>
      <c r="AA8" s="20">
        <f>Operational!AD8</f>
        <v>128</v>
      </c>
      <c r="AB8" s="20">
        <f>Operational!AE8</f>
        <v>140</v>
      </c>
      <c r="AC8" s="20">
        <f>Operational!AF8</f>
        <v>128</v>
      </c>
      <c r="AD8" s="20">
        <f>Operational!AG8</f>
        <v>140</v>
      </c>
      <c r="AE8" s="15">
        <f>Maximum!Q8</f>
        <v>65.36</v>
      </c>
      <c r="AF8" s="20">
        <f>Maximum!AD8</f>
        <v>399</v>
      </c>
      <c r="AG8" s="20">
        <f>Maximum!V8</f>
        <v>3.85</v>
      </c>
      <c r="AH8" s="20">
        <f>Maximum!W8</f>
        <v>3.6</v>
      </c>
      <c r="AI8" s="20">
        <f>Maximum!X8</f>
        <v>4.76</v>
      </c>
      <c r="AJ8" s="20">
        <f>Maximum!Y8</f>
        <v>3.53</v>
      </c>
      <c r="AK8" s="20">
        <f t="shared" si="1"/>
        <v>-2.9999999999999805E-2</v>
      </c>
      <c r="AL8" s="20">
        <f t="shared" si="2"/>
        <v>-1.0000000000000009E-2</v>
      </c>
      <c r="AM8" s="20">
        <f t="shared" si="3"/>
        <v>2.9999999999999805E-2</v>
      </c>
      <c r="AN8" s="20">
        <f t="shared" si="4"/>
        <v>0</v>
      </c>
      <c r="AO8" s="20">
        <f t="shared" si="5"/>
        <v>-8.0000000000000071E-2</v>
      </c>
      <c r="AP8" s="20">
        <f t="shared" si="6"/>
        <v>-0.14000000000000012</v>
      </c>
      <c r="AQ8" s="20">
        <f t="shared" si="7"/>
        <v>-0.10999999999999943</v>
      </c>
      <c r="AR8" s="20">
        <f t="shared" si="8"/>
        <v>-7.9999999999999627E-2</v>
      </c>
    </row>
    <row r="9" spans="1:44" s="20" customFormat="1">
      <c r="A9" s="9">
        <f>Operational!Q9</f>
        <v>6.5</v>
      </c>
      <c r="B9" s="20">
        <f>Operational!R9</f>
        <v>1268.3979999999999</v>
      </c>
      <c r="C9" s="20">
        <f>Operational!S9</f>
        <v>1288.2139999999999</v>
      </c>
      <c r="D9" s="20">
        <f>Operational!T9</f>
        <v>1308.925</v>
      </c>
      <c r="E9" s="20">
        <f>Operational!U9</f>
        <v>1328.2180000000001</v>
      </c>
      <c r="G9" s="15">
        <f>Maximum!Q9</f>
        <v>64.48</v>
      </c>
      <c r="H9" s="20">
        <f>Maximum!R9</f>
        <v>1274.777</v>
      </c>
      <c r="I9" s="20">
        <f>Maximum!S9</f>
        <v>1294.752</v>
      </c>
      <c r="J9" s="20">
        <f>Maximum!T9</f>
        <v>1315.335</v>
      </c>
      <c r="K9" s="20">
        <f>Maximum!U9</f>
        <v>1334.7439999999999</v>
      </c>
      <c r="V9" s="9">
        <f t="shared" si="0"/>
        <v>6.5</v>
      </c>
      <c r="W9" s="20">
        <f>Operational!V9</f>
        <v>1.36</v>
      </c>
      <c r="X9" s="20">
        <f>Operational!W9</f>
        <v>1.01</v>
      </c>
      <c r="Y9" s="20">
        <f>Operational!X9</f>
        <v>2.46</v>
      </c>
      <c r="Z9" s="20">
        <f>Operational!Y9</f>
        <v>2.0699999999999998</v>
      </c>
      <c r="AA9" s="20">
        <f>Operational!AD9</f>
        <v>129</v>
      </c>
      <c r="AB9" s="20">
        <f>Operational!AE9</f>
        <v>140</v>
      </c>
      <c r="AC9" s="20">
        <f>Operational!AF9</f>
        <v>129</v>
      </c>
      <c r="AD9" s="20">
        <f>Operational!AG9</f>
        <v>140</v>
      </c>
      <c r="AE9" s="15">
        <f>Maximum!Q9</f>
        <v>64.48</v>
      </c>
      <c r="AF9" s="20">
        <f>Maximum!AD9</f>
        <v>399</v>
      </c>
      <c r="AG9" s="20">
        <f>Maximum!V9</f>
        <v>3.98</v>
      </c>
      <c r="AH9" s="20">
        <f>Maximum!W9</f>
        <v>3.76</v>
      </c>
      <c r="AI9" s="20">
        <f>Maximum!X9</f>
        <v>4.8600000000000003</v>
      </c>
      <c r="AJ9" s="20">
        <f>Maximum!Y9</f>
        <v>3.56</v>
      </c>
      <c r="AK9" s="20">
        <f t="shared" si="1"/>
        <v>1.9999999999999796E-2</v>
      </c>
      <c r="AL9" s="20">
        <f t="shared" si="2"/>
        <v>2.0000000000000018E-2</v>
      </c>
      <c r="AM9" s="20">
        <f t="shared" si="3"/>
        <v>-9.9999999999997868E-3</v>
      </c>
      <c r="AN9" s="20">
        <f t="shared" si="4"/>
        <v>2.0000000000000018E-2</v>
      </c>
      <c r="AO9" s="20">
        <f t="shared" si="5"/>
        <v>-0.12999999999999989</v>
      </c>
      <c r="AP9" s="20">
        <f t="shared" si="6"/>
        <v>-0.1599999999999997</v>
      </c>
      <c r="AQ9" s="20">
        <f t="shared" si="7"/>
        <v>-0.10000000000000053</v>
      </c>
      <c r="AR9" s="20">
        <f t="shared" si="8"/>
        <v>-3.0000000000000249E-2</v>
      </c>
    </row>
    <row r="10" spans="1:44" s="20" customFormat="1">
      <c r="A10" s="9">
        <f>Operational!Q10</f>
        <v>7.41</v>
      </c>
      <c r="B10" s="20">
        <f>Operational!R10</f>
        <v>1268.48</v>
      </c>
      <c r="C10" s="20">
        <f>Operational!S10</f>
        <v>1288.298</v>
      </c>
      <c r="D10" s="20">
        <f>Operational!T10</f>
        <v>1309.008</v>
      </c>
      <c r="E10" s="20">
        <f>Operational!U10</f>
        <v>1328.3030000000001</v>
      </c>
      <c r="G10" s="15">
        <f>Maximum!Q10</f>
        <v>63.61</v>
      </c>
      <c r="H10" s="20">
        <f>Maximum!R10</f>
        <v>1274.6890000000001</v>
      </c>
      <c r="I10" s="20">
        <f>Maximum!S10</f>
        <v>1294.664</v>
      </c>
      <c r="J10" s="20">
        <f>Maximum!T10</f>
        <v>1315.248</v>
      </c>
      <c r="K10" s="20">
        <f>Maximum!U10</f>
        <v>1334.655</v>
      </c>
      <c r="V10" s="9">
        <f t="shared" si="0"/>
        <v>7.41</v>
      </c>
      <c r="W10" s="20">
        <f>Operational!V10</f>
        <v>1.36</v>
      </c>
      <c r="X10" s="20">
        <f>Operational!W10</f>
        <v>1.04</v>
      </c>
      <c r="Y10" s="20">
        <f>Operational!X10</f>
        <v>2.4900000000000002</v>
      </c>
      <c r="Z10" s="20">
        <f>Operational!Y10</f>
        <v>2.08</v>
      </c>
      <c r="AA10" s="20">
        <f>Operational!AD10</f>
        <v>129</v>
      </c>
      <c r="AB10" s="20">
        <f>Operational!AE10</f>
        <v>140</v>
      </c>
      <c r="AC10" s="20">
        <f>Operational!AF10</f>
        <v>129</v>
      </c>
      <c r="AD10" s="20">
        <f>Operational!AG10</f>
        <v>140</v>
      </c>
      <c r="AE10" s="15">
        <f>Maximum!Q10</f>
        <v>63.61</v>
      </c>
      <c r="AF10" s="20">
        <f>Maximum!AD10</f>
        <v>399</v>
      </c>
      <c r="AG10" s="20">
        <f>Maximum!V10</f>
        <v>4.1399999999999997</v>
      </c>
      <c r="AH10" s="20">
        <f>Maximum!W10</f>
        <v>3.9</v>
      </c>
      <c r="AI10" s="20">
        <f>Maximum!X10</f>
        <v>4.96</v>
      </c>
      <c r="AJ10" s="20">
        <f>Maximum!Y10</f>
        <v>3.65</v>
      </c>
      <c r="AK10" s="20">
        <f t="shared" si="1"/>
        <v>0</v>
      </c>
      <c r="AL10" s="20">
        <f t="shared" si="2"/>
        <v>-3.0000000000000027E-2</v>
      </c>
      <c r="AM10" s="20">
        <f t="shared" si="3"/>
        <v>-3.0000000000000249E-2</v>
      </c>
      <c r="AN10" s="20">
        <f t="shared" si="4"/>
        <v>-1.0000000000000231E-2</v>
      </c>
      <c r="AO10" s="20">
        <f t="shared" si="5"/>
        <v>-0.1599999999999997</v>
      </c>
      <c r="AP10" s="20">
        <f t="shared" si="6"/>
        <v>-0.14000000000000012</v>
      </c>
      <c r="AQ10" s="20">
        <f t="shared" si="7"/>
        <v>-9.9999999999999645E-2</v>
      </c>
      <c r="AR10" s="20">
        <f t="shared" si="8"/>
        <v>-8.9999999999999858E-2</v>
      </c>
    </row>
    <row r="11" spans="1:44" s="20" customFormat="1">
      <c r="A11" s="9">
        <f>Operational!Q11</f>
        <v>8.3000000000000007</v>
      </c>
      <c r="B11" s="20">
        <f>Operational!R11</f>
        <v>1268.559</v>
      </c>
      <c r="C11" s="20">
        <f>Operational!S11</f>
        <v>1288.3789999999999</v>
      </c>
      <c r="D11" s="20">
        <f>Operational!T11</f>
        <v>1309.088</v>
      </c>
      <c r="E11" s="20">
        <f>Operational!U11</f>
        <v>1328.3879999999999</v>
      </c>
      <c r="G11" s="15">
        <f>Maximum!Q11</f>
        <v>62.67</v>
      </c>
      <c r="H11" s="20">
        <f>Maximum!R11</f>
        <v>1274.604</v>
      </c>
      <c r="I11" s="20">
        <f>Maximum!S11</f>
        <v>1294.576</v>
      </c>
      <c r="J11" s="20">
        <f>Maximum!T11</f>
        <v>1315.162</v>
      </c>
      <c r="K11" s="20">
        <f>Maximum!U11</f>
        <v>1334.568</v>
      </c>
      <c r="V11" s="9">
        <f t="shared" si="0"/>
        <v>8.3000000000000007</v>
      </c>
      <c r="W11" s="20">
        <f>Operational!V11</f>
        <v>1.35</v>
      </c>
      <c r="X11" s="20">
        <f>Operational!W11</f>
        <v>1.04</v>
      </c>
      <c r="Y11" s="20">
        <f>Operational!X11</f>
        <v>2.48</v>
      </c>
      <c r="Z11" s="20">
        <f>Operational!Y11</f>
        <v>2.13</v>
      </c>
      <c r="AA11" s="20">
        <f>Operational!AD11</f>
        <v>130</v>
      </c>
      <c r="AB11" s="20">
        <f>Operational!AE11</f>
        <v>141</v>
      </c>
      <c r="AC11" s="20">
        <f>Operational!AF11</f>
        <v>130</v>
      </c>
      <c r="AD11" s="20">
        <f>Operational!AG11</f>
        <v>141</v>
      </c>
      <c r="AE11" s="15">
        <f>Maximum!Q11</f>
        <v>62.67</v>
      </c>
      <c r="AF11" s="20">
        <f>Maximum!AD11</f>
        <v>399</v>
      </c>
      <c r="AG11" s="20">
        <f>Maximum!V11</f>
        <v>4.3600000000000003</v>
      </c>
      <c r="AH11" s="20">
        <f>Maximum!W11</f>
        <v>4.0599999999999996</v>
      </c>
      <c r="AI11" s="20">
        <f>Maximum!X11</f>
        <v>5.08</v>
      </c>
      <c r="AJ11" s="20">
        <f>Maximum!Y11</f>
        <v>3.75</v>
      </c>
      <c r="AK11" s="20">
        <f t="shared" si="1"/>
        <v>1.0000000000000009E-2</v>
      </c>
      <c r="AL11" s="20">
        <f t="shared" si="2"/>
        <v>0</v>
      </c>
      <c r="AM11" s="20">
        <f t="shared" si="3"/>
        <v>1.0000000000000231E-2</v>
      </c>
      <c r="AN11" s="20">
        <f t="shared" si="4"/>
        <v>-4.9999999999999822E-2</v>
      </c>
      <c r="AO11" s="20">
        <f t="shared" si="5"/>
        <v>-0.22000000000000064</v>
      </c>
      <c r="AP11" s="20">
        <f t="shared" si="6"/>
        <v>-0.1599999999999997</v>
      </c>
      <c r="AQ11" s="20">
        <f t="shared" si="7"/>
        <v>-0.12000000000000011</v>
      </c>
      <c r="AR11" s="20">
        <f t="shared" si="8"/>
        <v>-0.10000000000000009</v>
      </c>
    </row>
    <row r="12" spans="1:44" s="20" customFormat="1">
      <c r="A12" s="9">
        <f>Operational!Q12</f>
        <v>9.17</v>
      </c>
      <c r="B12" s="20">
        <f>Operational!R12</f>
        <v>1268.6400000000001</v>
      </c>
      <c r="C12" s="20">
        <f>Operational!S12</f>
        <v>1288.461</v>
      </c>
      <c r="D12" s="20">
        <f>Operational!T12</f>
        <v>1309.17</v>
      </c>
      <c r="E12" s="20">
        <f>Operational!U12</f>
        <v>1328.472</v>
      </c>
      <c r="G12" s="15">
        <f>Maximum!Q12</f>
        <v>61.85</v>
      </c>
      <c r="H12" s="20">
        <f>Maximum!R12</f>
        <v>1274.5160000000001</v>
      </c>
      <c r="I12" s="20">
        <f>Maximum!S12</f>
        <v>1294.4880000000001</v>
      </c>
      <c r="J12" s="20">
        <f>Maximum!T12</f>
        <v>1315.0740000000001</v>
      </c>
      <c r="K12" s="20">
        <f>Maximum!U12</f>
        <v>1334.481</v>
      </c>
      <c r="V12" s="9">
        <f t="shared" si="0"/>
        <v>9.17</v>
      </c>
      <c r="W12" s="20">
        <f>Operational!V12</f>
        <v>1.33</v>
      </c>
      <c r="X12" s="20">
        <f>Operational!W12</f>
        <v>1.06</v>
      </c>
      <c r="Y12" s="20">
        <f>Operational!X12</f>
        <v>2.5099999999999998</v>
      </c>
      <c r="Z12" s="20">
        <f>Operational!Y12</f>
        <v>2.13</v>
      </c>
      <c r="AA12" s="20">
        <f>Operational!AD12</f>
        <v>131</v>
      </c>
      <c r="AB12" s="20">
        <f>Operational!AE12</f>
        <v>141</v>
      </c>
      <c r="AC12" s="20">
        <f>Operational!AF12</f>
        <v>131</v>
      </c>
      <c r="AD12" s="20">
        <f>Operational!AG12</f>
        <v>141</v>
      </c>
      <c r="AE12" s="15">
        <f>Maximum!Q12</f>
        <v>61.85</v>
      </c>
      <c r="AF12" s="20">
        <f>Maximum!AD12</f>
        <v>399</v>
      </c>
      <c r="AG12" s="20">
        <f>Maximum!V12</f>
        <v>4.57</v>
      </c>
      <c r="AH12" s="20">
        <f>Maximum!W12</f>
        <v>4.25</v>
      </c>
      <c r="AI12" s="20">
        <f>Maximum!X12</f>
        <v>5.26</v>
      </c>
      <c r="AJ12" s="20">
        <f>Maximum!Y12</f>
        <v>3.87</v>
      </c>
      <c r="AK12" s="20">
        <f t="shared" si="1"/>
        <v>2.0000000000000018E-2</v>
      </c>
      <c r="AL12" s="20">
        <f t="shared" si="2"/>
        <v>-2.0000000000000018E-2</v>
      </c>
      <c r="AM12" s="20">
        <f t="shared" si="3"/>
        <v>-2.9999999999999805E-2</v>
      </c>
      <c r="AN12" s="20">
        <f t="shared" si="4"/>
        <v>0</v>
      </c>
      <c r="AO12" s="20">
        <f t="shared" si="5"/>
        <v>-0.20999999999999996</v>
      </c>
      <c r="AP12" s="20">
        <f t="shared" si="6"/>
        <v>-0.19000000000000039</v>
      </c>
      <c r="AQ12" s="20">
        <f t="shared" si="7"/>
        <v>-0.17999999999999972</v>
      </c>
      <c r="AR12" s="20">
        <f t="shared" si="8"/>
        <v>-0.12000000000000011</v>
      </c>
    </row>
    <row r="13" spans="1:44" s="20" customFormat="1">
      <c r="A13" s="9">
        <f>Operational!Q13</f>
        <v>10.050000000000001</v>
      </c>
      <c r="B13" s="20">
        <f>Operational!R13</f>
        <v>1268.7180000000001</v>
      </c>
      <c r="C13" s="20">
        <f>Operational!S13</f>
        <v>1288.54</v>
      </c>
      <c r="D13" s="20">
        <f>Operational!T13</f>
        <v>1309.249</v>
      </c>
      <c r="E13" s="20">
        <f>Operational!U13</f>
        <v>1328.5530000000001</v>
      </c>
      <c r="G13" s="15">
        <f>Maximum!Q13</f>
        <v>60.99</v>
      </c>
      <c r="H13" s="20">
        <f>Maximum!R13</f>
        <v>1274.4269999999999</v>
      </c>
      <c r="I13" s="20">
        <f>Maximum!S13</f>
        <v>1294.3969999999999</v>
      </c>
      <c r="J13" s="20">
        <f>Maximum!T13</f>
        <v>1314.9860000000001</v>
      </c>
      <c r="K13" s="20">
        <f>Maximum!U13</f>
        <v>1334.393</v>
      </c>
      <c r="V13" s="9">
        <f t="shared" si="0"/>
        <v>10.050000000000001</v>
      </c>
      <c r="W13" s="20">
        <f>Operational!V13</f>
        <v>1.32</v>
      </c>
      <c r="X13" s="20">
        <f>Operational!W13</f>
        <v>1.08</v>
      </c>
      <c r="Y13" s="20">
        <f>Operational!X13</f>
        <v>2.5099999999999998</v>
      </c>
      <c r="Z13" s="20">
        <f>Operational!Y13</f>
        <v>2.0699999999999998</v>
      </c>
      <c r="AA13" s="20">
        <f>Operational!AD13</f>
        <v>132</v>
      </c>
      <c r="AB13" s="20">
        <f>Operational!AE13</f>
        <v>141</v>
      </c>
      <c r="AC13" s="20">
        <f>Operational!AF13</f>
        <v>132</v>
      </c>
      <c r="AD13" s="20">
        <f>Operational!AG13</f>
        <v>141</v>
      </c>
      <c r="AE13" s="15">
        <f>Maximum!Q13</f>
        <v>60.99</v>
      </c>
      <c r="AF13" s="20">
        <f>Maximum!AD13</f>
        <v>399</v>
      </c>
      <c r="AG13" s="20">
        <f>Maximum!V13</f>
        <v>4.62</v>
      </c>
      <c r="AH13" s="20">
        <f>Maximum!W13</f>
        <v>4.3899999999999997</v>
      </c>
      <c r="AI13" s="20">
        <f>Maximum!X13</f>
        <v>5.33</v>
      </c>
      <c r="AJ13" s="20">
        <f>Maximum!Y13</f>
        <v>3.92</v>
      </c>
      <c r="AK13" s="20">
        <f t="shared" si="1"/>
        <v>1.0000000000000009E-2</v>
      </c>
      <c r="AL13" s="20">
        <f t="shared" si="2"/>
        <v>-2.0000000000000018E-2</v>
      </c>
      <c r="AM13" s="20">
        <f t="shared" si="3"/>
        <v>0</v>
      </c>
      <c r="AN13" s="20">
        <f t="shared" si="4"/>
        <v>6.0000000000000053E-2</v>
      </c>
      <c r="AO13" s="20">
        <f t="shared" si="5"/>
        <v>-4.9999999999999822E-2</v>
      </c>
      <c r="AP13" s="20">
        <f t="shared" si="6"/>
        <v>-0.13999999999999968</v>
      </c>
      <c r="AQ13" s="20">
        <f t="shared" si="7"/>
        <v>-7.0000000000000284E-2</v>
      </c>
      <c r="AR13" s="20">
        <f t="shared" si="8"/>
        <v>-4.9999999999999822E-2</v>
      </c>
    </row>
    <row r="14" spans="1:44" s="20" customFormat="1">
      <c r="A14" s="9">
        <f>Operational!Q14</f>
        <v>10.95</v>
      </c>
      <c r="B14" s="20">
        <f>Operational!R14</f>
        <v>1268.7950000000001</v>
      </c>
      <c r="C14" s="20">
        <f>Operational!S14</f>
        <v>1288.6189999999999</v>
      </c>
      <c r="D14" s="20">
        <f>Operational!T14</f>
        <v>1309.329</v>
      </c>
      <c r="E14" s="20">
        <f>Operational!U14</f>
        <v>1328.634</v>
      </c>
      <c r="G14" s="15">
        <f>Maximum!Q14</f>
        <v>60.11</v>
      </c>
      <c r="H14" s="20">
        <f>Maximum!R14</f>
        <v>1274.3409999999999</v>
      </c>
      <c r="I14" s="20">
        <f>Maximum!S14</f>
        <v>1294.31</v>
      </c>
      <c r="J14" s="20">
        <f>Maximum!T14</f>
        <v>1314.902</v>
      </c>
      <c r="K14" s="20">
        <f>Maximum!U14</f>
        <v>1334.308</v>
      </c>
      <c r="V14" s="9">
        <f t="shared" si="0"/>
        <v>10.95</v>
      </c>
      <c r="W14" s="20">
        <f>Operational!V14</f>
        <v>1.31</v>
      </c>
      <c r="X14" s="20">
        <f>Operational!W14</f>
        <v>1.1200000000000001</v>
      </c>
      <c r="Y14" s="20">
        <f>Operational!X14</f>
        <v>2.56</v>
      </c>
      <c r="Z14" s="20">
        <f>Operational!Y14</f>
        <v>2.0299999999999998</v>
      </c>
      <c r="AA14" s="20">
        <f>Operational!AD14</f>
        <v>133</v>
      </c>
      <c r="AB14" s="20">
        <f>Operational!AE14</f>
        <v>141</v>
      </c>
      <c r="AC14" s="20">
        <f>Operational!AF14</f>
        <v>133</v>
      </c>
      <c r="AD14" s="20">
        <f>Operational!AG14</f>
        <v>141</v>
      </c>
      <c r="AE14" s="15">
        <f>Maximum!Q14</f>
        <v>60.11</v>
      </c>
      <c r="AF14" s="20">
        <f>Maximum!AD14</f>
        <v>399</v>
      </c>
      <c r="AG14" s="20">
        <f>Maximum!V14</f>
        <v>4.75</v>
      </c>
      <c r="AH14" s="20">
        <f>Maximum!W14</f>
        <v>4.5199999999999996</v>
      </c>
      <c r="AI14" s="20">
        <f>Maximum!X14</f>
        <v>5.43</v>
      </c>
      <c r="AJ14" s="20">
        <f>Maximum!Y14</f>
        <v>3.93</v>
      </c>
      <c r="AK14" s="20">
        <f t="shared" si="1"/>
        <v>1.0000000000000009E-2</v>
      </c>
      <c r="AL14" s="20">
        <f t="shared" si="2"/>
        <v>-4.0000000000000036E-2</v>
      </c>
      <c r="AM14" s="20">
        <f t="shared" si="3"/>
        <v>-5.0000000000000266E-2</v>
      </c>
      <c r="AN14" s="20">
        <f t="shared" si="4"/>
        <v>4.0000000000000036E-2</v>
      </c>
      <c r="AO14" s="20">
        <f t="shared" si="5"/>
        <v>-0.12999999999999989</v>
      </c>
      <c r="AP14" s="20">
        <f t="shared" si="6"/>
        <v>-0.12999999999999989</v>
      </c>
      <c r="AQ14" s="20">
        <f t="shared" si="7"/>
        <v>-9.9999999999999645E-2</v>
      </c>
      <c r="AR14" s="20">
        <f t="shared" si="8"/>
        <v>-1.0000000000000231E-2</v>
      </c>
    </row>
    <row r="15" spans="1:44" s="20" customFormat="1">
      <c r="A15" s="9">
        <f>Operational!Q15</f>
        <v>11.82</v>
      </c>
      <c r="B15" s="20">
        <f>Operational!R15</f>
        <v>1268.875</v>
      </c>
      <c r="C15" s="20">
        <f>Operational!S15</f>
        <v>1288.6990000000001</v>
      </c>
      <c r="D15" s="20">
        <f>Operational!T15</f>
        <v>1309.4090000000001</v>
      </c>
      <c r="E15" s="20">
        <f>Operational!U15</f>
        <v>1328.7149999999999</v>
      </c>
      <c r="G15" s="15">
        <f>Maximum!Q15</f>
        <v>59.21</v>
      </c>
      <c r="H15" s="20">
        <f>Maximum!R15</f>
        <v>1274.2560000000001</v>
      </c>
      <c r="I15" s="20">
        <f>Maximum!S15</f>
        <v>1294.223</v>
      </c>
      <c r="J15" s="20">
        <f>Maximum!T15</f>
        <v>1314.817</v>
      </c>
      <c r="K15" s="20">
        <f>Maximum!U15</f>
        <v>1334.223</v>
      </c>
      <c r="V15" s="9">
        <f t="shared" si="0"/>
        <v>11.82</v>
      </c>
      <c r="W15" s="20">
        <f>Operational!V15</f>
        <v>1.33</v>
      </c>
      <c r="X15" s="20">
        <f>Operational!W15</f>
        <v>1.06</v>
      </c>
      <c r="Y15" s="20">
        <f>Operational!X15</f>
        <v>2.62</v>
      </c>
      <c r="Z15" s="20">
        <f>Operational!Y15</f>
        <v>2.08</v>
      </c>
      <c r="AA15" s="20">
        <f>Operational!AD15</f>
        <v>134</v>
      </c>
      <c r="AB15" s="20">
        <f>Operational!AE15</f>
        <v>141</v>
      </c>
      <c r="AC15" s="20">
        <f>Operational!AF15</f>
        <v>134</v>
      </c>
      <c r="AD15" s="20">
        <f>Operational!AG15</f>
        <v>141</v>
      </c>
      <c r="AE15" s="15">
        <f>Maximum!Q15</f>
        <v>59.21</v>
      </c>
      <c r="AF15" s="20">
        <f>Maximum!AD15</f>
        <v>399</v>
      </c>
      <c r="AG15" s="20">
        <f>Maximum!V15</f>
        <v>4.78</v>
      </c>
      <c r="AH15" s="20">
        <f>Maximum!W15</f>
        <v>4.6399999999999997</v>
      </c>
      <c r="AI15" s="20">
        <f>Maximum!X15</f>
        <v>5.51</v>
      </c>
      <c r="AJ15" s="20">
        <f>Maximum!Y15</f>
        <v>4.04</v>
      </c>
      <c r="AK15" s="20">
        <f t="shared" si="1"/>
        <v>-2.0000000000000018E-2</v>
      </c>
      <c r="AL15" s="20">
        <f t="shared" si="2"/>
        <v>6.0000000000000053E-2</v>
      </c>
      <c r="AM15" s="20">
        <f t="shared" si="3"/>
        <v>-6.0000000000000053E-2</v>
      </c>
      <c r="AN15" s="20">
        <f t="shared" si="4"/>
        <v>-5.0000000000000266E-2</v>
      </c>
      <c r="AO15" s="20">
        <f t="shared" si="5"/>
        <v>-3.0000000000000249E-2</v>
      </c>
      <c r="AP15" s="20">
        <f t="shared" si="6"/>
        <v>-0.12000000000000011</v>
      </c>
      <c r="AQ15" s="20">
        <f t="shared" si="7"/>
        <v>-8.0000000000000071E-2</v>
      </c>
      <c r="AR15" s="20">
        <f t="shared" si="8"/>
        <v>-0.10999999999999988</v>
      </c>
    </row>
    <row r="16" spans="1:44" s="20" customFormat="1">
      <c r="A16" s="9">
        <f>Operational!Q16</f>
        <v>12.69</v>
      </c>
      <c r="B16" s="20">
        <f>Operational!R16</f>
        <v>1268.9549999999999</v>
      </c>
      <c r="C16" s="20">
        <f>Operational!S16</f>
        <v>1288.78</v>
      </c>
      <c r="D16" s="20">
        <f>Operational!T16</f>
        <v>1309.49</v>
      </c>
      <c r="E16" s="20">
        <f>Operational!U16</f>
        <v>1328.797</v>
      </c>
      <c r="G16" s="15">
        <f>Maximum!Q16</f>
        <v>58.36</v>
      </c>
      <c r="H16" s="20">
        <f>Maximum!R16</f>
        <v>1274.172</v>
      </c>
      <c r="I16" s="20">
        <f>Maximum!S16</f>
        <v>1294.1369999999999</v>
      </c>
      <c r="J16" s="20">
        <f>Maximum!T16</f>
        <v>1314.731</v>
      </c>
      <c r="K16" s="20">
        <f>Maximum!U16</f>
        <v>1334.135</v>
      </c>
      <c r="V16" s="9">
        <f t="shared" si="0"/>
        <v>12.69</v>
      </c>
      <c r="W16" s="20">
        <f>Operational!V16</f>
        <v>1.38</v>
      </c>
      <c r="X16" s="20">
        <f>Operational!W16</f>
        <v>1.05</v>
      </c>
      <c r="Y16" s="20">
        <f>Operational!X16</f>
        <v>2.6</v>
      </c>
      <c r="Z16" s="20">
        <f>Operational!Y16</f>
        <v>2.0099999999999998</v>
      </c>
      <c r="AA16" s="20">
        <f>Operational!AD16</f>
        <v>135</v>
      </c>
      <c r="AB16" s="20">
        <f>Operational!AE16</f>
        <v>141</v>
      </c>
      <c r="AC16" s="20">
        <f>Operational!AF16</f>
        <v>135</v>
      </c>
      <c r="AD16" s="20">
        <f>Operational!AG16</f>
        <v>141</v>
      </c>
      <c r="AE16" s="15">
        <f>Maximum!Q16</f>
        <v>58.36</v>
      </c>
      <c r="AF16" s="20">
        <f>Maximum!AD16</f>
        <v>399</v>
      </c>
      <c r="AG16" s="20">
        <f>Maximum!V16</f>
        <v>4.9400000000000004</v>
      </c>
      <c r="AH16" s="20">
        <f>Maximum!W16</f>
        <v>4.7699999999999996</v>
      </c>
      <c r="AI16" s="20">
        <f>Maximum!X16</f>
        <v>5.67</v>
      </c>
      <c r="AJ16" s="20">
        <f>Maximum!Y16</f>
        <v>4.09</v>
      </c>
      <c r="AK16" s="20">
        <f t="shared" si="1"/>
        <v>-4.9999999999999822E-2</v>
      </c>
      <c r="AL16" s="20">
        <f t="shared" si="2"/>
        <v>1.0000000000000009E-2</v>
      </c>
      <c r="AM16" s="20">
        <f t="shared" si="3"/>
        <v>2.0000000000000018E-2</v>
      </c>
      <c r="AN16" s="20">
        <f t="shared" si="4"/>
        <v>7.0000000000000284E-2</v>
      </c>
      <c r="AO16" s="20">
        <f t="shared" si="5"/>
        <v>-0.16000000000000014</v>
      </c>
      <c r="AP16" s="20">
        <f t="shared" si="6"/>
        <v>-0.12999999999999989</v>
      </c>
      <c r="AQ16" s="20">
        <f t="shared" si="7"/>
        <v>-0.16000000000000014</v>
      </c>
      <c r="AR16" s="20">
        <f t="shared" si="8"/>
        <v>-4.9999999999999822E-2</v>
      </c>
    </row>
    <row r="17" spans="1:44" s="20" customFormat="1">
      <c r="A17" s="9">
        <f>Operational!Q17</f>
        <v>13.56</v>
      </c>
      <c r="B17" s="20">
        <f>Operational!R17</f>
        <v>1269.0350000000001</v>
      </c>
      <c r="C17" s="20">
        <f>Operational!S17</f>
        <v>1288.8599999999999</v>
      </c>
      <c r="D17" s="20">
        <f>Operational!T17</f>
        <v>1309.5730000000001</v>
      </c>
      <c r="E17" s="20">
        <f>Operational!U17</f>
        <v>1328.88</v>
      </c>
      <c r="G17" s="15">
        <f>Maximum!Q17</f>
        <v>57.54</v>
      </c>
      <c r="H17" s="20">
        <f>Maximum!R17</f>
        <v>1274.085</v>
      </c>
      <c r="I17" s="20">
        <f>Maximum!S17</f>
        <v>1294.05</v>
      </c>
      <c r="J17" s="20">
        <f>Maximum!T17</f>
        <v>1314.6469999999999</v>
      </c>
      <c r="K17" s="20">
        <f>Maximum!U17</f>
        <v>1334.05</v>
      </c>
      <c r="V17" s="9">
        <f t="shared" si="0"/>
        <v>13.56</v>
      </c>
      <c r="W17" s="20">
        <f>Operational!V17</f>
        <v>1.42</v>
      </c>
      <c r="X17" s="20">
        <f>Operational!W17</f>
        <v>1.08</v>
      </c>
      <c r="Y17" s="20">
        <f>Operational!X17</f>
        <v>2.59</v>
      </c>
      <c r="Z17" s="20">
        <f>Operational!Y17</f>
        <v>2.02</v>
      </c>
      <c r="AA17" s="20">
        <f>Operational!AD17</f>
        <v>136</v>
      </c>
      <c r="AB17" s="20">
        <f>Operational!AE17</f>
        <v>141</v>
      </c>
      <c r="AC17" s="20">
        <f>Operational!AF17</f>
        <v>136</v>
      </c>
      <c r="AD17" s="20">
        <f>Operational!AG17</f>
        <v>141</v>
      </c>
      <c r="AE17" s="15">
        <f>Maximum!Q17</f>
        <v>57.54</v>
      </c>
      <c r="AF17" s="20">
        <f>Maximum!AD17</f>
        <v>399</v>
      </c>
      <c r="AG17" s="20">
        <f>Maximum!V17</f>
        <v>5.0599999999999996</v>
      </c>
      <c r="AH17" s="20">
        <f>Maximum!W17</f>
        <v>4.88</v>
      </c>
      <c r="AI17" s="20">
        <f>Maximum!X17</f>
        <v>5.71</v>
      </c>
      <c r="AJ17" s="20">
        <f>Maximum!Y17</f>
        <v>4.1900000000000004</v>
      </c>
      <c r="AK17" s="20">
        <f t="shared" si="1"/>
        <v>-4.0000000000000036E-2</v>
      </c>
      <c r="AL17" s="20">
        <f t="shared" si="2"/>
        <v>-3.0000000000000027E-2</v>
      </c>
      <c r="AM17" s="20">
        <f t="shared" si="3"/>
        <v>1.0000000000000231E-2</v>
      </c>
      <c r="AN17" s="20">
        <f t="shared" si="4"/>
        <v>-1.0000000000000231E-2</v>
      </c>
      <c r="AO17" s="20">
        <f t="shared" si="5"/>
        <v>-0.11999999999999922</v>
      </c>
      <c r="AP17" s="20">
        <f t="shared" si="6"/>
        <v>-0.11000000000000032</v>
      </c>
      <c r="AQ17" s="20">
        <f t="shared" si="7"/>
        <v>-4.0000000000000036E-2</v>
      </c>
      <c r="AR17" s="20">
        <f t="shared" si="8"/>
        <v>-0.10000000000000053</v>
      </c>
    </row>
    <row r="18" spans="1:44" s="20" customFormat="1">
      <c r="A18" s="9">
        <f>Operational!Q18</f>
        <v>14.41</v>
      </c>
      <c r="B18" s="20">
        <f>Operational!R18</f>
        <v>1269.114</v>
      </c>
      <c r="C18" s="20">
        <f>Operational!S18</f>
        <v>1288.9390000000001</v>
      </c>
      <c r="D18" s="20">
        <f>Operational!T18</f>
        <v>1309.654</v>
      </c>
      <c r="E18" s="20">
        <f>Operational!U18</f>
        <v>1328.961</v>
      </c>
      <c r="G18" s="15">
        <f>Maximum!Q18</f>
        <v>56.68</v>
      </c>
      <c r="H18" s="20">
        <f>Maximum!R18</f>
        <v>1274.0029999999999</v>
      </c>
      <c r="I18" s="20">
        <f>Maximum!S18</f>
        <v>1293.9659999999999</v>
      </c>
      <c r="J18" s="20">
        <f>Maximum!T18</f>
        <v>1314.566</v>
      </c>
      <c r="K18" s="20">
        <f>Maximum!U18</f>
        <v>1333.9680000000001</v>
      </c>
      <c r="V18" s="9">
        <f t="shared" si="0"/>
        <v>14.41</v>
      </c>
      <c r="W18" s="20">
        <f>Operational!V18</f>
        <v>1.45</v>
      </c>
      <c r="X18" s="20">
        <f>Operational!W18</f>
        <v>1.04</v>
      </c>
      <c r="Y18" s="20">
        <f>Operational!X18</f>
        <v>2.66</v>
      </c>
      <c r="Z18" s="20">
        <f>Operational!Y18</f>
        <v>2.06</v>
      </c>
      <c r="AA18" s="20">
        <f>Operational!AD18</f>
        <v>137</v>
      </c>
      <c r="AB18" s="20">
        <f>Operational!AE18</f>
        <v>142</v>
      </c>
      <c r="AC18" s="20">
        <f>Operational!AF18</f>
        <v>137</v>
      </c>
      <c r="AD18" s="20">
        <f>Operational!AG18</f>
        <v>142</v>
      </c>
      <c r="AE18" s="15">
        <f>Maximum!Q18</f>
        <v>56.68</v>
      </c>
      <c r="AF18" s="20">
        <f>Maximum!AD18</f>
        <v>399</v>
      </c>
      <c r="AG18" s="20">
        <f>Maximum!V18</f>
        <v>5.14</v>
      </c>
      <c r="AH18" s="20">
        <f>Maximum!W18</f>
        <v>5.0199999999999996</v>
      </c>
      <c r="AI18" s="20">
        <f>Maximum!X18</f>
        <v>5.79</v>
      </c>
      <c r="AJ18" s="20">
        <f>Maximum!Y18</f>
        <v>4.18</v>
      </c>
      <c r="AK18" s="20">
        <f t="shared" si="1"/>
        <v>-3.0000000000000027E-2</v>
      </c>
      <c r="AL18" s="20">
        <f t="shared" si="2"/>
        <v>4.0000000000000036E-2</v>
      </c>
      <c r="AM18" s="20">
        <f t="shared" si="3"/>
        <v>-7.0000000000000284E-2</v>
      </c>
      <c r="AN18" s="20">
        <f t="shared" si="4"/>
        <v>-4.0000000000000036E-2</v>
      </c>
      <c r="AO18" s="20">
        <f t="shared" si="5"/>
        <v>-8.0000000000000071E-2</v>
      </c>
      <c r="AP18" s="20">
        <f t="shared" si="6"/>
        <v>-0.13999999999999968</v>
      </c>
      <c r="AQ18" s="20">
        <f t="shared" si="7"/>
        <v>-8.0000000000000071E-2</v>
      </c>
      <c r="AR18" s="20">
        <f t="shared" si="8"/>
        <v>1.0000000000000675E-2</v>
      </c>
    </row>
    <row r="19" spans="1:44" s="20" customFormat="1">
      <c r="A19" s="9">
        <f>Operational!Q19</f>
        <v>15.26</v>
      </c>
      <c r="B19" s="20">
        <f>Operational!R19</f>
        <v>1269.193</v>
      </c>
      <c r="C19" s="20">
        <f>Operational!S19</f>
        <v>1289.02</v>
      </c>
      <c r="D19" s="20">
        <f>Operational!T19</f>
        <v>1309.7349999999999</v>
      </c>
      <c r="E19" s="20">
        <f>Operational!U19</f>
        <v>1329.0409999999999</v>
      </c>
      <c r="G19" s="15">
        <f>Maximum!Q19</f>
        <v>55.84</v>
      </c>
      <c r="H19" s="20">
        <f>Maximum!R19</f>
        <v>1273.925</v>
      </c>
      <c r="I19" s="20">
        <f>Maximum!S19</f>
        <v>1293.8869999999999</v>
      </c>
      <c r="J19" s="20">
        <f>Maximum!T19</f>
        <v>1314.4880000000001</v>
      </c>
      <c r="K19" s="20">
        <f>Maximum!U19</f>
        <v>1333.8889999999999</v>
      </c>
      <c r="V19" s="9">
        <f t="shared" si="0"/>
        <v>15.26</v>
      </c>
      <c r="W19" s="20">
        <f>Operational!V19</f>
        <v>1.39</v>
      </c>
      <c r="X19" s="20">
        <f>Operational!W19</f>
        <v>1.07</v>
      </c>
      <c r="Y19" s="20">
        <f>Operational!X19</f>
        <v>2.66</v>
      </c>
      <c r="Z19" s="20">
        <f>Operational!Y19</f>
        <v>2.0099999999999998</v>
      </c>
      <c r="AA19" s="20">
        <f>Operational!AD19</f>
        <v>138</v>
      </c>
      <c r="AB19" s="20">
        <f>Operational!AE19</f>
        <v>142</v>
      </c>
      <c r="AC19" s="20">
        <f>Operational!AF19</f>
        <v>138</v>
      </c>
      <c r="AD19" s="20">
        <f>Operational!AG19</f>
        <v>142</v>
      </c>
      <c r="AE19" s="15">
        <f>Maximum!Q19</f>
        <v>55.84</v>
      </c>
      <c r="AF19" s="20">
        <f>Maximum!AD19</f>
        <v>399</v>
      </c>
      <c r="AG19" s="20">
        <f>Maximum!V19</f>
        <v>5.28</v>
      </c>
      <c r="AH19" s="20">
        <f>Maximum!W19</f>
        <v>5.15</v>
      </c>
      <c r="AI19" s="20">
        <f>Maximum!X19</f>
        <v>5.86</v>
      </c>
      <c r="AJ19" s="20">
        <f>Maximum!Y19</f>
        <v>4.2699999999999996</v>
      </c>
      <c r="AK19" s="20">
        <f t="shared" si="1"/>
        <v>6.0000000000000053E-2</v>
      </c>
      <c r="AL19" s="20">
        <f t="shared" si="2"/>
        <v>-3.0000000000000027E-2</v>
      </c>
      <c r="AM19" s="20">
        <f t="shared" si="3"/>
        <v>0</v>
      </c>
      <c r="AN19" s="20">
        <f t="shared" si="4"/>
        <v>5.0000000000000266E-2</v>
      </c>
      <c r="AO19" s="20">
        <f t="shared" si="5"/>
        <v>-0.14000000000000057</v>
      </c>
      <c r="AP19" s="20">
        <f t="shared" si="6"/>
        <v>-0.13000000000000078</v>
      </c>
      <c r="AQ19" s="20">
        <f t="shared" si="7"/>
        <v>-7.0000000000000284E-2</v>
      </c>
      <c r="AR19" s="20">
        <f t="shared" si="8"/>
        <v>-8.9999999999999858E-2</v>
      </c>
    </row>
    <row r="20" spans="1:44" s="20" customFormat="1">
      <c r="A20" s="9">
        <f>Operational!Q20</f>
        <v>16.12</v>
      </c>
      <c r="B20" s="20">
        <f>Operational!R20</f>
        <v>1269.27</v>
      </c>
      <c r="C20" s="20">
        <f>Operational!S20</f>
        <v>1289.098</v>
      </c>
      <c r="D20" s="20">
        <f>Operational!T20</f>
        <v>1309.8140000000001</v>
      </c>
      <c r="E20" s="20">
        <f>Operational!U20</f>
        <v>1329.12</v>
      </c>
      <c r="G20" s="15">
        <f>Maximum!Q20</f>
        <v>55.01</v>
      </c>
      <c r="H20" s="20">
        <f>Maximum!R20</f>
        <v>1273.848</v>
      </c>
      <c r="I20" s="20">
        <f>Maximum!S20</f>
        <v>1293.808</v>
      </c>
      <c r="J20" s="20">
        <f>Maximum!T20</f>
        <v>1314.413</v>
      </c>
      <c r="K20" s="20">
        <f>Maximum!U20</f>
        <v>1333.807</v>
      </c>
      <c r="V20" s="9">
        <f t="shared" si="0"/>
        <v>16.12</v>
      </c>
      <c r="W20" s="20">
        <f>Operational!V20</f>
        <v>1.29</v>
      </c>
      <c r="X20" s="20">
        <f>Operational!W20</f>
        <v>1.07</v>
      </c>
      <c r="Y20" s="20">
        <f>Operational!X20</f>
        <v>2.61</v>
      </c>
      <c r="Z20" s="20">
        <f>Operational!Y20</f>
        <v>1.97</v>
      </c>
      <c r="AA20" s="20">
        <f>Operational!AD20</f>
        <v>138</v>
      </c>
      <c r="AB20" s="20">
        <f>Operational!AE20</f>
        <v>142</v>
      </c>
      <c r="AC20" s="20">
        <f>Operational!AF20</f>
        <v>138</v>
      </c>
      <c r="AD20" s="20">
        <f>Operational!AG20</f>
        <v>142</v>
      </c>
      <c r="AE20" s="15">
        <f>Maximum!Q20</f>
        <v>55.01</v>
      </c>
      <c r="AF20" s="20">
        <f>Maximum!AD20</f>
        <v>399</v>
      </c>
      <c r="AG20" s="20">
        <f>Maximum!V20</f>
        <v>5.43</v>
      </c>
      <c r="AH20" s="20">
        <f>Maximum!W20</f>
        <v>5.28</v>
      </c>
      <c r="AI20" s="20">
        <f>Maximum!X20</f>
        <v>5.9</v>
      </c>
      <c r="AJ20" s="20">
        <f>Maximum!Y20</f>
        <v>4.43</v>
      </c>
      <c r="AK20" s="20">
        <f t="shared" si="1"/>
        <v>9.9999999999999867E-2</v>
      </c>
      <c r="AL20" s="20">
        <f t="shared" si="2"/>
        <v>0</v>
      </c>
      <c r="AM20" s="20">
        <f t="shared" si="3"/>
        <v>5.0000000000000266E-2</v>
      </c>
      <c r="AN20" s="20">
        <f t="shared" si="4"/>
        <v>3.9999999999999813E-2</v>
      </c>
      <c r="AO20" s="20">
        <f t="shared" si="5"/>
        <v>-0.14999999999999947</v>
      </c>
      <c r="AP20" s="20">
        <f t="shared" si="6"/>
        <v>-0.12999999999999989</v>
      </c>
      <c r="AQ20" s="20">
        <f t="shared" si="7"/>
        <v>-4.0000000000000036E-2</v>
      </c>
      <c r="AR20" s="20">
        <f t="shared" si="8"/>
        <v>-0.16000000000000014</v>
      </c>
    </row>
    <row r="21" spans="1:44" s="20" customFormat="1">
      <c r="A21" s="9">
        <f>Operational!Q21</f>
        <v>16.989999999999998</v>
      </c>
      <c r="B21" s="20">
        <f>Operational!R21</f>
        <v>1269.348</v>
      </c>
      <c r="C21" s="20">
        <f>Operational!S21</f>
        <v>1289.1769999999999</v>
      </c>
      <c r="D21" s="20">
        <f>Operational!T21</f>
        <v>1309.893</v>
      </c>
      <c r="E21" s="20">
        <f>Operational!U21</f>
        <v>1329.201</v>
      </c>
      <c r="G21" s="15">
        <f>Maximum!Q21</f>
        <v>54.16</v>
      </c>
      <c r="H21" s="20">
        <f>Maximum!R21</f>
        <v>1273.769</v>
      </c>
      <c r="I21" s="20">
        <f>Maximum!S21</f>
        <v>1293.7260000000001</v>
      </c>
      <c r="J21" s="20">
        <f>Maximum!T21</f>
        <v>1314.335</v>
      </c>
      <c r="K21" s="20">
        <f>Maximum!U21</f>
        <v>1333.7280000000001</v>
      </c>
      <c r="V21" s="9">
        <f t="shared" si="0"/>
        <v>16.989999999999998</v>
      </c>
      <c r="W21" s="20">
        <f>Operational!V21</f>
        <v>1.24</v>
      </c>
      <c r="X21" s="20">
        <f>Operational!W21</f>
        <v>1.04</v>
      </c>
      <c r="Y21" s="20">
        <f>Operational!X21</f>
        <v>2.63</v>
      </c>
      <c r="Z21" s="20">
        <f>Operational!Y21</f>
        <v>2.0499999999999998</v>
      </c>
      <c r="AA21" s="20">
        <f>Operational!AD21</f>
        <v>138</v>
      </c>
      <c r="AB21" s="20">
        <f>Operational!AE21</f>
        <v>142</v>
      </c>
      <c r="AC21" s="20">
        <f>Operational!AF21</f>
        <v>138</v>
      </c>
      <c r="AD21" s="20">
        <f>Operational!AG21</f>
        <v>142</v>
      </c>
      <c r="AE21" s="15">
        <f>Maximum!Q21</f>
        <v>54.16</v>
      </c>
      <c r="AF21" s="20">
        <f>Maximum!AD21</f>
        <v>399</v>
      </c>
      <c r="AG21" s="20">
        <f>Maximum!V21</f>
        <v>5.48</v>
      </c>
      <c r="AH21" s="20">
        <f>Maximum!W21</f>
        <v>5.38</v>
      </c>
      <c r="AI21" s="20">
        <f>Maximum!X21</f>
        <v>5.99</v>
      </c>
      <c r="AJ21" s="20">
        <f>Maximum!Y21</f>
        <v>4.51</v>
      </c>
      <c r="AK21" s="20">
        <f t="shared" si="1"/>
        <v>5.0000000000000044E-2</v>
      </c>
      <c r="AL21" s="20">
        <f t="shared" si="2"/>
        <v>3.0000000000000027E-2</v>
      </c>
      <c r="AM21" s="20">
        <f t="shared" si="3"/>
        <v>-2.0000000000000018E-2</v>
      </c>
      <c r="AN21" s="20">
        <f t="shared" si="4"/>
        <v>-7.9999999999999849E-2</v>
      </c>
      <c r="AO21" s="20">
        <f t="shared" si="5"/>
        <v>-5.0000000000000711E-2</v>
      </c>
      <c r="AP21" s="20">
        <f t="shared" si="6"/>
        <v>-9.9999999999999645E-2</v>
      </c>
      <c r="AQ21" s="20">
        <f t="shared" si="7"/>
        <v>-8.9999999999999858E-2</v>
      </c>
      <c r="AR21" s="20">
        <f t="shared" si="8"/>
        <v>-8.0000000000000071E-2</v>
      </c>
    </row>
    <row r="22" spans="1:44" s="20" customFormat="1">
      <c r="A22" s="9">
        <f>Operational!Q22</f>
        <v>17.829999999999998</v>
      </c>
      <c r="B22" s="20">
        <f>Operational!R22</f>
        <v>1269.424</v>
      </c>
      <c r="C22" s="20">
        <f>Operational!S22</f>
        <v>1289.2539999999999</v>
      </c>
      <c r="D22" s="20">
        <f>Operational!T22</f>
        <v>1309.97</v>
      </c>
      <c r="E22" s="20">
        <f>Operational!U22</f>
        <v>1329.2809999999999</v>
      </c>
      <c r="G22" s="15">
        <f>Maximum!Q22</f>
        <v>53.32</v>
      </c>
      <c r="H22" s="20">
        <f>Maximum!R22</f>
        <v>1273.69</v>
      </c>
      <c r="I22" s="20">
        <f>Maximum!S22</f>
        <v>1293.644</v>
      </c>
      <c r="J22" s="20">
        <f>Maximum!T22</f>
        <v>1314.2560000000001</v>
      </c>
      <c r="K22" s="20">
        <f>Maximum!U22</f>
        <v>1333.6469999999999</v>
      </c>
      <c r="V22" s="9">
        <f t="shared" si="0"/>
        <v>17.829999999999998</v>
      </c>
      <c r="W22" s="20">
        <f>Operational!V22</f>
        <v>1.28</v>
      </c>
      <c r="X22" s="20">
        <f>Operational!W22</f>
        <v>1.06</v>
      </c>
      <c r="Y22" s="20">
        <f>Operational!X22</f>
        <v>2.63</v>
      </c>
      <c r="Z22" s="20">
        <f>Operational!Y22</f>
        <v>2.04</v>
      </c>
      <c r="AA22" s="20">
        <f>Operational!AD22</f>
        <v>138</v>
      </c>
      <c r="AB22" s="20">
        <f>Operational!AE22</f>
        <v>143</v>
      </c>
      <c r="AC22" s="20">
        <f>Operational!AF22</f>
        <v>138</v>
      </c>
      <c r="AD22" s="20">
        <f>Operational!AG22</f>
        <v>143</v>
      </c>
      <c r="AE22" s="15">
        <f>Maximum!Q22</f>
        <v>53.32</v>
      </c>
      <c r="AF22" s="20">
        <f>Maximum!AD22</f>
        <v>399</v>
      </c>
      <c r="AG22" s="20">
        <f>Maximum!V22</f>
        <v>5.62</v>
      </c>
      <c r="AH22" s="20">
        <f>Maximum!W22</f>
        <v>5.48</v>
      </c>
      <c r="AI22" s="20">
        <f>Maximum!X22</f>
        <v>6.1</v>
      </c>
      <c r="AJ22" s="20">
        <f>Maximum!Y22</f>
        <v>4.5</v>
      </c>
      <c r="AK22" s="20">
        <f t="shared" si="1"/>
        <v>-4.0000000000000036E-2</v>
      </c>
      <c r="AL22" s="20">
        <f t="shared" si="2"/>
        <v>-2.0000000000000018E-2</v>
      </c>
      <c r="AM22" s="20">
        <f t="shared" si="3"/>
        <v>0</v>
      </c>
      <c r="AN22" s="20">
        <f t="shared" si="4"/>
        <v>9.9999999999997868E-3</v>
      </c>
      <c r="AO22" s="20">
        <f t="shared" si="5"/>
        <v>-0.13999999999999968</v>
      </c>
      <c r="AP22" s="20">
        <f t="shared" si="6"/>
        <v>-0.10000000000000053</v>
      </c>
      <c r="AQ22" s="20">
        <f t="shared" si="7"/>
        <v>-0.10999999999999943</v>
      </c>
      <c r="AR22" s="20">
        <f t="shared" si="8"/>
        <v>9.9999999999997868E-3</v>
      </c>
    </row>
    <row r="23" spans="1:44" s="20" customFormat="1">
      <c r="A23" s="9">
        <f>Operational!Q23</f>
        <v>18.68</v>
      </c>
      <c r="B23" s="20">
        <f>Operational!R23</f>
        <v>1269.5</v>
      </c>
      <c r="C23" s="20">
        <f>Operational!S23</f>
        <v>1289.3309999999999</v>
      </c>
      <c r="D23" s="20">
        <f>Operational!T23</f>
        <v>1310.047</v>
      </c>
      <c r="E23" s="20">
        <f>Operational!U23</f>
        <v>1329.3589999999999</v>
      </c>
      <c r="G23" s="15">
        <f>Maximum!Q23</f>
        <v>52.46</v>
      </c>
      <c r="H23" s="20">
        <f>Maximum!R23</f>
        <v>1273.6110000000001</v>
      </c>
      <c r="I23" s="20">
        <f>Maximum!S23</f>
        <v>1293.5640000000001</v>
      </c>
      <c r="J23" s="20">
        <f>Maximum!T23</f>
        <v>1314.1790000000001</v>
      </c>
      <c r="K23" s="20">
        <f>Maximum!U23</f>
        <v>1333.5640000000001</v>
      </c>
      <c r="V23" s="9">
        <f t="shared" si="0"/>
        <v>18.68</v>
      </c>
      <c r="W23" s="20">
        <f>Operational!V23</f>
        <v>1.32</v>
      </c>
      <c r="X23" s="20">
        <f>Operational!W23</f>
        <v>1.03</v>
      </c>
      <c r="Y23" s="20">
        <f>Operational!X23</f>
        <v>2.57</v>
      </c>
      <c r="Z23" s="20">
        <f>Operational!Y23</f>
        <v>1.99</v>
      </c>
      <c r="AA23" s="20">
        <f>Operational!AD23</f>
        <v>138</v>
      </c>
      <c r="AB23" s="20">
        <f>Operational!AE23</f>
        <v>143</v>
      </c>
      <c r="AC23" s="20">
        <f>Operational!AF23</f>
        <v>138</v>
      </c>
      <c r="AD23" s="20">
        <f>Operational!AG23</f>
        <v>143</v>
      </c>
      <c r="AE23" s="15">
        <f>Maximum!Q23</f>
        <v>52.46</v>
      </c>
      <c r="AF23" s="20">
        <f>Maximum!AD23</f>
        <v>399</v>
      </c>
      <c r="AG23" s="20">
        <f>Maximum!V23</f>
        <v>5.76</v>
      </c>
      <c r="AH23" s="20">
        <f>Maximum!W23</f>
        <v>5.59</v>
      </c>
      <c r="AI23" s="20">
        <f>Maximum!X23</f>
        <v>6.24</v>
      </c>
      <c r="AJ23" s="20">
        <f>Maximum!Y23</f>
        <v>4.53</v>
      </c>
      <c r="AK23" s="20">
        <f t="shared" si="1"/>
        <v>-4.0000000000000036E-2</v>
      </c>
      <c r="AL23" s="20">
        <f t="shared" si="2"/>
        <v>3.0000000000000027E-2</v>
      </c>
      <c r="AM23" s="20">
        <f t="shared" si="3"/>
        <v>6.0000000000000053E-2</v>
      </c>
      <c r="AN23" s="20">
        <f t="shared" si="4"/>
        <v>5.0000000000000044E-2</v>
      </c>
      <c r="AO23" s="20">
        <f t="shared" si="5"/>
        <v>-0.13999999999999968</v>
      </c>
      <c r="AP23" s="20">
        <f t="shared" si="6"/>
        <v>-0.10999999999999943</v>
      </c>
      <c r="AQ23" s="20">
        <f t="shared" si="7"/>
        <v>-0.14000000000000057</v>
      </c>
      <c r="AR23" s="20">
        <f t="shared" si="8"/>
        <v>-3.0000000000000249E-2</v>
      </c>
    </row>
    <row r="24" spans="1:44" s="20" customFormat="1">
      <c r="A24" s="9">
        <f>Operational!Q24</f>
        <v>19.5</v>
      </c>
      <c r="B24" s="20">
        <f>Operational!R24</f>
        <v>1269.577</v>
      </c>
      <c r="C24" s="20">
        <f>Operational!S24</f>
        <v>1289.4090000000001</v>
      </c>
      <c r="D24" s="20">
        <f>Operational!T24</f>
        <v>1310.124</v>
      </c>
      <c r="E24" s="20">
        <f>Operational!U24</f>
        <v>1329.4369999999999</v>
      </c>
      <c r="G24" s="15">
        <f>Maximum!Q24</f>
        <v>51.61</v>
      </c>
      <c r="H24" s="20">
        <f>Maximum!R24</f>
        <v>1273.5340000000001</v>
      </c>
      <c r="I24" s="20">
        <f>Maximum!S24</f>
        <v>1293.4849999999999</v>
      </c>
      <c r="J24" s="20">
        <f>Maximum!T24</f>
        <v>1314.1020000000001</v>
      </c>
      <c r="K24" s="20">
        <f>Maximum!U24</f>
        <v>1333.4860000000001</v>
      </c>
      <c r="V24" s="9">
        <f t="shared" si="0"/>
        <v>19.5</v>
      </c>
      <c r="W24" s="20">
        <f>Operational!V24</f>
        <v>1.35</v>
      </c>
      <c r="X24" s="20">
        <f>Operational!W24</f>
        <v>1.07</v>
      </c>
      <c r="Y24" s="20">
        <f>Operational!X24</f>
        <v>2.54</v>
      </c>
      <c r="Z24" s="20">
        <f>Operational!Y24</f>
        <v>2.0099999999999998</v>
      </c>
      <c r="AA24" s="20">
        <f>Operational!AD24</f>
        <v>139</v>
      </c>
      <c r="AB24" s="20">
        <f>Operational!AE24</f>
        <v>143</v>
      </c>
      <c r="AC24" s="20">
        <f>Operational!AF24</f>
        <v>139</v>
      </c>
      <c r="AD24" s="20">
        <f>Operational!AG24</f>
        <v>143</v>
      </c>
      <c r="AE24" s="15">
        <f>Maximum!Q24</f>
        <v>51.61</v>
      </c>
      <c r="AF24" s="20">
        <f>Maximum!AD24</f>
        <v>399</v>
      </c>
      <c r="AG24" s="20">
        <f>Maximum!V24</f>
        <v>5.79</v>
      </c>
      <c r="AH24" s="20">
        <f>Maximum!W24</f>
        <v>5.68</v>
      </c>
      <c r="AI24" s="20">
        <f>Maximum!X24</f>
        <v>6.3</v>
      </c>
      <c r="AJ24" s="20">
        <f>Maximum!Y24</f>
        <v>4.5</v>
      </c>
      <c r="AK24" s="20">
        <f t="shared" si="1"/>
        <v>-3.0000000000000027E-2</v>
      </c>
      <c r="AL24" s="20">
        <f t="shared" si="2"/>
        <v>-4.0000000000000036E-2</v>
      </c>
      <c r="AM24" s="20">
        <f t="shared" si="3"/>
        <v>2.9999999999999805E-2</v>
      </c>
      <c r="AN24" s="20">
        <f t="shared" si="4"/>
        <v>-1.9999999999999796E-2</v>
      </c>
      <c r="AO24" s="20">
        <f t="shared" si="5"/>
        <v>-3.0000000000000249E-2</v>
      </c>
      <c r="AP24" s="20">
        <f t="shared" si="6"/>
        <v>-8.9999999999999858E-2</v>
      </c>
      <c r="AQ24" s="20">
        <f t="shared" si="7"/>
        <v>-5.9999999999999609E-2</v>
      </c>
      <c r="AR24" s="20">
        <f t="shared" si="8"/>
        <v>3.0000000000000249E-2</v>
      </c>
    </row>
    <row r="25" spans="1:44" s="20" customFormat="1">
      <c r="A25" s="9">
        <f>Operational!Q25</f>
        <v>20.36</v>
      </c>
      <c r="B25" s="20">
        <f>Operational!R25</f>
        <v>1269.652</v>
      </c>
      <c r="C25" s="20">
        <f>Operational!S25</f>
        <v>1289.4860000000001</v>
      </c>
      <c r="D25" s="20">
        <f>Operational!T25</f>
        <v>1310.2</v>
      </c>
      <c r="E25" s="20">
        <f>Operational!U25</f>
        <v>1329.5160000000001</v>
      </c>
      <c r="G25" s="15">
        <f>Maximum!Q25</f>
        <v>50.75</v>
      </c>
      <c r="H25" s="20">
        <f>Maximum!R25</f>
        <v>1273.4549999999999</v>
      </c>
      <c r="I25" s="20">
        <f>Maximum!S25</f>
        <v>1293.404</v>
      </c>
      <c r="J25" s="20">
        <f>Maximum!T25</f>
        <v>1314.0239999999999</v>
      </c>
      <c r="K25" s="20">
        <f>Maximum!U25</f>
        <v>1333.4079999999999</v>
      </c>
      <c r="V25" s="9">
        <f t="shared" si="0"/>
        <v>20.36</v>
      </c>
      <c r="W25" s="20">
        <f>Operational!V25</f>
        <v>1.34</v>
      </c>
      <c r="X25" s="20">
        <f>Operational!W25</f>
        <v>1.07</v>
      </c>
      <c r="Y25" s="20">
        <f>Operational!X25</f>
        <v>2.5299999999999998</v>
      </c>
      <c r="Z25" s="20">
        <f>Operational!Y25</f>
        <v>2</v>
      </c>
      <c r="AA25" s="20">
        <f>Operational!AD25</f>
        <v>139</v>
      </c>
      <c r="AB25" s="20">
        <f>Operational!AE25</f>
        <v>144</v>
      </c>
      <c r="AC25" s="20">
        <f>Operational!AF25</f>
        <v>139</v>
      </c>
      <c r="AD25" s="20">
        <f>Operational!AG25</f>
        <v>144</v>
      </c>
      <c r="AE25" s="15">
        <f>Maximum!Q25</f>
        <v>50.75</v>
      </c>
      <c r="AF25" s="20">
        <f>Maximum!AD25</f>
        <v>399</v>
      </c>
      <c r="AG25" s="20">
        <f>Maximum!V25</f>
        <v>5.77</v>
      </c>
      <c r="AH25" s="20">
        <f>Maximum!W25</f>
        <v>5.79</v>
      </c>
      <c r="AI25" s="20">
        <f>Maximum!X25</f>
        <v>6.38</v>
      </c>
      <c r="AJ25" s="20">
        <f>Maximum!Y25</f>
        <v>4.54</v>
      </c>
      <c r="AK25" s="20">
        <f t="shared" si="1"/>
        <v>1.0000000000000009E-2</v>
      </c>
      <c r="AL25" s="20">
        <f t="shared" si="2"/>
        <v>0</v>
      </c>
      <c r="AM25" s="20">
        <f t="shared" si="3"/>
        <v>1.0000000000000231E-2</v>
      </c>
      <c r="AN25" s="20">
        <f t="shared" si="4"/>
        <v>9.9999999999997868E-3</v>
      </c>
      <c r="AO25" s="20">
        <f t="shared" si="5"/>
        <v>2.0000000000000462E-2</v>
      </c>
      <c r="AP25" s="20">
        <f t="shared" si="6"/>
        <v>-0.11000000000000032</v>
      </c>
      <c r="AQ25" s="20">
        <f t="shared" si="7"/>
        <v>-8.0000000000000071E-2</v>
      </c>
      <c r="AR25" s="20">
        <f t="shared" si="8"/>
        <v>-4.0000000000000036E-2</v>
      </c>
    </row>
    <row r="26" spans="1:44" s="20" customFormat="1">
      <c r="A26" s="9">
        <f>Operational!Q26</f>
        <v>21.21</v>
      </c>
      <c r="B26" s="20">
        <f>Operational!R26</f>
        <v>1269.7260000000001</v>
      </c>
      <c r="C26" s="20">
        <f>Operational!S26</f>
        <v>1289.5619999999999</v>
      </c>
      <c r="D26" s="20">
        <f>Operational!T26</f>
        <v>1310.2739999999999</v>
      </c>
      <c r="E26" s="20">
        <f>Operational!U26</f>
        <v>1329.5920000000001</v>
      </c>
      <c r="G26" s="15">
        <f>Maximum!Q26</f>
        <v>49.93</v>
      </c>
      <c r="H26" s="20">
        <f>Maximum!R26</f>
        <v>1273.377</v>
      </c>
      <c r="I26" s="20">
        <f>Maximum!S26</f>
        <v>1293.3209999999999</v>
      </c>
      <c r="J26" s="20">
        <f>Maximum!T26</f>
        <v>1313.9449999999999</v>
      </c>
      <c r="K26" s="20">
        <f>Maximum!U26</f>
        <v>1333.326</v>
      </c>
      <c r="V26" s="9">
        <f t="shared" si="0"/>
        <v>21.21</v>
      </c>
      <c r="W26" s="20">
        <f>Operational!V26</f>
        <v>1.36</v>
      </c>
      <c r="X26" s="20">
        <f>Operational!W26</f>
        <v>1.01</v>
      </c>
      <c r="Y26" s="20">
        <f>Operational!X26</f>
        <v>2.5099999999999998</v>
      </c>
      <c r="Z26" s="20">
        <f>Operational!Y26</f>
        <v>2.02</v>
      </c>
      <c r="AA26" s="20">
        <f>Operational!AD26</f>
        <v>140</v>
      </c>
      <c r="AB26" s="20">
        <f>Operational!AE26</f>
        <v>144</v>
      </c>
      <c r="AC26" s="20">
        <f>Operational!AF26</f>
        <v>140</v>
      </c>
      <c r="AD26" s="20">
        <f>Operational!AG26</f>
        <v>144</v>
      </c>
      <c r="AE26" s="15">
        <f>Maximum!Q26</f>
        <v>49.93</v>
      </c>
      <c r="AF26" s="20">
        <f>Maximum!AD26</f>
        <v>399</v>
      </c>
      <c r="AG26" s="20">
        <f>Maximum!V26</f>
        <v>5.86</v>
      </c>
      <c r="AH26" s="20">
        <f>Maximum!W26</f>
        <v>5.84</v>
      </c>
      <c r="AI26" s="20">
        <f>Maximum!X26</f>
        <v>6.42</v>
      </c>
      <c r="AJ26" s="20">
        <f>Maximum!Y26</f>
        <v>4.74</v>
      </c>
      <c r="AK26" s="20">
        <f t="shared" si="1"/>
        <v>-2.0000000000000018E-2</v>
      </c>
      <c r="AL26" s="20">
        <f t="shared" si="2"/>
        <v>6.0000000000000053E-2</v>
      </c>
      <c r="AM26" s="20">
        <f t="shared" si="3"/>
        <v>2.0000000000000018E-2</v>
      </c>
      <c r="AN26" s="20">
        <f t="shared" si="4"/>
        <v>-2.0000000000000018E-2</v>
      </c>
      <c r="AO26" s="20">
        <f t="shared" si="5"/>
        <v>-9.0000000000000746E-2</v>
      </c>
      <c r="AP26" s="20">
        <f t="shared" si="6"/>
        <v>-4.9999999999999822E-2</v>
      </c>
      <c r="AQ26" s="20">
        <f t="shared" si="7"/>
        <v>-4.0000000000000036E-2</v>
      </c>
      <c r="AR26" s="20">
        <f t="shared" si="8"/>
        <v>-0.20000000000000018</v>
      </c>
    </row>
    <row r="27" spans="1:44" s="20" customFormat="1">
      <c r="A27" s="9">
        <f>Operational!Q27</f>
        <v>22.08</v>
      </c>
      <c r="B27" s="20">
        <f>Operational!R27</f>
        <v>1269.8009999999999</v>
      </c>
      <c r="C27" s="20">
        <f>Operational!S27</f>
        <v>1289.6389999999999</v>
      </c>
      <c r="D27" s="20">
        <f>Operational!T27</f>
        <v>1310.3510000000001</v>
      </c>
      <c r="E27" s="20">
        <f>Operational!U27</f>
        <v>1329.671</v>
      </c>
      <c r="G27" s="15">
        <f>Maximum!Q27</f>
        <v>49.2</v>
      </c>
      <c r="H27" s="20">
        <f>Maximum!R27</f>
        <v>1273.296</v>
      </c>
      <c r="I27" s="20">
        <f>Maximum!S27</f>
        <v>1293.2370000000001</v>
      </c>
      <c r="J27" s="20">
        <f>Maximum!T27</f>
        <v>1313.864</v>
      </c>
      <c r="K27" s="20">
        <f>Maximum!U27</f>
        <v>1333.2439999999999</v>
      </c>
      <c r="V27" s="9">
        <f t="shared" si="0"/>
        <v>22.08</v>
      </c>
      <c r="W27" s="20">
        <f>Operational!V27</f>
        <v>1.4</v>
      </c>
      <c r="X27" s="20">
        <f>Operational!W27</f>
        <v>0.92</v>
      </c>
      <c r="Y27" s="20">
        <f>Operational!X27</f>
        <v>2.5499999999999998</v>
      </c>
      <c r="Z27" s="20">
        <f>Operational!Y27</f>
        <v>2.0499999999999998</v>
      </c>
      <c r="AA27" s="20">
        <f>Operational!AD27</f>
        <v>140</v>
      </c>
      <c r="AB27" s="20">
        <f>Operational!AE27</f>
        <v>144</v>
      </c>
      <c r="AC27" s="20">
        <f>Operational!AF27</f>
        <v>140</v>
      </c>
      <c r="AD27" s="20">
        <f>Operational!AG27</f>
        <v>144</v>
      </c>
      <c r="AE27" s="15">
        <f>Maximum!Q27</f>
        <v>49.2</v>
      </c>
      <c r="AF27" s="20">
        <f>Maximum!AD27</f>
        <v>399</v>
      </c>
      <c r="AG27" s="20">
        <f>Maximum!V27</f>
        <v>5.92</v>
      </c>
      <c r="AH27" s="20">
        <f>Maximum!W27</f>
        <v>5.97</v>
      </c>
      <c r="AI27" s="20">
        <f>Maximum!X27</f>
        <v>6.55</v>
      </c>
      <c r="AJ27" s="20">
        <f>Maximum!Y27</f>
        <v>4.8</v>
      </c>
      <c r="AK27" s="20">
        <f t="shared" si="1"/>
        <v>-3.9999999999999813E-2</v>
      </c>
      <c r="AL27" s="20">
        <f t="shared" si="2"/>
        <v>8.9999999999999969E-2</v>
      </c>
      <c r="AM27" s="20">
        <f t="shared" si="3"/>
        <v>-4.0000000000000036E-2</v>
      </c>
      <c r="AN27" s="20">
        <f t="shared" si="4"/>
        <v>-2.9999999999999805E-2</v>
      </c>
      <c r="AO27" s="20">
        <f t="shared" si="5"/>
        <v>-5.9999999999999609E-2</v>
      </c>
      <c r="AP27" s="20">
        <f t="shared" si="6"/>
        <v>-0.12999999999999989</v>
      </c>
      <c r="AQ27" s="20">
        <f t="shared" si="7"/>
        <v>-0.12999999999999989</v>
      </c>
      <c r="AR27" s="20">
        <f t="shared" si="8"/>
        <v>-5.9999999999999609E-2</v>
      </c>
    </row>
    <row r="28" spans="1:44" s="20" customFormat="1">
      <c r="A28" s="9">
        <f>Operational!Q28</f>
        <v>22.97</v>
      </c>
      <c r="B28" s="20">
        <f>Operational!R28</f>
        <v>1269.8779999999999</v>
      </c>
      <c r="C28" s="20">
        <f>Operational!S28</f>
        <v>1289.7159999999999</v>
      </c>
      <c r="D28" s="20">
        <f>Operational!T28</f>
        <v>1310.4280000000001</v>
      </c>
      <c r="E28" s="20">
        <f>Operational!U28</f>
        <v>1329.751</v>
      </c>
      <c r="G28" s="15">
        <f>Maximum!Q28</f>
        <v>48.12</v>
      </c>
      <c r="H28" s="20">
        <f>Maximum!R28</f>
        <v>1273.2159999999999</v>
      </c>
      <c r="I28" s="20">
        <f>Maximum!S28</f>
        <v>1293.1569999999999</v>
      </c>
      <c r="J28" s="20">
        <f>Maximum!T28</f>
        <v>1313.7850000000001</v>
      </c>
      <c r="K28" s="20">
        <f>Maximum!U28</f>
        <v>1333.165</v>
      </c>
      <c r="V28" s="9">
        <f t="shared" si="0"/>
        <v>22.97</v>
      </c>
      <c r="W28" s="20">
        <f>Operational!V28</f>
        <v>1.4</v>
      </c>
      <c r="X28" s="20">
        <f>Operational!W28</f>
        <v>0.93</v>
      </c>
      <c r="Y28" s="20">
        <f>Operational!X28</f>
        <v>2.5299999999999998</v>
      </c>
      <c r="Z28" s="20">
        <f>Operational!Y28</f>
        <v>2.04</v>
      </c>
      <c r="AA28" s="20">
        <f>Operational!AD28</f>
        <v>141</v>
      </c>
      <c r="AB28" s="20">
        <f>Operational!AE28</f>
        <v>145</v>
      </c>
      <c r="AC28" s="20">
        <f>Operational!AF28</f>
        <v>141</v>
      </c>
      <c r="AD28" s="20">
        <f>Operational!AG28</f>
        <v>145</v>
      </c>
      <c r="AE28" s="15">
        <f>Maximum!Q28</f>
        <v>48.12</v>
      </c>
      <c r="AF28" s="20">
        <f>Maximum!AD28</f>
        <v>399</v>
      </c>
      <c r="AG28" s="20">
        <f>Maximum!V28</f>
        <v>6.11</v>
      </c>
      <c r="AH28" s="20">
        <f>Maximum!W28</f>
        <v>5.98</v>
      </c>
      <c r="AI28" s="20">
        <f>Maximum!X28</f>
        <v>6.66</v>
      </c>
      <c r="AJ28" s="20">
        <f>Maximum!Y28</f>
        <v>4.8099999999999996</v>
      </c>
      <c r="AK28" s="20">
        <f t="shared" si="1"/>
        <v>0</v>
      </c>
      <c r="AL28" s="20">
        <f t="shared" si="2"/>
        <v>-1.0000000000000009E-2</v>
      </c>
      <c r="AM28" s="20">
        <f t="shared" si="3"/>
        <v>2.0000000000000018E-2</v>
      </c>
      <c r="AN28" s="20">
        <f t="shared" si="4"/>
        <v>9.9999999999997868E-3</v>
      </c>
      <c r="AO28" s="20">
        <f t="shared" si="5"/>
        <v>-0.19000000000000039</v>
      </c>
      <c r="AP28" s="20">
        <f t="shared" si="6"/>
        <v>-1.0000000000000675E-2</v>
      </c>
      <c r="AQ28" s="20">
        <f t="shared" si="7"/>
        <v>-0.11000000000000032</v>
      </c>
      <c r="AR28" s="20">
        <f t="shared" si="8"/>
        <v>-9.9999999999997868E-3</v>
      </c>
    </row>
    <row r="29" spans="1:44" s="20" customFormat="1">
      <c r="A29" s="9">
        <f>Operational!Q29</f>
        <v>23.82</v>
      </c>
      <c r="B29" s="20">
        <f>Operational!R29</f>
        <v>1269.9580000000001</v>
      </c>
      <c r="C29" s="20">
        <f>Operational!S29</f>
        <v>1289.7950000000001</v>
      </c>
      <c r="D29" s="20">
        <f>Operational!T29</f>
        <v>1310.509</v>
      </c>
      <c r="E29" s="20">
        <f>Operational!U29</f>
        <v>1329.8330000000001</v>
      </c>
      <c r="G29" s="15">
        <f>Maximum!Q29</f>
        <v>47.27</v>
      </c>
      <c r="H29" s="20">
        <f>Maximum!R29</f>
        <v>1273.126</v>
      </c>
      <c r="I29" s="20">
        <f>Maximum!S29</f>
        <v>1293.068</v>
      </c>
      <c r="J29" s="20">
        <f>Maximum!T29</f>
        <v>1313.6959999999999</v>
      </c>
      <c r="K29" s="20">
        <f>Maximum!U29</f>
        <v>1333.076</v>
      </c>
      <c r="V29" s="9">
        <f t="shared" si="0"/>
        <v>23.82</v>
      </c>
      <c r="W29" s="20">
        <f>Operational!V29</f>
        <v>1.4</v>
      </c>
      <c r="X29" s="20">
        <f>Operational!W29</f>
        <v>0.97</v>
      </c>
      <c r="Y29" s="20">
        <f>Operational!X29</f>
        <v>2.5099999999999998</v>
      </c>
      <c r="Z29" s="20">
        <f>Operational!Y29</f>
        <v>2</v>
      </c>
      <c r="AA29" s="20">
        <f>Operational!AD29</f>
        <v>142</v>
      </c>
      <c r="AB29" s="20">
        <f>Operational!AE29</f>
        <v>145</v>
      </c>
      <c r="AC29" s="20">
        <f>Operational!AF29</f>
        <v>142</v>
      </c>
      <c r="AD29" s="20">
        <f>Operational!AG29</f>
        <v>145</v>
      </c>
      <c r="AE29" s="15">
        <f>Maximum!Q29</f>
        <v>47.27</v>
      </c>
      <c r="AF29" s="20">
        <f>Maximum!AD29</f>
        <v>399</v>
      </c>
      <c r="AG29" s="20">
        <f>Maximum!V29</f>
        <v>6.29</v>
      </c>
      <c r="AH29" s="20">
        <f>Maximum!W29</f>
        <v>6.08</v>
      </c>
      <c r="AI29" s="20">
        <f>Maximum!X29</f>
        <v>6.74</v>
      </c>
      <c r="AJ29" s="20">
        <f>Maximum!Y29</f>
        <v>4.8</v>
      </c>
      <c r="AK29" s="20">
        <f t="shared" si="1"/>
        <v>0</v>
      </c>
      <c r="AL29" s="20">
        <f t="shared" si="2"/>
        <v>-3.9999999999999925E-2</v>
      </c>
      <c r="AM29" s="20">
        <f t="shared" si="3"/>
        <v>2.0000000000000018E-2</v>
      </c>
      <c r="AN29" s="20">
        <f t="shared" si="4"/>
        <v>4.0000000000000036E-2</v>
      </c>
      <c r="AO29" s="20">
        <f t="shared" si="5"/>
        <v>-0.17999999999999972</v>
      </c>
      <c r="AP29" s="20">
        <f t="shared" si="6"/>
        <v>-9.9999999999999645E-2</v>
      </c>
      <c r="AQ29" s="20">
        <f t="shared" si="7"/>
        <v>-8.0000000000000071E-2</v>
      </c>
      <c r="AR29" s="20">
        <f t="shared" si="8"/>
        <v>9.9999999999997868E-3</v>
      </c>
    </row>
    <row r="30" spans="1:44" s="20" customFormat="1">
      <c r="A30" s="9">
        <f>Operational!Q30</f>
        <v>24.62</v>
      </c>
      <c r="B30" s="20">
        <f>Operational!R30</f>
        <v>1270.0350000000001</v>
      </c>
      <c r="C30" s="20">
        <f>Operational!S30</f>
        <v>1289.873</v>
      </c>
      <c r="D30" s="20">
        <f>Operational!T30</f>
        <v>1310.588</v>
      </c>
      <c r="E30" s="20">
        <f>Operational!U30</f>
        <v>1329.913</v>
      </c>
      <c r="G30" s="15">
        <f>Maximum!Q30</f>
        <v>46.4</v>
      </c>
      <c r="H30" s="20">
        <f>Maximum!R30</f>
        <v>1273.0450000000001</v>
      </c>
      <c r="I30" s="20">
        <f>Maximum!S30</f>
        <v>1292.9860000000001</v>
      </c>
      <c r="J30" s="20">
        <f>Maximum!T30</f>
        <v>1313.614</v>
      </c>
      <c r="K30" s="20">
        <f>Maximum!U30</f>
        <v>1332.9970000000001</v>
      </c>
      <c r="V30" s="9">
        <f t="shared" si="0"/>
        <v>24.62</v>
      </c>
      <c r="W30" s="20">
        <f>Operational!V30</f>
        <v>1.32</v>
      </c>
      <c r="X30" s="20">
        <f>Operational!W30</f>
        <v>0.97</v>
      </c>
      <c r="Y30" s="20">
        <f>Operational!X30</f>
        <v>2.5499999999999998</v>
      </c>
      <c r="Z30" s="20">
        <f>Operational!Y30</f>
        <v>1.99</v>
      </c>
      <c r="AA30" s="20">
        <f>Operational!AD30</f>
        <v>142</v>
      </c>
      <c r="AB30" s="20">
        <f>Operational!AE30</f>
        <v>145</v>
      </c>
      <c r="AC30" s="20">
        <f>Operational!AF30</f>
        <v>142</v>
      </c>
      <c r="AD30" s="20">
        <f>Operational!AG30</f>
        <v>145</v>
      </c>
      <c r="AE30" s="15">
        <f>Maximum!Q30</f>
        <v>46.4</v>
      </c>
      <c r="AF30" s="20">
        <f>Maximum!AD30</f>
        <v>399</v>
      </c>
      <c r="AG30" s="20">
        <f>Maximum!V30</f>
        <v>6.45</v>
      </c>
      <c r="AH30" s="20">
        <f>Maximum!W30</f>
        <v>6.14</v>
      </c>
      <c r="AI30" s="20">
        <f>Maximum!X30</f>
        <v>6.84</v>
      </c>
      <c r="AJ30" s="20">
        <f>Maximum!Y30</f>
        <v>4.8499999999999996</v>
      </c>
      <c r="AK30" s="20">
        <f t="shared" si="1"/>
        <v>7.9999999999999849E-2</v>
      </c>
      <c r="AL30" s="20">
        <f t="shared" si="2"/>
        <v>0</v>
      </c>
      <c r="AM30" s="20">
        <f t="shared" si="3"/>
        <v>-4.0000000000000036E-2</v>
      </c>
      <c r="AN30" s="20">
        <f t="shared" si="4"/>
        <v>1.0000000000000009E-2</v>
      </c>
      <c r="AO30" s="20">
        <f t="shared" si="5"/>
        <v>-0.16000000000000014</v>
      </c>
      <c r="AP30" s="20">
        <f t="shared" si="6"/>
        <v>-5.9999999999999609E-2</v>
      </c>
      <c r="AQ30" s="20">
        <f t="shared" si="7"/>
        <v>-9.9999999999999645E-2</v>
      </c>
      <c r="AR30" s="20">
        <f t="shared" si="8"/>
        <v>-4.9999999999999822E-2</v>
      </c>
    </row>
    <row r="31" spans="1:44" s="20" customFormat="1">
      <c r="A31" s="9">
        <f>Operational!Q31</f>
        <v>25.45</v>
      </c>
      <c r="B31" s="20">
        <f>Operational!R31</f>
        <v>1270.1089999999999</v>
      </c>
      <c r="C31" s="20">
        <f>Operational!S31</f>
        <v>1289.9490000000001</v>
      </c>
      <c r="D31" s="20">
        <f>Operational!T31</f>
        <v>1310.664</v>
      </c>
      <c r="E31" s="20">
        <f>Operational!U31</f>
        <v>1329.989</v>
      </c>
      <c r="G31" s="15">
        <f>Maximum!Q31</f>
        <v>45.59</v>
      </c>
      <c r="H31" s="20">
        <f>Maximum!R31</f>
        <v>1272.9639999999999</v>
      </c>
      <c r="I31" s="20">
        <f>Maximum!S31</f>
        <v>1292.9059999999999</v>
      </c>
      <c r="J31" s="20">
        <f>Maximum!T31</f>
        <v>1313.5350000000001</v>
      </c>
      <c r="K31" s="20">
        <f>Maximum!U31</f>
        <v>1332.9159999999999</v>
      </c>
      <c r="V31" s="9">
        <f t="shared" si="0"/>
        <v>25.45</v>
      </c>
      <c r="W31" s="20">
        <f>Operational!V31</f>
        <v>1.3</v>
      </c>
      <c r="X31" s="20">
        <f>Operational!W31</f>
        <v>1</v>
      </c>
      <c r="Y31" s="20">
        <f>Operational!X31</f>
        <v>2.52</v>
      </c>
      <c r="Z31" s="20">
        <f>Operational!Y31</f>
        <v>1.98</v>
      </c>
      <c r="AA31" s="20">
        <f>Operational!AD31</f>
        <v>143</v>
      </c>
      <c r="AB31" s="20">
        <f>Operational!AE31</f>
        <v>146</v>
      </c>
      <c r="AC31" s="20">
        <f>Operational!AF31</f>
        <v>143</v>
      </c>
      <c r="AD31" s="20">
        <f>Operational!AG31</f>
        <v>146</v>
      </c>
      <c r="AE31" s="15">
        <f>Maximum!Q31</f>
        <v>45.59</v>
      </c>
      <c r="AF31" s="20">
        <f>Maximum!AD31</f>
        <v>399</v>
      </c>
      <c r="AG31" s="20">
        <f>Maximum!V31</f>
        <v>6.54</v>
      </c>
      <c r="AH31" s="20">
        <f>Maximum!W31</f>
        <v>6.2</v>
      </c>
      <c r="AI31" s="20">
        <f>Maximum!X31</f>
        <v>6.89</v>
      </c>
      <c r="AJ31" s="20">
        <f>Maximum!Y31</f>
        <v>4.96</v>
      </c>
      <c r="AK31" s="20">
        <f t="shared" si="1"/>
        <v>2.0000000000000018E-2</v>
      </c>
      <c r="AL31" s="20">
        <f t="shared" si="2"/>
        <v>-3.0000000000000027E-2</v>
      </c>
      <c r="AM31" s="20">
        <f t="shared" si="3"/>
        <v>2.9999999999999805E-2</v>
      </c>
      <c r="AN31" s="20">
        <f t="shared" si="4"/>
        <v>1.0000000000000009E-2</v>
      </c>
      <c r="AO31" s="20">
        <f t="shared" si="5"/>
        <v>-8.9999999999999858E-2</v>
      </c>
      <c r="AP31" s="20">
        <f t="shared" si="6"/>
        <v>-6.0000000000000497E-2</v>
      </c>
      <c r="AQ31" s="20">
        <f t="shared" si="7"/>
        <v>-4.9999999999999822E-2</v>
      </c>
      <c r="AR31" s="20">
        <f t="shared" si="8"/>
        <v>-0.11000000000000032</v>
      </c>
    </row>
    <row r="32" spans="1:44" s="20" customFormat="1">
      <c r="A32" s="9">
        <f>Operational!Q32</f>
        <v>26.29</v>
      </c>
      <c r="B32" s="20">
        <f>Operational!R32</f>
        <v>1270.183</v>
      </c>
      <c r="C32" s="20">
        <f>Operational!S32</f>
        <v>1290.0219999999999</v>
      </c>
      <c r="D32" s="20">
        <f>Operational!T32</f>
        <v>1310.7380000000001</v>
      </c>
      <c r="E32" s="20">
        <f>Operational!U32</f>
        <v>1330.0640000000001</v>
      </c>
      <c r="G32" s="15">
        <f>Maximum!Q32</f>
        <v>44.75</v>
      </c>
      <c r="H32" s="20">
        <f>Maximum!R32</f>
        <v>1272.884</v>
      </c>
      <c r="I32" s="20">
        <f>Maximum!S32</f>
        <v>1292.826</v>
      </c>
      <c r="J32" s="20">
        <f>Maximum!T32</f>
        <v>1313.454</v>
      </c>
      <c r="K32" s="20">
        <f>Maximum!U32</f>
        <v>1332.836</v>
      </c>
      <c r="V32" s="9">
        <f t="shared" si="0"/>
        <v>26.29</v>
      </c>
      <c r="W32" s="20">
        <f>Operational!V32</f>
        <v>1.32</v>
      </c>
      <c r="X32" s="20">
        <f>Operational!W32</f>
        <v>0.99</v>
      </c>
      <c r="Y32" s="20">
        <f>Operational!X32</f>
        <v>2.5099999999999998</v>
      </c>
      <c r="Z32" s="20">
        <f>Operational!Y32</f>
        <v>1.97</v>
      </c>
      <c r="AA32" s="20">
        <f>Operational!AD32</f>
        <v>143</v>
      </c>
      <c r="AB32" s="20">
        <f>Operational!AE32</f>
        <v>146</v>
      </c>
      <c r="AC32" s="20">
        <f>Operational!AF32</f>
        <v>143</v>
      </c>
      <c r="AD32" s="20">
        <f>Operational!AG32</f>
        <v>146</v>
      </c>
      <c r="AE32" s="15">
        <f>Maximum!Q32</f>
        <v>44.75</v>
      </c>
      <c r="AF32" s="20">
        <f>Maximum!AD32</f>
        <v>399</v>
      </c>
      <c r="AG32" s="20">
        <f>Maximum!V32</f>
        <v>6.61</v>
      </c>
      <c r="AH32" s="20">
        <f>Maximum!W32</f>
        <v>6.26</v>
      </c>
      <c r="AI32" s="20">
        <f>Maximum!X32</f>
        <v>6.98</v>
      </c>
      <c r="AJ32" s="20">
        <f>Maximum!Y32</f>
        <v>5.05</v>
      </c>
      <c r="AK32" s="20">
        <f t="shared" si="1"/>
        <v>-2.0000000000000018E-2</v>
      </c>
      <c r="AL32" s="20">
        <f t="shared" si="2"/>
        <v>1.0000000000000009E-2</v>
      </c>
      <c r="AM32" s="20">
        <f t="shared" si="3"/>
        <v>1.0000000000000231E-2</v>
      </c>
      <c r="AN32" s="20">
        <f t="shared" si="4"/>
        <v>1.0000000000000009E-2</v>
      </c>
      <c r="AO32" s="20">
        <f t="shared" si="5"/>
        <v>-7.0000000000000284E-2</v>
      </c>
      <c r="AP32" s="20">
        <f t="shared" si="6"/>
        <v>-5.9999999999999609E-2</v>
      </c>
      <c r="AQ32" s="20">
        <f t="shared" si="7"/>
        <v>-9.0000000000000746E-2</v>
      </c>
      <c r="AR32" s="20">
        <f t="shared" si="8"/>
        <v>-8.9999999999999858E-2</v>
      </c>
    </row>
    <row r="33" spans="1:44" s="20" customFormat="1">
      <c r="A33" s="9">
        <f>Operational!Q33</f>
        <v>27.11</v>
      </c>
      <c r="B33" s="20">
        <f>Operational!R33</f>
        <v>1270.259</v>
      </c>
      <c r="C33" s="20">
        <f>Operational!S33</f>
        <v>1290.097</v>
      </c>
      <c r="D33" s="20">
        <f>Operational!T33</f>
        <v>1310.8150000000001</v>
      </c>
      <c r="E33" s="20">
        <f>Operational!U33</f>
        <v>1330.14</v>
      </c>
      <c r="G33" s="15">
        <f>Maximum!Q33</f>
        <v>43.89</v>
      </c>
      <c r="H33" s="20">
        <f>Maximum!R33</f>
        <v>1272.8040000000001</v>
      </c>
      <c r="I33" s="20">
        <f>Maximum!S33</f>
        <v>1292.7460000000001</v>
      </c>
      <c r="J33" s="20">
        <f>Maximum!T33</f>
        <v>1313.374</v>
      </c>
      <c r="K33" s="20">
        <f>Maximum!U33</f>
        <v>1332.758</v>
      </c>
      <c r="V33" s="9">
        <f t="shared" ref="V33:V64" si="9">A33</f>
        <v>27.11</v>
      </c>
      <c r="W33" s="20">
        <f>Operational!V33</f>
        <v>1.28</v>
      </c>
      <c r="X33" s="20">
        <f>Operational!W33</f>
        <v>0.99</v>
      </c>
      <c r="Y33" s="20">
        <f>Operational!X33</f>
        <v>2.54</v>
      </c>
      <c r="Z33" s="20">
        <f>Operational!Y33</f>
        <v>1.97</v>
      </c>
      <c r="AA33" s="20">
        <f>Operational!AD33</f>
        <v>144</v>
      </c>
      <c r="AB33" s="20">
        <f>Operational!AE33</f>
        <v>147</v>
      </c>
      <c r="AC33" s="20">
        <f>Operational!AF33</f>
        <v>144</v>
      </c>
      <c r="AD33" s="20">
        <f>Operational!AG33</f>
        <v>147</v>
      </c>
      <c r="AE33" s="15">
        <f>Maximum!Q33</f>
        <v>43.89</v>
      </c>
      <c r="AF33" s="20">
        <f>Maximum!AD33</f>
        <v>399</v>
      </c>
      <c r="AG33" s="20">
        <f>Maximum!V33</f>
        <v>6.66</v>
      </c>
      <c r="AH33" s="20">
        <f>Maximum!W33</f>
        <v>6.34</v>
      </c>
      <c r="AI33" s="20">
        <f>Maximum!X33</f>
        <v>7</v>
      </c>
      <c r="AJ33" s="20">
        <f>Maximum!Y33</f>
        <v>5.07</v>
      </c>
      <c r="AK33" s="20">
        <f t="shared" si="1"/>
        <v>4.0000000000000036E-2</v>
      </c>
      <c r="AL33" s="20">
        <f t="shared" si="2"/>
        <v>0</v>
      </c>
      <c r="AM33" s="20">
        <f t="shared" si="3"/>
        <v>-3.0000000000000249E-2</v>
      </c>
      <c r="AN33" s="20">
        <f t="shared" si="4"/>
        <v>0</v>
      </c>
      <c r="AO33" s="20">
        <f t="shared" si="5"/>
        <v>-4.9999999999999822E-2</v>
      </c>
      <c r="AP33" s="20">
        <f t="shared" si="6"/>
        <v>-8.0000000000000071E-2</v>
      </c>
      <c r="AQ33" s="20">
        <f t="shared" si="7"/>
        <v>-1.9999999999999574E-2</v>
      </c>
      <c r="AR33" s="20">
        <f t="shared" si="8"/>
        <v>-2.0000000000000462E-2</v>
      </c>
    </row>
    <row r="34" spans="1:44" s="20" customFormat="1">
      <c r="A34" s="9">
        <f>Operational!Q34</f>
        <v>27.99</v>
      </c>
      <c r="B34" s="20">
        <f>Operational!R34</f>
        <v>1270.336</v>
      </c>
      <c r="C34" s="20">
        <f>Operational!S34</f>
        <v>1290.174</v>
      </c>
      <c r="D34" s="20">
        <f>Operational!T34</f>
        <v>1310.8910000000001</v>
      </c>
      <c r="E34" s="20">
        <f>Operational!U34</f>
        <v>1330.2180000000001</v>
      </c>
      <c r="G34" s="15">
        <f>Maximum!Q34</f>
        <v>43.07</v>
      </c>
      <c r="H34" s="20">
        <f>Maximum!R34</f>
        <v>1272.7270000000001</v>
      </c>
      <c r="I34" s="20">
        <f>Maximum!S34</f>
        <v>1292.6690000000001</v>
      </c>
      <c r="J34" s="20">
        <f>Maximum!T34</f>
        <v>1313.299</v>
      </c>
      <c r="K34" s="20">
        <f>Maximum!U34</f>
        <v>1332.6769999999999</v>
      </c>
      <c r="V34" s="9">
        <f t="shared" si="9"/>
        <v>27.99</v>
      </c>
      <c r="W34" s="20">
        <f>Operational!V34</f>
        <v>1.36</v>
      </c>
      <c r="X34" s="20">
        <f>Operational!W34</f>
        <v>0.99</v>
      </c>
      <c r="Y34" s="20">
        <f>Operational!X34</f>
        <v>2.54</v>
      </c>
      <c r="Z34" s="20">
        <f>Operational!Y34</f>
        <v>1.95</v>
      </c>
      <c r="AA34" s="20">
        <f>Operational!AD34</f>
        <v>145</v>
      </c>
      <c r="AB34" s="20">
        <f>Operational!AE34</f>
        <v>148</v>
      </c>
      <c r="AC34" s="20">
        <f>Operational!AF34</f>
        <v>145</v>
      </c>
      <c r="AD34" s="20">
        <f>Operational!AG34</f>
        <v>148</v>
      </c>
      <c r="AE34" s="15">
        <f>Maximum!Q34</f>
        <v>43.07</v>
      </c>
      <c r="AF34" s="20">
        <f>Maximum!AD34</f>
        <v>399</v>
      </c>
      <c r="AG34" s="20">
        <f>Maximum!V34</f>
        <v>6.79</v>
      </c>
      <c r="AH34" s="20">
        <f>Maximum!W34</f>
        <v>6.42</v>
      </c>
      <c r="AI34" s="20">
        <f>Maximum!X34</f>
        <v>7.09</v>
      </c>
      <c r="AJ34" s="20">
        <f>Maximum!Y34</f>
        <v>5.1100000000000003</v>
      </c>
      <c r="AK34" s="20">
        <f t="shared" si="1"/>
        <v>-8.0000000000000071E-2</v>
      </c>
      <c r="AL34" s="20">
        <f t="shared" si="2"/>
        <v>0</v>
      </c>
      <c r="AM34" s="20">
        <f t="shared" si="3"/>
        <v>0</v>
      </c>
      <c r="AN34" s="20">
        <f t="shared" si="4"/>
        <v>2.0000000000000018E-2</v>
      </c>
      <c r="AO34" s="20">
        <f t="shared" si="5"/>
        <v>-0.12999999999999989</v>
      </c>
      <c r="AP34" s="20">
        <f t="shared" si="6"/>
        <v>-8.0000000000000071E-2</v>
      </c>
      <c r="AQ34" s="20">
        <f t="shared" si="7"/>
        <v>-8.9999999999999858E-2</v>
      </c>
      <c r="AR34" s="20">
        <f t="shared" si="8"/>
        <v>-4.0000000000000036E-2</v>
      </c>
    </row>
    <row r="35" spans="1:44" s="20" customFormat="1">
      <c r="A35" s="9">
        <f>Operational!Q35</f>
        <v>28.8</v>
      </c>
      <c r="B35" s="20">
        <f>Operational!R35</f>
        <v>1270.414</v>
      </c>
      <c r="C35" s="20">
        <f>Operational!S35</f>
        <v>1290.249</v>
      </c>
      <c r="D35" s="20">
        <f>Operational!T35</f>
        <v>1310.9690000000001</v>
      </c>
      <c r="E35" s="20">
        <f>Operational!U35</f>
        <v>1330.2950000000001</v>
      </c>
      <c r="G35" s="15">
        <f>Maximum!Q35</f>
        <v>42.24</v>
      </c>
      <c r="H35" s="20">
        <f>Maximum!R35</f>
        <v>1272.644</v>
      </c>
      <c r="I35" s="20">
        <f>Maximum!S35</f>
        <v>1292.586</v>
      </c>
      <c r="J35" s="20">
        <f>Maximum!T35</f>
        <v>1313.2170000000001</v>
      </c>
      <c r="K35" s="20">
        <f>Maximum!U35</f>
        <v>1332.596</v>
      </c>
      <c r="V35" s="9">
        <f t="shared" si="9"/>
        <v>28.8</v>
      </c>
      <c r="W35" s="20">
        <f>Operational!V35</f>
        <v>1.38</v>
      </c>
      <c r="X35" s="20">
        <f>Operational!W35</f>
        <v>1</v>
      </c>
      <c r="Y35" s="20">
        <f>Operational!X35</f>
        <v>2.57</v>
      </c>
      <c r="Z35" s="20">
        <f>Operational!Y35</f>
        <v>1.87</v>
      </c>
      <c r="AA35" s="20">
        <f>Operational!AD35</f>
        <v>145</v>
      </c>
      <c r="AB35" s="20">
        <f>Operational!AE35</f>
        <v>148</v>
      </c>
      <c r="AC35" s="20">
        <f>Operational!AF35</f>
        <v>145</v>
      </c>
      <c r="AD35" s="20">
        <f>Operational!AG35</f>
        <v>148</v>
      </c>
      <c r="AE35" s="15">
        <f>Maximum!Q35</f>
        <v>42.24</v>
      </c>
      <c r="AF35" s="20">
        <f>Maximum!AD35</f>
        <v>399</v>
      </c>
      <c r="AG35" s="20">
        <f>Maximum!V35</f>
        <v>6.83</v>
      </c>
      <c r="AH35" s="20">
        <f>Maximum!W35</f>
        <v>6.51</v>
      </c>
      <c r="AI35" s="20">
        <f>Maximum!X35</f>
        <v>7.19</v>
      </c>
      <c r="AJ35" s="20">
        <f>Maximum!Y35</f>
        <v>5.2</v>
      </c>
      <c r="AK35" s="20">
        <f t="shared" ref="AK35:AK66" si="10">W34-W35</f>
        <v>-1.9999999999999796E-2</v>
      </c>
      <c r="AL35" s="20">
        <f t="shared" ref="AL35:AL66" si="11">X34-X35</f>
        <v>-1.0000000000000009E-2</v>
      </c>
      <c r="AM35" s="20">
        <f t="shared" ref="AM35:AM66" si="12">Y34-Y35</f>
        <v>-2.9999999999999805E-2</v>
      </c>
      <c r="AN35" s="20">
        <f t="shared" ref="AN35:AN66" si="13">Z34-Z35</f>
        <v>7.9999999999999849E-2</v>
      </c>
      <c r="AO35" s="20">
        <f t="shared" ref="AO35:AO66" si="14">AG34-AG35</f>
        <v>-4.0000000000000036E-2</v>
      </c>
      <c r="AP35" s="20">
        <f t="shared" ref="AP35:AP66" si="15">AH34-AH35</f>
        <v>-8.9999999999999858E-2</v>
      </c>
      <c r="AQ35" s="20">
        <f t="shared" ref="AQ35:AQ66" si="16">AI34-AI35</f>
        <v>-0.10000000000000053</v>
      </c>
      <c r="AR35" s="20">
        <f t="shared" ref="AR35:AR66" si="17">AJ34-AJ35</f>
        <v>-8.9999999999999858E-2</v>
      </c>
    </row>
    <row r="36" spans="1:44" s="20" customFormat="1">
      <c r="A36" s="9">
        <f>Operational!Q36</f>
        <v>29.64</v>
      </c>
      <c r="B36" s="20">
        <f>Operational!R36</f>
        <v>1270.49</v>
      </c>
      <c r="C36" s="20">
        <f>Operational!S36</f>
        <v>1290.325</v>
      </c>
      <c r="D36" s="20">
        <f>Operational!T36</f>
        <v>1311.046</v>
      </c>
      <c r="E36" s="20">
        <f>Operational!U36</f>
        <v>1330.3710000000001</v>
      </c>
      <c r="G36" s="15">
        <f>Maximum!Q36</f>
        <v>41.42</v>
      </c>
      <c r="H36" s="20">
        <f>Maximum!R36</f>
        <v>1272.566</v>
      </c>
      <c r="I36" s="20">
        <f>Maximum!S36</f>
        <v>1292.508</v>
      </c>
      <c r="J36" s="20">
        <f>Maximum!T36</f>
        <v>1313.1389999999999</v>
      </c>
      <c r="K36" s="20">
        <f>Maximum!U36</f>
        <v>1332.52</v>
      </c>
      <c r="V36" s="9">
        <f t="shared" si="9"/>
        <v>29.64</v>
      </c>
      <c r="W36" s="20">
        <f>Operational!V36</f>
        <v>1.39</v>
      </c>
      <c r="X36" s="20">
        <f>Operational!W36</f>
        <v>1.07</v>
      </c>
      <c r="Y36" s="20">
        <f>Operational!X36</f>
        <v>2.54</v>
      </c>
      <c r="Z36" s="20">
        <f>Operational!Y36</f>
        <v>1.95</v>
      </c>
      <c r="AA36" s="20">
        <f>Operational!AD36</f>
        <v>146</v>
      </c>
      <c r="AB36" s="20">
        <f>Operational!AE36</f>
        <v>148</v>
      </c>
      <c r="AC36" s="20">
        <f>Operational!AF36</f>
        <v>146</v>
      </c>
      <c r="AD36" s="20">
        <f>Operational!AG36</f>
        <v>148</v>
      </c>
      <c r="AE36" s="15">
        <f>Maximum!Q36</f>
        <v>41.42</v>
      </c>
      <c r="AF36" s="20">
        <f>Maximum!AD36</f>
        <v>399</v>
      </c>
      <c r="AG36" s="20">
        <f>Maximum!V36</f>
        <v>6.84</v>
      </c>
      <c r="AH36" s="20">
        <f>Maximum!W36</f>
        <v>6.59</v>
      </c>
      <c r="AI36" s="20">
        <f>Maximum!X36</f>
        <v>7.28</v>
      </c>
      <c r="AJ36" s="20">
        <f>Maximum!Y36</f>
        <v>5.27</v>
      </c>
      <c r="AK36" s="20">
        <f t="shared" si="10"/>
        <v>-1.0000000000000009E-2</v>
      </c>
      <c r="AL36" s="20">
        <f t="shared" si="11"/>
        <v>-7.0000000000000062E-2</v>
      </c>
      <c r="AM36" s="20">
        <f t="shared" si="12"/>
        <v>2.9999999999999805E-2</v>
      </c>
      <c r="AN36" s="20">
        <f t="shared" si="13"/>
        <v>-7.9999999999999849E-2</v>
      </c>
      <c r="AO36" s="20">
        <f t="shared" si="14"/>
        <v>-9.9999999999997868E-3</v>
      </c>
      <c r="AP36" s="20">
        <f t="shared" si="15"/>
        <v>-8.0000000000000071E-2</v>
      </c>
      <c r="AQ36" s="20">
        <f t="shared" si="16"/>
        <v>-8.9999999999999858E-2</v>
      </c>
      <c r="AR36" s="20">
        <f t="shared" si="17"/>
        <v>-6.9999999999999396E-2</v>
      </c>
    </row>
    <row r="37" spans="1:44" s="20" customFormat="1">
      <c r="A37" s="9">
        <f>Operational!Q37</f>
        <v>30.49</v>
      </c>
      <c r="B37" s="20">
        <f>Operational!R37</f>
        <v>1270.566</v>
      </c>
      <c r="C37" s="20">
        <f>Operational!S37</f>
        <v>1290.403</v>
      </c>
      <c r="D37" s="20">
        <f>Operational!T37</f>
        <v>1311.124</v>
      </c>
      <c r="E37" s="20">
        <f>Operational!U37</f>
        <v>1330.4480000000001</v>
      </c>
      <c r="G37" s="15">
        <f>Maximum!Q37</f>
        <v>40.64</v>
      </c>
      <c r="H37" s="20">
        <f>Maximum!R37</f>
        <v>1272.489</v>
      </c>
      <c r="I37" s="20">
        <f>Maximum!S37</f>
        <v>1292.43</v>
      </c>
      <c r="J37" s="20">
        <f>Maximum!T37</f>
        <v>1313.0630000000001</v>
      </c>
      <c r="K37" s="20">
        <f>Maximum!U37</f>
        <v>1332.44</v>
      </c>
      <c r="V37" s="9">
        <f t="shared" si="9"/>
        <v>30.49</v>
      </c>
      <c r="W37" s="20">
        <f>Operational!V37</f>
        <v>1.34</v>
      </c>
      <c r="X37" s="20">
        <f>Operational!W37</f>
        <v>1.08</v>
      </c>
      <c r="Y37" s="20">
        <f>Operational!X37</f>
        <v>2.59</v>
      </c>
      <c r="Z37" s="20">
        <f>Operational!Y37</f>
        <v>1.96</v>
      </c>
      <c r="AA37" s="20">
        <f>Operational!AD37</f>
        <v>146</v>
      </c>
      <c r="AB37" s="20">
        <f>Operational!AE37</f>
        <v>149</v>
      </c>
      <c r="AC37" s="20">
        <f>Operational!AF37</f>
        <v>146</v>
      </c>
      <c r="AD37" s="20">
        <f>Operational!AG37</f>
        <v>149</v>
      </c>
      <c r="AE37" s="15">
        <f>Maximum!Q37</f>
        <v>40.64</v>
      </c>
      <c r="AF37" s="20">
        <f>Maximum!AD37</f>
        <v>399</v>
      </c>
      <c r="AG37" s="20">
        <f>Maximum!V37</f>
        <v>6.93</v>
      </c>
      <c r="AH37" s="20">
        <f>Maximum!W37</f>
        <v>6.65</v>
      </c>
      <c r="AI37" s="20">
        <f>Maximum!X37</f>
        <v>7.31</v>
      </c>
      <c r="AJ37" s="20">
        <f>Maximum!Y37</f>
        <v>5.4</v>
      </c>
      <c r="AK37" s="20">
        <f t="shared" si="10"/>
        <v>4.9999999999999822E-2</v>
      </c>
      <c r="AL37" s="20">
        <f t="shared" si="11"/>
        <v>-1.0000000000000009E-2</v>
      </c>
      <c r="AM37" s="20">
        <f t="shared" si="12"/>
        <v>-4.9999999999999822E-2</v>
      </c>
      <c r="AN37" s="20">
        <f t="shared" si="13"/>
        <v>-1.0000000000000009E-2</v>
      </c>
      <c r="AO37" s="20">
        <f t="shared" si="14"/>
        <v>-8.9999999999999858E-2</v>
      </c>
      <c r="AP37" s="20">
        <f t="shared" si="15"/>
        <v>-6.0000000000000497E-2</v>
      </c>
      <c r="AQ37" s="20">
        <f t="shared" si="16"/>
        <v>-2.9999999999999361E-2</v>
      </c>
      <c r="AR37" s="20">
        <f t="shared" si="17"/>
        <v>-0.13000000000000078</v>
      </c>
    </row>
    <row r="38" spans="1:44" s="20" customFormat="1">
      <c r="A38" s="9">
        <f>Operational!Q38</f>
        <v>31.32</v>
      </c>
      <c r="B38" s="20">
        <f>Operational!R38</f>
        <v>1270.6410000000001</v>
      </c>
      <c r="C38" s="20">
        <f>Operational!S38</f>
        <v>1290.479</v>
      </c>
      <c r="D38" s="20">
        <f>Operational!T38</f>
        <v>1311.2</v>
      </c>
      <c r="E38" s="20">
        <f>Operational!U38</f>
        <v>1330.5239999999999</v>
      </c>
      <c r="G38" s="15">
        <f>Maximum!Q38</f>
        <v>39.72</v>
      </c>
      <c r="H38" s="20">
        <f>Maximum!R38</f>
        <v>1272.412</v>
      </c>
      <c r="I38" s="20">
        <f>Maximum!S38</f>
        <v>1292.3520000000001</v>
      </c>
      <c r="J38" s="20">
        <f>Maximum!T38</f>
        <v>1312.9860000000001</v>
      </c>
      <c r="K38" s="20">
        <f>Maximum!U38</f>
        <v>1332.3610000000001</v>
      </c>
      <c r="V38" s="9">
        <f t="shared" si="9"/>
        <v>31.32</v>
      </c>
      <c r="W38" s="20">
        <f>Operational!V38</f>
        <v>1.3</v>
      </c>
      <c r="X38" s="20">
        <f>Operational!W38</f>
        <v>1.05</v>
      </c>
      <c r="Y38" s="20">
        <f>Operational!X38</f>
        <v>2.52</v>
      </c>
      <c r="Z38" s="20">
        <f>Operational!Y38</f>
        <v>1.94</v>
      </c>
      <c r="AA38" s="20">
        <f>Operational!AD38</f>
        <v>147</v>
      </c>
      <c r="AB38" s="20">
        <f>Operational!AE38</f>
        <v>149</v>
      </c>
      <c r="AC38" s="20">
        <f>Operational!AF38</f>
        <v>147</v>
      </c>
      <c r="AD38" s="20">
        <f>Operational!AG38</f>
        <v>149</v>
      </c>
      <c r="AE38" s="15">
        <f>Maximum!Q38</f>
        <v>39.72</v>
      </c>
      <c r="AF38" s="20">
        <f>Maximum!AD38</f>
        <v>399</v>
      </c>
      <c r="AG38" s="20">
        <f>Maximum!V38</f>
        <v>6.99</v>
      </c>
      <c r="AH38" s="20">
        <f>Maximum!W38</f>
        <v>6.77</v>
      </c>
      <c r="AI38" s="20">
        <f>Maximum!X38</f>
        <v>7.39</v>
      </c>
      <c r="AJ38" s="20">
        <f>Maximum!Y38</f>
        <v>5.4</v>
      </c>
      <c r="AK38" s="20">
        <f t="shared" si="10"/>
        <v>4.0000000000000036E-2</v>
      </c>
      <c r="AL38" s="20">
        <f t="shared" si="11"/>
        <v>3.0000000000000027E-2</v>
      </c>
      <c r="AM38" s="20">
        <f t="shared" si="12"/>
        <v>6.999999999999984E-2</v>
      </c>
      <c r="AN38" s="20">
        <f t="shared" si="13"/>
        <v>2.0000000000000018E-2</v>
      </c>
      <c r="AO38" s="20">
        <f t="shared" si="14"/>
        <v>-6.0000000000000497E-2</v>
      </c>
      <c r="AP38" s="20">
        <f t="shared" si="15"/>
        <v>-0.11999999999999922</v>
      </c>
      <c r="AQ38" s="20">
        <f t="shared" si="16"/>
        <v>-8.0000000000000071E-2</v>
      </c>
      <c r="AR38" s="20">
        <f t="shared" si="17"/>
        <v>0</v>
      </c>
    </row>
    <row r="39" spans="1:44" s="20" customFormat="1">
      <c r="A39" s="9">
        <f>Operational!Q39</f>
        <v>32.159999999999997</v>
      </c>
      <c r="B39" s="20">
        <f>Operational!R39</f>
        <v>1270.7180000000001</v>
      </c>
      <c r="C39" s="20">
        <f>Operational!S39</f>
        <v>1290.557</v>
      </c>
      <c r="D39" s="20">
        <f>Operational!T39</f>
        <v>1311.277</v>
      </c>
      <c r="E39" s="20">
        <f>Operational!U39</f>
        <v>1330.6030000000001</v>
      </c>
      <c r="G39" s="15">
        <f>Maximum!Q39</f>
        <v>38.81</v>
      </c>
      <c r="H39" s="20">
        <f>Maximum!R39</f>
        <v>1272.33</v>
      </c>
      <c r="I39" s="20">
        <f>Maximum!S39</f>
        <v>1292.269</v>
      </c>
      <c r="J39" s="20">
        <f>Maximum!T39</f>
        <v>1312.904</v>
      </c>
      <c r="K39" s="20">
        <f>Maximum!U39</f>
        <v>1332.277</v>
      </c>
      <c r="V39" s="9">
        <f t="shared" si="9"/>
        <v>32.159999999999997</v>
      </c>
      <c r="W39" s="20">
        <f>Operational!V39</f>
        <v>1.27</v>
      </c>
      <c r="X39" s="20">
        <f>Operational!W39</f>
        <v>1.05</v>
      </c>
      <c r="Y39" s="20">
        <f>Operational!X39</f>
        <v>2.46</v>
      </c>
      <c r="Z39" s="20">
        <f>Operational!Y39</f>
        <v>1.93</v>
      </c>
      <c r="AA39" s="20">
        <f>Operational!AD39</f>
        <v>147</v>
      </c>
      <c r="AB39" s="20">
        <f>Operational!AE39</f>
        <v>150</v>
      </c>
      <c r="AC39" s="20">
        <f>Operational!AF39</f>
        <v>147</v>
      </c>
      <c r="AD39" s="20">
        <f>Operational!AG39</f>
        <v>150</v>
      </c>
      <c r="AE39" s="15">
        <f>Maximum!Q39</f>
        <v>38.81</v>
      </c>
      <c r="AF39" s="20">
        <f>Maximum!AD39</f>
        <v>399</v>
      </c>
      <c r="AG39" s="20">
        <f>Maximum!V39</f>
        <v>7.14</v>
      </c>
      <c r="AH39" s="20">
        <f>Maximum!W39</f>
        <v>6.89</v>
      </c>
      <c r="AI39" s="20">
        <f>Maximum!X39</f>
        <v>7.47</v>
      </c>
      <c r="AJ39" s="20">
        <f>Maximum!Y39</f>
        <v>5.49</v>
      </c>
      <c r="AK39" s="20">
        <f t="shared" si="10"/>
        <v>3.0000000000000027E-2</v>
      </c>
      <c r="AL39" s="20">
        <f t="shared" si="11"/>
        <v>0</v>
      </c>
      <c r="AM39" s="20">
        <f t="shared" si="12"/>
        <v>6.0000000000000053E-2</v>
      </c>
      <c r="AN39" s="20">
        <f t="shared" si="13"/>
        <v>1.0000000000000009E-2</v>
      </c>
      <c r="AO39" s="20">
        <f t="shared" si="14"/>
        <v>-0.14999999999999947</v>
      </c>
      <c r="AP39" s="20">
        <f t="shared" si="15"/>
        <v>-0.12000000000000011</v>
      </c>
      <c r="AQ39" s="20">
        <f t="shared" si="16"/>
        <v>-8.0000000000000071E-2</v>
      </c>
      <c r="AR39" s="20">
        <f t="shared" si="17"/>
        <v>-8.9999999999999858E-2</v>
      </c>
    </row>
    <row r="40" spans="1:44" s="20" customFormat="1">
      <c r="A40" s="9">
        <f>Operational!Q40</f>
        <v>33.01</v>
      </c>
      <c r="B40" s="20">
        <f>Operational!R40</f>
        <v>1270.7919999999999</v>
      </c>
      <c r="C40" s="20">
        <f>Operational!S40</f>
        <v>1290.634</v>
      </c>
      <c r="D40" s="20">
        <f>Operational!T40</f>
        <v>1311.3520000000001</v>
      </c>
      <c r="E40" s="20">
        <f>Operational!U40</f>
        <v>1330.681</v>
      </c>
      <c r="G40" s="15">
        <f>Maximum!Q40</f>
        <v>37.950000000000003</v>
      </c>
      <c r="H40" s="20">
        <f>Maximum!R40</f>
        <v>1272.248</v>
      </c>
      <c r="I40" s="20">
        <f>Maximum!S40</f>
        <v>1292.1849999999999</v>
      </c>
      <c r="J40" s="20">
        <f>Maximum!T40</f>
        <v>1312.8209999999999</v>
      </c>
      <c r="K40" s="20">
        <f>Maximum!U40</f>
        <v>1332.1949999999999</v>
      </c>
      <c r="V40" s="9">
        <f t="shared" si="9"/>
        <v>33.01</v>
      </c>
      <c r="W40" s="20">
        <f>Operational!V40</f>
        <v>1.24</v>
      </c>
      <c r="X40" s="20">
        <f>Operational!W40</f>
        <v>1.1200000000000001</v>
      </c>
      <c r="Y40" s="20">
        <f>Operational!X40</f>
        <v>2.5099999999999998</v>
      </c>
      <c r="Z40" s="20">
        <f>Operational!Y40</f>
        <v>1.95</v>
      </c>
      <c r="AA40" s="20">
        <f>Operational!AD40</f>
        <v>148</v>
      </c>
      <c r="AB40" s="20">
        <f>Operational!AE40</f>
        <v>151</v>
      </c>
      <c r="AC40" s="20">
        <f>Operational!AF40</f>
        <v>148</v>
      </c>
      <c r="AD40" s="20">
        <f>Operational!AG40</f>
        <v>151</v>
      </c>
      <c r="AE40" s="15">
        <f>Maximum!Q40</f>
        <v>37.950000000000003</v>
      </c>
      <c r="AF40" s="20">
        <f>Maximum!AD40</f>
        <v>399</v>
      </c>
      <c r="AG40" s="20">
        <f>Maximum!V40</f>
        <v>7.26</v>
      </c>
      <c r="AH40" s="20">
        <f>Maximum!W40</f>
        <v>6.96</v>
      </c>
      <c r="AI40" s="20">
        <f>Maximum!X40</f>
        <v>7.52</v>
      </c>
      <c r="AJ40" s="20">
        <f>Maximum!Y40</f>
        <v>5.53</v>
      </c>
      <c r="AK40" s="20">
        <f t="shared" si="10"/>
        <v>3.0000000000000027E-2</v>
      </c>
      <c r="AL40" s="20">
        <f t="shared" si="11"/>
        <v>-7.0000000000000062E-2</v>
      </c>
      <c r="AM40" s="20">
        <f t="shared" si="12"/>
        <v>-4.9999999999999822E-2</v>
      </c>
      <c r="AN40" s="20">
        <f t="shared" si="13"/>
        <v>-2.0000000000000018E-2</v>
      </c>
      <c r="AO40" s="20">
        <f t="shared" si="14"/>
        <v>-0.12000000000000011</v>
      </c>
      <c r="AP40" s="20">
        <f t="shared" si="15"/>
        <v>-7.0000000000000284E-2</v>
      </c>
      <c r="AQ40" s="20">
        <f t="shared" si="16"/>
        <v>-4.9999999999999822E-2</v>
      </c>
      <c r="AR40" s="20">
        <f t="shared" si="17"/>
        <v>-4.0000000000000036E-2</v>
      </c>
    </row>
    <row r="41" spans="1:44" s="20" customFormat="1">
      <c r="A41" s="9">
        <f>Operational!Q41</f>
        <v>33.840000000000003</v>
      </c>
      <c r="B41" s="20">
        <f>Operational!R41</f>
        <v>1270.8689999999999</v>
      </c>
      <c r="C41" s="20">
        <f>Operational!S41</f>
        <v>1290.711</v>
      </c>
      <c r="D41" s="20">
        <f>Operational!T41</f>
        <v>1311.4280000000001</v>
      </c>
      <c r="E41" s="20">
        <f>Operational!U41</f>
        <v>1330.758</v>
      </c>
      <c r="G41" s="15">
        <f>Maximum!Q41</f>
        <v>37.119999999999997</v>
      </c>
      <c r="H41" s="20">
        <f>Maximum!R41</f>
        <v>1272.162</v>
      </c>
      <c r="I41" s="20">
        <f>Maximum!S41</f>
        <v>1292.097</v>
      </c>
      <c r="J41" s="20">
        <f>Maximum!T41</f>
        <v>1312.7360000000001</v>
      </c>
      <c r="K41" s="20">
        <f>Maximum!U41</f>
        <v>1332.107</v>
      </c>
      <c r="V41" s="9">
        <f t="shared" si="9"/>
        <v>33.840000000000003</v>
      </c>
      <c r="W41" s="20">
        <f>Operational!V41</f>
        <v>1.26</v>
      </c>
      <c r="X41" s="20">
        <f>Operational!W41</f>
        <v>1.1499999999999999</v>
      </c>
      <c r="Y41" s="20">
        <f>Operational!X41</f>
        <v>2.48</v>
      </c>
      <c r="Z41" s="20">
        <f>Operational!Y41</f>
        <v>1.95</v>
      </c>
      <c r="AA41" s="20">
        <f>Operational!AD41</f>
        <v>148</v>
      </c>
      <c r="AB41" s="20">
        <f>Operational!AE41</f>
        <v>151</v>
      </c>
      <c r="AC41" s="20">
        <f>Operational!AF41</f>
        <v>148</v>
      </c>
      <c r="AD41" s="20">
        <f>Operational!AG41</f>
        <v>151</v>
      </c>
      <c r="AE41" s="15">
        <f>Maximum!Q41</f>
        <v>37.119999999999997</v>
      </c>
      <c r="AF41" s="20">
        <f>Maximum!AD41</f>
        <v>399</v>
      </c>
      <c r="AG41" s="20">
        <f>Maximum!V41</f>
        <v>7.31</v>
      </c>
      <c r="AH41" s="20">
        <f>Maximum!W41</f>
        <v>7.07</v>
      </c>
      <c r="AI41" s="20">
        <f>Maximum!X41</f>
        <v>7.6</v>
      </c>
      <c r="AJ41" s="20">
        <f>Maximum!Y41</f>
        <v>5.55</v>
      </c>
      <c r="AK41" s="20">
        <f t="shared" si="10"/>
        <v>-2.0000000000000018E-2</v>
      </c>
      <c r="AL41" s="20">
        <f t="shared" si="11"/>
        <v>-2.9999999999999805E-2</v>
      </c>
      <c r="AM41" s="20">
        <f t="shared" si="12"/>
        <v>2.9999999999999805E-2</v>
      </c>
      <c r="AN41" s="20">
        <f t="shared" si="13"/>
        <v>0</v>
      </c>
      <c r="AO41" s="20">
        <f t="shared" si="14"/>
        <v>-4.9999999999999822E-2</v>
      </c>
      <c r="AP41" s="20">
        <f t="shared" si="15"/>
        <v>-0.11000000000000032</v>
      </c>
      <c r="AQ41" s="20">
        <f t="shared" si="16"/>
        <v>-8.0000000000000071E-2</v>
      </c>
      <c r="AR41" s="20">
        <f t="shared" si="17"/>
        <v>-1.9999999999999574E-2</v>
      </c>
    </row>
    <row r="42" spans="1:44" s="20" customFormat="1">
      <c r="A42" s="9">
        <f>Operational!Q42</f>
        <v>34.68</v>
      </c>
      <c r="B42" s="20">
        <f>Operational!R42</f>
        <v>1270.944</v>
      </c>
      <c r="C42" s="20">
        <f>Operational!S42</f>
        <v>1290.788</v>
      </c>
      <c r="D42" s="20">
        <f>Operational!T42</f>
        <v>1311.5039999999999</v>
      </c>
      <c r="E42" s="20">
        <f>Operational!U42</f>
        <v>1330.836</v>
      </c>
      <c r="G42" s="15">
        <f>Maximum!Q42</f>
        <v>36.28</v>
      </c>
      <c r="H42" s="20">
        <f>Maximum!R42</f>
        <v>1272.0840000000001</v>
      </c>
      <c r="I42" s="20">
        <f>Maximum!S42</f>
        <v>1292.0170000000001</v>
      </c>
      <c r="J42" s="20">
        <f>Maximum!T42</f>
        <v>1312.6569999999999</v>
      </c>
      <c r="K42" s="20">
        <f>Maximum!U42</f>
        <v>1332.028</v>
      </c>
      <c r="V42" s="9">
        <f t="shared" si="9"/>
        <v>34.68</v>
      </c>
      <c r="W42" s="20">
        <f>Operational!V42</f>
        <v>1.17</v>
      </c>
      <c r="X42" s="20">
        <f>Operational!W42</f>
        <v>1.1100000000000001</v>
      </c>
      <c r="Y42" s="20">
        <f>Operational!X42</f>
        <v>2.4700000000000002</v>
      </c>
      <c r="Z42" s="20">
        <f>Operational!Y42</f>
        <v>1.97</v>
      </c>
      <c r="AA42" s="20">
        <f>Operational!AD42</f>
        <v>149</v>
      </c>
      <c r="AB42" s="20">
        <f>Operational!AE42</f>
        <v>152</v>
      </c>
      <c r="AC42" s="20">
        <f>Operational!AF42</f>
        <v>149</v>
      </c>
      <c r="AD42" s="20">
        <f>Operational!AG42</f>
        <v>152</v>
      </c>
      <c r="AE42" s="15">
        <f>Maximum!Q42</f>
        <v>36.28</v>
      </c>
      <c r="AF42" s="20">
        <f>Maximum!AD42</f>
        <v>399</v>
      </c>
      <c r="AG42" s="20">
        <f>Maximum!V42</f>
        <v>7.47</v>
      </c>
      <c r="AH42" s="20">
        <f>Maximum!W42</f>
        <v>7.09</v>
      </c>
      <c r="AI42" s="20">
        <f>Maximum!X42</f>
        <v>7.64</v>
      </c>
      <c r="AJ42" s="20">
        <f>Maximum!Y42</f>
        <v>5.64</v>
      </c>
      <c r="AK42" s="20">
        <f t="shared" si="10"/>
        <v>9.000000000000008E-2</v>
      </c>
      <c r="AL42" s="20">
        <f t="shared" si="11"/>
        <v>3.9999999999999813E-2</v>
      </c>
      <c r="AM42" s="20">
        <f t="shared" si="12"/>
        <v>9.9999999999997868E-3</v>
      </c>
      <c r="AN42" s="20">
        <f t="shared" si="13"/>
        <v>-2.0000000000000018E-2</v>
      </c>
      <c r="AO42" s="20">
        <f t="shared" si="14"/>
        <v>-0.16000000000000014</v>
      </c>
      <c r="AP42" s="20">
        <f t="shared" si="15"/>
        <v>-1.9999999999999574E-2</v>
      </c>
      <c r="AQ42" s="20">
        <f t="shared" si="16"/>
        <v>-4.0000000000000036E-2</v>
      </c>
      <c r="AR42" s="20">
        <f t="shared" si="17"/>
        <v>-8.9999999999999858E-2</v>
      </c>
    </row>
    <row r="43" spans="1:44" s="20" customFormat="1">
      <c r="A43" s="9">
        <f>Operational!Q43</f>
        <v>35.54</v>
      </c>
      <c r="B43" s="20">
        <f>Operational!R43</f>
        <v>1271.019</v>
      </c>
      <c r="C43" s="20">
        <f>Operational!S43</f>
        <v>1290.867</v>
      </c>
      <c r="D43" s="20">
        <f>Operational!T43</f>
        <v>1311.58</v>
      </c>
      <c r="E43" s="20">
        <f>Operational!U43</f>
        <v>1330.915</v>
      </c>
      <c r="G43" s="15">
        <f>Maximum!Q43</f>
        <v>35.450000000000003</v>
      </c>
      <c r="H43" s="20">
        <f>Maximum!R43</f>
        <v>1272.0029999999999</v>
      </c>
      <c r="I43" s="20">
        <f>Maximum!S43</f>
        <v>1291.9349999999999</v>
      </c>
      <c r="J43" s="20">
        <f>Maximum!T43</f>
        <v>1312.577</v>
      </c>
      <c r="K43" s="20">
        <f>Maximum!U43</f>
        <v>1331.9459999999999</v>
      </c>
      <c r="V43" s="9">
        <f t="shared" si="9"/>
        <v>35.54</v>
      </c>
      <c r="W43" s="20">
        <f>Operational!V43</f>
        <v>1.18</v>
      </c>
      <c r="X43" s="20">
        <f>Operational!W43</f>
        <v>1.17</v>
      </c>
      <c r="Y43" s="20">
        <f>Operational!X43</f>
        <v>2.4500000000000002</v>
      </c>
      <c r="Z43" s="20">
        <f>Operational!Y43</f>
        <v>1.99</v>
      </c>
      <c r="AA43" s="20">
        <f>Operational!AD43</f>
        <v>150</v>
      </c>
      <c r="AB43" s="20">
        <f>Operational!AE43</f>
        <v>153</v>
      </c>
      <c r="AC43" s="20">
        <f>Operational!AF43</f>
        <v>150</v>
      </c>
      <c r="AD43" s="20">
        <f>Operational!AG43</f>
        <v>153</v>
      </c>
      <c r="AE43" s="15">
        <f>Maximum!Q43</f>
        <v>35.450000000000003</v>
      </c>
      <c r="AF43" s="20">
        <f>Maximum!AD43</f>
        <v>399</v>
      </c>
      <c r="AG43" s="20">
        <f>Maximum!V43</f>
        <v>7.5</v>
      </c>
      <c r="AH43" s="20">
        <f>Maximum!W43</f>
        <v>7.18</v>
      </c>
      <c r="AI43" s="20">
        <f>Maximum!X43</f>
        <v>7.72</v>
      </c>
      <c r="AJ43" s="20">
        <f>Maximum!Y43</f>
        <v>5.68</v>
      </c>
      <c r="AK43" s="20">
        <f t="shared" si="10"/>
        <v>-1.0000000000000009E-2</v>
      </c>
      <c r="AL43" s="20">
        <f t="shared" si="11"/>
        <v>-5.9999999999999831E-2</v>
      </c>
      <c r="AM43" s="20">
        <f t="shared" si="12"/>
        <v>2.0000000000000018E-2</v>
      </c>
      <c r="AN43" s="20">
        <f t="shared" si="13"/>
        <v>-2.0000000000000018E-2</v>
      </c>
      <c r="AO43" s="20">
        <f t="shared" si="14"/>
        <v>-3.0000000000000249E-2</v>
      </c>
      <c r="AP43" s="20">
        <f t="shared" si="15"/>
        <v>-8.9999999999999858E-2</v>
      </c>
      <c r="AQ43" s="20">
        <f t="shared" si="16"/>
        <v>-8.0000000000000071E-2</v>
      </c>
      <c r="AR43" s="20">
        <f t="shared" si="17"/>
        <v>-4.0000000000000036E-2</v>
      </c>
    </row>
    <row r="44" spans="1:44" s="20" customFormat="1">
      <c r="A44" s="9">
        <f>Operational!Q44</f>
        <v>36.369999999999997</v>
      </c>
      <c r="B44" s="20">
        <f>Operational!R44</f>
        <v>1271.095</v>
      </c>
      <c r="C44" s="20">
        <f>Operational!S44</f>
        <v>1290.9449999999999</v>
      </c>
      <c r="D44" s="20">
        <f>Operational!T44</f>
        <v>1311.655</v>
      </c>
      <c r="E44" s="20">
        <f>Operational!U44</f>
        <v>1330.9939999999999</v>
      </c>
      <c r="G44" s="15">
        <f>Maximum!Q44</f>
        <v>34.619999999999997</v>
      </c>
      <c r="H44" s="20">
        <f>Maximum!R44</f>
        <v>1271.9269999999999</v>
      </c>
      <c r="I44" s="20">
        <f>Maximum!S44</f>
        <v>1291.857</v>
      </c>
      <c r="J44" s="20">
        <f>Maximum!T44</f>
        <v>1312.501</v>
      </c>
      <c r="K44" s="20">
        <f>Maximum!U44</f>
        <v>1331.8710000000001</v>
      </c>
      <c r="V44" s="9">
        <f t="shared" si="9"/>
        <v>36.369999999999997</v>
      </c>
      <c r="W44" s="20">
        <f>Operational!V44</f>
        <v>1.18</v>
      </c>
      <c r="X44" s="20">
        <f>Operational!W44</f>
        <v>1.07</v>
      </c>
      <c r="Y44" s="20">
        <f>Operational!X44</f>
        <v>2.48</v>
      </c>
      <c r="Z44" s="20">
        <f>Operational!Y44</f>
        <v>1.97</v>
      </c>
      <c r="AA44" s="20">
        <f>Operational!AD44</f>
        <v>150</v>
      </c>
      <c r="AB44" s="20">
        <f>Operational!AE44</f>
        <v>154</v>
      </c>
      <c r="AC44" s="20">
        <f>Operational!AF44</f>
        <v>150</v>
      </c>
      <c r="AD44" s="20">
        <f>Operational!AG44</f>
        <v>154</v>
      </c>
      <c r="AE44" s="15">
        <f>Maximum!Q44</f>
        <v>34.619999999999997</v>
      </c>
      <c r="AF44" s="20">
        <f>Maximum!AD44</f>
        <v>399</v>
      </c>
      <c r="AG44" s="20">
        <f>Maximum!V44</f>
        <v>7.52</v>
      </c>
      <c r="AH44" s="20">
        <f>Maximum!W44</f>
        <v>7.21</v>
      </c>
      <c r="AI44" s="20">
        <f>Maximum!X44</f>
        <v>7.77</v>
      </c>
      <c r="AJ44" s="20">
        <f>Maximum!Y44</f>
        <v>5.72</v>
      </c>
      <c r="AK44" s="20">
        <f t="shared" si="10"/>
        <v>0</v>
      </c>
      <c r="AL44" s="20">
        <f t="shared" si="11"/>
        <v>9.9999999999999867E-2</v>
      </c>
      <c r="AM44" s="20">
        <f t="shared" si="12"/>
        <v>-2.9999999999999805E-2</v>
      </c>
      <c r="AN44" s="20">
        <f t="shared" si="13"/>
        <v>2.0000000000000018E-2</v>
      </c>
      <c r="AO44" s="20">
        <f t="shared" si="14"/>
        <v>-1.9999999999999574E-2</v>
      </c>
      <c r="AP44" s="20">
        <f t="shared" si="15"/>
        <v>-3.0000000000000249E-2</v>
      </c>
      <c r="AQ44" s="20">
        <f t="shared" si="16"/>
        <v>-4.9999999999999822E-2</v>
      </c>
      <c r="AR44" s="20">
        <f t="shared" si="17"/>
        <v>-4.0000000000000036E-2</v>
      </c>
    </row>
    <row r="45" spans="1:44" s="20" customFormat="1">
      <c r="A45" s="9">
        <f>Operational!Q45</f>
        <v>37.21</v>
      </c>
      <c r="B45" s="20">
        <f>Operational!R45</f>
        <v>1271.17</v>
      </c>
      <c r="C45" s="20">
        <f>Operational!S45</f>
        <v>1291.0239999999999</v>
      </c>
      <c r="D45" s="20">
        <f>Operational!T45</f>
        <v>1311.7329999999999</v>
      </c>
      <c r="E45" s="20">
        <f>Operational!U45</f>
        <v>1331.0730000000001</v>
      </c>
      <c r="G45" s="15">
        <f>Maximum!Q45</f>
        <v>33.79</v>
      </c>
      <c r="H45" s="20">
        <f>Maximum!R45</f>
        <v>1271.8489999999999</v>
      </c>
      <c r="I45" s="20">
        <f>Maximum!S45</f>
        <v>1291.778</v>
      </c>
      <c r="J45" s="20">
        <f>Maximum!T45</f>
        <v>1312.423</v>
      </c>
      <c r="K45" s="20">
        <f>Maximum!U45</f>
        <v>1331.7909999999999</v>
      </c>
      <c r="V45" s="9">
        <f t="shared" si="9"/>
        <v>37.21</v>
      </c>
      <c r="W45" s="20">
        <f>Operational!V45</f>
        <v>1.24</v>
      </c>
      <c r="X45" s="20">
        <f>Operational!W45</f>
        <v>0.98</v>
      </c>
      <c r="Y45" s="20">
        <f>Operational!X45</f>
        <v>2.4700000000000002</v>
      </c>
      <c r="Z45" s="20">
        <f>Operational!Y45</f>
        <v>2.0099999999999998</v>
      </c>
      <c r="AA45" s="20">
        <f>Operational!AD45</f>
        <v>151</v>
      </c>
      <c r="AB45" s="20">
        <f>Operational!AE45</f>
        <v>154</v>
      </c>
      <c r="AC45" s="20">
        <f>Operational!AF45</f>
        <v>151</v>
      </c>
      <c r="AD45" s="20">
        <f>Operational!AG45</f>
        <v>154</v>
      </c>
      <c r="AE45" s="15">
        <f>Maximum!Q45</f>
        <v>33.79</v>
      </c>
      <c r="AF45" s="20">
        <f>Maximum!AD45</f>
        <v>399</v>
      </c>
      <c r="AG45" s="20">
        <f>Maximum!V45</f>
        <v>7.59</v>
      </c>
      <c r="AH45" s="20">
        <f>Maximum!W45</f>
        <v>7.25</v>
      </c>
      <c r="AI45" s="20">
        <f>Maximum!X45</f>
        <v>7.9</v>
      </c>
      <c r="AJ45" s="20">
        <f>Maximum!Y45</f>
        <v>5.77</v>
      </c>
      <c r="AK45" s="20">
        <f t="shared" si="10"/>
        <v>-6.0000000000000053E-2</v>
      </c>
      <c r="AL45" s="20">
        <f t="shared" si="11"/>
        <v>9.000000000000008E-2</v>
      </c>
      <c r="AM45" s="20">
        <f t="shared" si="12"/>
        <v>9.9999999999997868E-3</v>
      </c>
      <c r="AN45" s="20">
        <f t="shared" si="13"/>
        <v>-3.9999999999999813E-2</v>
      </c>
      <c r="AO45" s="20">
        <f t="shared" si="14"/>
        <v>-7.0000000000000284E-2</v>
      </c>
      <c r="AP45" s="20">
        <f t="shared" si="15"/>
        <v>-4.0000000000000036E-2</v>
      </c>
      <c r="AQ45" s="20">
        <f t="shared" si="16"/>
        <v>-0.13000000000000078</v>
      </c>
      <c r="AR45" s="20">
        <f t="shared" si="17"/>
        <v>-4.9999999999999822E-2</v>
      </c>
    </row>
    <row r="46" spans="1:44" s="20" customFormat="1">
      <c r="A46" s="9">
        <f>Operational!Q46</f>
        <v>38.04</v>
      </c>
      <c r="B46" s="20">
        <f>Operational!R46</f>
        <v>1271.2470000000001</v>
      </c>
      <c r="C46" s="20">
        <f>Operational!S46</f>
        <v>1291.1010000000001</v>
      </c>
      <c r="D46" s="20">
        <f>Operational!T46</f>
        <v>1311.809</v>
      </c>
      <c r="E46" s="20">
        <f>Operational!U46</f>
        <v>1331.153</v>
      </c>
      <c r="G46" s="15">
        <f>Maximum!Q46</f>
        <v>32.950000000000003</v>
      </c>
      <c r="H46" s="20">
        <f>Maximum!R46</f>
        <v>1271.77</v>
      </c>
      <c r="I46" s="20">
        <f>Maximum!S46</f>
        <v>1291.6990000000001</v>
      </c>
      <c r="J46" s="20">
        <f>Maximum!T46</f>
        <v>1312.3430000000001</v>
      </c>
      <c r="K46" s="20">
        <f>Maximum!U46</f>
        <v>1331.71</v>
      </c>
      <c r="V46" s="9">
        <f t="shared" si="9"/>
        <v>38.04</v>
      </c>
      <c r="W46" s="20">
        <f>Operational!V46</f>
        <v>1.28</v>
      </c>
      <c r="X46" s="20">
        <f>Operational!W46</f>
        <v>1.04</v>
      </c>
      <c r="Y46" s="20">
        <f>Operational!X46</f>
        <v>2.48</v>
      </c>
      <c r="Z46" s="20">
        <f>Operational!Y46</f>
        <v>1.99</v>
      </c>
      <c r="AA46" s="20">
        <f>Operational!AD46</f>
        <v>152</v>
      </c>
      <c r="AB46" s="20">
        <f>Operational!AE46</f>
        <v>155</v>
      </c>
      <c r="AC46" s="20">
        <f>Operational!AF46</f>
        <v>152</v>
      </c>
      <c r="AD46" s="20">
        <f>Operational!AG46</f>
        <v>155</v>
      </c>
      <c r="AE46" s="15">
        <f>Maximum!Q46</f>
        <v>32.950000000000003</v>
      </c>
      <c r="AF46" s="20">
        <f>Maximum!AD46</f>
        <v>399</v>
      </c>
      <c r="AG46" s="20">
        <f>Maximum!V46</f>
        <v>7.65</v>
      </c>
      <c r="AH46" s="20">
        <f>Maximum!W46</f>
        <v>7.29</v>
      </c>
      <c r="AI46" s="20">
        <f>Maximum!X46</f>
        <v>7.86</v>
      </c>
      <c r="AJ46" s="20">
        <f>Maximum!Y46</f>
        <v>5.83</v>
      </c>
      <c r="AK46" s="20">
        <f t="shared" si="10"/>
        <v>-4.0000000000000036E-2</v>
      </c>
      <c r="AL46" s="20">
        <f t="shared" si="11"/>
        <v>-6.0000000000000053E-2</v>
      </c>
      <c r="AM46" s="20">
        <f t="shared" si="12"/>
        <v>-9.9999999999997868E-3</v>
      </c>
      <c r="AN46" s="20">
        <f t="shared" si="13"/>
        <v>1.9999999999999796E-2</v>
      </c>
      <c r="AO46" s="20">
        <f t="shared" si="14"/>
        <v>-6.0000000000000497E-2</v>
      </c>
      <c r="AP46" s="20">
        <f t="shared" si="15"/>
        <v>-4.0000000000000036E-2</v>
      </c>
      <c r="AQ46" s="20">
        <f t="shared" si="16"/>
        <v>4.0000000000000036E-2</v>
      </c>
      <c r="AR46" s="20">
        <f t="shared" si="17"/>
        <v>-6.0000000000000497E-2</v>
      </c>
    </row>
    <row r="47" spans="1:44" s="20" customFormat="1">
      <c r="A47" s="9">
        <f>Operational!Q47</f>
        <v>38.9</v>
      </c>
      <c r="B47" s="20">
        <f>Operational!R47</f>
        <v>1271.325</v>
      </c>
      <c r="C47" s="20">
        <f>Operational!S47</f>
        <v>1291.181</v>
      </c>
      <c r="D47" s="20">
        <f>Operational!T47</f>
        <v>1311.8879999999999</v>
      </c>
      <c r="E47" s="20">
        <f>Operational!U47</f>
        <v>1331.2349999999999</v>
      </c>
      <c r="G47" s="15">
        <f>Maximum!Q47</f>
        <v>32.11</v>
      </c>
      <c r="H47" s="20">
        <f>Maximum!R47</f>
        <v>1271.6890000000001</v>
      </c>
      <c r="I47" s="20">
        <f>Maximum!S47</f>
        <v>1291.6179999999999</v>
      </c>
      <c r="J47" s="20">
        <f>Maximum!T47</f>
        <v>1312.2619999999999</v>
      </c>
      <c r="K47" s="20">
        <f>Maximum!U47</f>
        <v>1331.6310000000001</v>
      </c>
      <c r="V47" s="9">
        <f t="shared" si="9"/>
        <v>38.9</v>
      </c>
      <c r="W47" s="20">
        <f>Operational!V47</f>
        <v>1.29</v>
      </c>
      <c r="X47" s="20">
        <f>Operational!W47</f>
        <v>0.99</v>
      </c>
      <c r="Y47" s="20">
        <f>Operational!X47</f>
        <v>2.5299999999999998</v>
      </c>
      <c r="Z47" s="20">
        <f>Operational!Y47</f>
        <v>1.95</v>
      </c>
      <c r="AA47" s="20">
        <f>Operational!AD47</f>
        <v>153</v>
      </c>
      <c r="AB47" s="20">
        <f>Operational!AE47</f>
        <v>156</v>
      </c>
      <c r="AC47" s="20">
        <f>Operational!AF47</f>
        <v>153</v>
      </c>
      <c r="AD47" s="20">
        <f>Operational!AG47</f>
        <v>156</v>
      </c>
      <c r="AE47" s="15">
        <f>Maximum!Q47</f>
        <v>32.11</v>
      </c>
      <c r="AF47" s="20">
        <f>Maximum!AD47</f>
        <v>399</v>
      </c>
      <c r="AG47" s="20">
        <f>Maximum!V47</f>
        <v>7.71</v>
      </c>
      <c r="AH47" s="20">
        <f>Maximum!W47</f>
        <v>7.43</v>
      </c>
      <c r="AI47" s="20">
        <f>Maximum!X47</f>
        <v>7.92</v>
      </c>
      <c r="AJ47" s="20">
        <f>Maximum!Y47</f>
        <v>5.86</v>
      </c>
      <c r="AK47" s="20">
        <f t="shared" si="10"/>
        <v>-1.0000000000000009E-2</v>
      </c>
      <c r="AL47" s="20">
        <f t="shared" si="11"/>
        <v>5.0000000000000044E-2</v>
      </c>
      <c r="AM47" s="20">
        <f t="shared" si="12"/>
        <v>-4.9999999999999822E-2</v>
      </c>
      <c r="AN47" s="20">
        <f t="shared" si="13"/>
        <v>4.0000000000000036E-2</v>
      </c>
      <c r="AO47" s="20">
        <f t="shared" si="14"/>
        <v>-5.9999999999999609E-2</v>
      </c>
      <c r="AP47" s="20">
        <f t="shared" si="15"/>
        <v>-0.13999999999999968</v>
      </c>
      <c r="AQ47" s="20">
        <f t="shared" si="16"/>
        <v>-5.9999999999999609E-2</v>
      </c>
      <c r="AR47" s="20">
        <f t="shared" si="17"/>
        <v>-3.0000000000000249E-2</v>
      </c>
    </row>
    <row r="48" spans="1:44" s="20" customFormat="1">
      <c r="A48" s="9">
        <f>Operational!Q48</f>
        <v>39.75</v>
      </c>
      <c r="B48" s="20">
        <f>Operational!R48</f>
        <v>1271.4010000000001</v>
      </c>
      <c r="C48" s="20">
        <f>Operational!S48</f>
        <v>1291.258</v>
      </c>
      <c r="D48" s="20">
        <f>Operational!T48</f>
        <v>1311.9649999999999</v>
      </c>
      <c r="E48" s="20">
        <f>Operational!U48</f>
        <v>1331.3140000000001</v>
      </c>
      <c r="G48" s="15">
        <f>Maximum!Q48</f>
        <v>31.29</v>
      </c>
      <c r="H48" s="20">
        <f>Maximum!R48</f>
        <v>1271.6120000000001</v>
      </c>
      <c r="I48" s="20">
        <f>Maximum!S48</f>
        <v>1291.54</v>
      </c>
      <c r="J48" s="20">
        <f>Maximum!T48</f>
        <v>1312.1859999999999</v>
      </c>
      <c r="K48" s="20">
        <f>Maximum!U48</f>
        <v>1331.5540000000001</v>
      </c>
      <c r="V48" s="9">
        <f t="shared" si="9"/>
        <v>39.75</v>
      </c>
      <c r="W48" s="20">
        <f>Operational!V48</f>
        <v>1.31</v>
      </c>
      <c r="X48" s="20">
        <f>Operational!W48</f>
        <v>0.93</v>
      </c>
      <c r="Y48" s="20">
        <f>Operational!X48</f>
        <v>2.57</v>
      </c>
      <c r="Z48" s="20">
        <f>Operational!Y48</f>
        <v>1.93</v>
      </c>
      <c r="AA48" s="20">
        <f>Operational!AD48</f>
        <v>155</v>
      </c>
      <c r="AB48" s="20">
        <f>Operational!AE48</f>
        <v>156</v>
      </c>
      <c r="AC48" s="20">
        <f>Operational!AF48</f>
        <v>155</v>
      </c>
      <c r="AD48" s="20">
        <f>Operational!AG48</f>
        <v>156</v>
      </c>
      <c r="AE48" s="15">
        <f>Maximum!Q48</f>
        <v>31.29</v>
      </c>
      <c r="AF48" s="20">
        <f>Maximum!AD48</f>
        <v>399</v>
      </c>
      <c r="AG48" s="20">
        <f>Maximum!V48</f>
        <v>7.77</v>
      </c>
      <c r="AH48" s="20">
        <f>Maximum!W48</f>
        <v>7.45</v>
      </c>
      <c r="AI48" s="20">
        <f>Maximum!X48</f>
        <v>7.9</v>
      </c>
      <c r="AJ48" s="20">
        <f>Maximum!Y48</f>
        <v>5.89</v>
      </c>
      <c r="AK48" s="20">
        <f t="shared" si="10"/>
        <v>-2.0000000000000018E-2</v>
      </c>
      <c r="AL48" s="20">
        <f t="shared" si="11"/>
        <v>5.9999999999999942E-2</v>
      </c>
      <c r="AM48" s="20">
        <f t="shared" si="12"/>
        <v>-4.0000000000000036E-2</v>
      </c>
      <c r="AN48" s="20">
        <f t="shared" si="13"/>
        <v>2.0000000000000018E-2</v>
      </c>
      <c r="AO48" s="20">
        <f t="shared" si="14"/>
        <v>-5.9999999999999609E-2</v>
      </c>
      <c r="AP48" s="20">
        <f t="shared" si="15"/>
        <v>-2.0000000000000462E-2</v>
      </c>
      <c r="AQ48" s="20">
        <f t="shared" si="16"/>
        <v>1.9999999999999574E-2</v>
      </c>
      <c r="AR48" s="20">
        <f t="shared" si="17"/>
        <v>-2.9999999999999361E-2</v>
      </c>
    </row>
    <row r="49" spans="1:44" s="20" customFormat="1">
      <c r="A49" s="9">
        <f>Operational!Q49</f>
        <v>40.58</v>
      </c>
      <c r="B49" s="20">
        <f>Operational!R49</f>
        <v>1271.479</v>
      </c>
      <c r="C49" s="20">
        <f>Operational!S49</f>
        <v>1291.338</v>
      </c>
      <c r="D49" s="20">
        <f>Operational!T49</f>
        <v>1312.0450000000001</v>
      </c>
      <c r="E49" s="20">
        <f>Operational!U49</f>
        <v>1331.393</v>
      </c>
      <c r="G49" s="15">
        <f>Maximum!Q49</f>
        <v>30.43</v>
      </c>
      <c r="H49" s="20">
        <f>Maximum!R49</f>
        <v>1271.5340000000001</v>
      </c>
      <c r="I49" s="20">
        <f>Maximum!S49</f>
        <v>1291.461</v>
      </c>
      <c r="J49" s="20">
        <f>Maximum!T49</f>
        <v>1312.107</v>
      </c>
      <c r="K49" s="20">
        <f>Maximum!U49</f>
        <v>1331.4749999999999</v>
      </c>
      <c r="V49" s="9">
        <f t="shared" si="9"/>
        <v>40.58</v>
      </c>
      <c r="W49" s="20">
        <f>Operational!V49</f>
        <v>1.29</v>
      </c>
      <c r="X49" s="20">
        <f>Operational!W49</f>
        <v>0.97</v>
      </c>
      <c r="Y49" s="20">
        <f>Operational!X49</f>
        <v>2.58</v>
      </c>
      <c r="Z49" s="20">
        <f>Operational!Y49</f>
        <v>1.93</v>
      </c>
      <c r="AA49" s="20">
        <f>Operational!AD49</f>
        <v>156</v>
      </c>
      <c r="AB49" s="20">
        <f>Operational!AE49</f>
        <v>157</v>
      </c>
      <c r="AC49" s="20">
        <f>Operational!AF49</f>
        <v>156</v>
      </c>
      <c r="AD49" s="20">
        <f>Operational!AG49</f>
        <v>157</v>
      </c>
      <c r="AE49" s="15">
        <f>Maximum!Q49</f>
        <v>30.43</v>
      </c>
      <c r="AF49" s="20">
        <f>Maximum!AD49</f>
        <v>399</v>
      </c>
      <c r="AG49" s="20">
        <f>Maximum!V49</f>
        <v>7.85</v>
      </c>
      <c r="AH49" s="20">
        <f>Maximum!W49</f>
        <v>7.52</v>
      </c>
      <c r="AI49" s="20">
        <f>Maximum!X49</f>
        <v>8.02</v>
      </c>
      <c r="AJ49" s="20">
        <f>Maximum!Y49</f>
        <v>5.95</v>
      </c>
      <c r="AK49" s="20">
        <f t="shared" si="10"/>
        <v>2.0000000000000018E-2</v>
      </c>
      <c r="AL49" s="20">
        <f t="shared" si="11"/>
        <v>-3.9999999999999925E-2</v>
      </c>
      <c r="AM49" s="20">
        <f t="shared" si="12"/>
        <v>-1.0000000000000231E-2</v>
      </c>
      <c r="AN49" s="20">
        <f t="shared" si="13"/>
        <v>0</v>
      </c>
      <c r="AO49" s="20">
        <f t="shared" si="14"/>
        <v>-8.0000000000000071E-2</v>
      </c>
      <c r="AP49" s="20">
        <f t="shared" si="15"/>
        <v>-6.9999999999999396E-2</v>
      </c>
      <c r="AQ49" s="20">
        <f t="shared" si="16"/>
        <v>-0.11999999999999922</v>
      </c>
      <c r="AR49" s="20">
        <f t="shared" si="17"/>
        <v>-6.0000000000000497E-2</v>
      </c>
    </row>
    <row r="50" spans="1:44" s="20" customFormat="1">
      <c r="A50" s="9">
        <f>Operational!Q50</f>
        <v>41.42</v>
      </c>
      <c r="B50" s="20">
        <f>Operational!R50</f>
        <v>1271.556</v>
      </c>
      <c r="C50" s="20">
        <f>Operational!S50</f>
        <v>1291.415</v>
      </c>
      <c r="D50" s="20">
        <f>Operational!T50</f>
        <v>1312.1220000000001</v>
      </c>
      <c r="E50" s="20">
        <f>Operational!U50</f>
        <v>1331.472</v>
      </c>
      <c r="G50" s="15">
        <f>Maximum!Q50</f>
        <v>29.59</v>
      </c>
      <c r="H50" s="20">
        <f>Maximum!R50</f>
        <v>1271.4559999999999</v>
      </c>
      <c r="I50" s="20">
        <f>Maximum!S50</f>
        <v>1291.383</v>
      </c>
      <c r="J50" s="20">
        <f>Maximum!T50</f>
        <v>1312.0309999999999</v>
      </c>
      <c r="K50" s="20">
        <f>Maximum!U50</f>
        <v>1331.3969999999999</v>
      </c>
      <c r="V50" s="9">
        <f t="shared" si="9"/>
        <v>41.42</v>
      </c>
      <c r="W50" s="20">
        <f>Operational!V50</f>
        <v>1.19</v>
      </c>
      <c r="X50" s="20">
        <f>Operational!W50</f>
        <v>0.95</v>
      </c>
      <c r="Y50" s="20">
        <f>Operational!X50</f>
        <v>2.5099999999999998</v>
      </c>
      <c r="Z50" s="20">
        <f>Operational!Y50</f>
        <v>1.85</v>
      </c>
      <c r="AA50" s="20">
        <f>Operational!AD50</f>
        <v>157</v>
      </c>
      <c r="AB50" s="20">
        <f>Operational!AE50</f>
        <v>158</v>
      </c>
      <c r="AC50" s="20">
        <f>Operational!AF50</f>
        <v>157</v>
      </c>
      <c r="AD50" s="20">
        <f>Operational!AG50</f>
        <v>158</v>
      </c>
      <c r="AE50" s="15">
        <f>Maximum!Q50</f>
        <v>29.59</v>
      </c>
      <c r="AF50" s="20">
        <f>Maximum!AD50</f>
        <v>399</v>
      </c>
      <c r="AG50" s="20">
        <f>Maximum!V50</f>
        <v>7.91</v>
      </c>
      <c r="AH50" s="20">
        <f>Maximum!W50</f>
        <v>7.54</v>
      </c>
      <c r="AI50" s="20">
        <f>Maximum!X50</f>
        <v>8.08</v>
      </c>
      <c r="AJ50" s="20">
        <f>Maximum!Y50</f>
        <v>6.02</v>
      </c>
      <c r="AK50" s="20">
        <f t="shared" si="10"/>
        <v>0.10000000000000009</v>
      </c>
      <c r="AL50" s="20">
        <f t="shared" si="11"/>
        <v>2.0000000000000018E-2</v>
      </c>
      <c r="AM50" s="20">
        <f t="shared" si="12"/>
        <v>7.0000000000000284E-2</v>
      </c>
      <c r="AN50" s="20">
        <f t="shared" si="13"/>
        <v>7.9999999999999849E-2</v>
      </c>
      <c r="AO50" s="20">
        <f t="shared" si="14"/>
        <v>-6.0000000000000497E-2</v>
      </c>
      <c r="AP50" s="20">
        <f t="shared" si="15"/>
        <v>-2.0000000000000462E-2</v>
      </c>
      <c r="AQ50" s="20">
        <f t="shared" si="16"/>
        <v>-6.0000000000000497E-2</v>
      </c>
      <c r="AR50" s="20">
        <f t="shared" si="17"/>
        <v>-6.9999999999999396E-2</v>
      </c>
    </row>
    <row r="51" spans="1:44" s="20" customFormat="1">
      <c r="A51" s="9">
        <f>Operational!Q51</f>
        <v>42.24</v>
      </c>
      <c r="B51" s="20">
        <f>Operational!R51</f>
        <v>1271.634</v>
      </c>
      <c r="C51" s="20">
        <f>Operational!S51</f>
        <v>1291.4929999999999</v>
      </c>
      <c r="D51" s="20">
        <f>Operational!T51</f>
        <v>1312.2</v>
      </c>
      <c r="E51" s="20">
        <f>Operational!U51</f>
        <v>1331.549</v>
      </c>
      <c r="G51" s="15">
        <f>Maximum!Q51</f>
        <v>28.74</v>
      </c>
      <c r="H51" s="20">
        <f>Maximum!R51</f>
        <v>1271.374</v>
      </c>
      <c r="I51" s="20">
        <f>Maximum!S51</f>
        <v>1291.3</v>
      </c>
      <c r="J51" s="20">
        <f>Maximum!T51</f>
        <v>1311.9490000000001</v>
      </c>
      <c r="K51" s="20">
        <f>Maximum!U51</f>
        <v>1331.3140000000001</v>
      </c>
      <c r="V51" s="9">
        <f t="shared" si="9"/>
        <v>42.24</v>
      </c>
      <c r="W51" s="20">
        <f>Operational!V51</f>
        <v>1.2</v>
      </c>
      <c r="X51" s="20">
        <f>Operational!W51</f>
        <v>0.92</v>
      </c>
      <c r="Y51" s="20">
        <f>Operational!X51</f>
        <v>2.5299999999999998</v>
      </c>
      <c r="Z51" s="20">
        <f>Operational!Y51</f>
        <v>1.9</v>
      </c>
      <c r="AA51" s="20">
        <f>Operational!AD51</f>
        <v>158</v>
      </c>
      <c r="AB51" s="20">
        <f>Operational!AE51</f>
        <v>159</v>
      </c>
      <c r="AC51" s="20">
        <f>Operational!AF51</f>
        <v>158</v>
      </c>
      <c r="AD51" s="20">
        <f>Operational!AG51</f>
        <v>159</v>
      </c>
      <c r="AE51" s="15">
        <f>Maximum!Q51</f>
        <v>28.74</v>
      </c>
      <c r="AF51" s="20">
        <f>Maximum!AD51</f>
        <v>399</v>
      </c>
      <c r="AG51" s="20">
        <f>Maximum!V51</f>
        <v>7.92</v>
      </c>
      <c r="AH51" s="20">
        <f>Maximum!W51</f>
        <v>7.63</v>
      </c>
      <c r="AI51" s="20">
        <f>Maximum!X51</f>
        <v>8.1</v>
      </c>
      <c r="AJ51" s="20">
        <f>Maximum!Y51</f>
        <v>6.04</v>
      </c>
      <c r="AK51" s="20">
        <f t="shared" si="10"/>
        <v>-1.0000000000000009E-2</v>
      </c>
      <c r="AL51" s="20">
        <f t="shared" si="11"/>
        <v>2.9999999999999916E-2</v>
      </c>
      <c r="AM51" s="20">
        <f t="shared" si="12"/>
        <v>-2.0000000000000018E-2</v>
      </c>
      <c r="AN51" s="20">
        <f t="shared" si="13"/>
        <v>-4.9999999999999822E-2</v>
      </c>
      <c r="AO51" s="20">
        <f t="shared" si="14"/>
        <v>-9.9999999999997868E-3</v>
      </c>
      <c r="AP51" s="20">
        <f t="shared" si="15"/>
        <v>-8.9999999999999858E-2</v>
      </c>
      <c r="AQ51" s="20">
        <f t="shared" si="16"/>
        <v>-1.9999999999999574E-2</v>
      </c>
      <c r="AR51" s="20">
        <f t="shared" si="17"/>
        <v>-2.0000000000000462E-2</v>
      </c>
    </row>
    <row r="52" spans="1:44" s="20" customFormat="1">
      <c r="A52" s="9">
        <f>Operational!Q52</f>
        <v>43.48</v>
      </c>
      <c r="B52" s="20">
        <f>Operational!R52</f>
        <v>1271.712</v>
      </c>
      <c r="C52" s="20">
        <f>Operational!S52</f>
        <v>1291.5709999999999</v>
      </c>
      <c r="D52" s="20">
        <f>Operational!T52</f>
        <v>1312.279</v>
      </c>
      <c r="E52" s="20">
        <f>Operational!U52</f>
        <v>1331.6289999999999</v>
      </c>
      <c r="G52" s="15">
        <f>Maximum!Q52</f>
        <v>27.91</v>
      </c>
      <c r="H52" s="20">
        <f>Maximum!R52</f>
        <v>1271.297</v>
      </c>
      <c r="I52" s="20">
        <f>Maximum!S52</f>
        <v>1291.22</v>
      </c>
      <c r="J52" s="20">
        <f>Maximum!T52</f>
        <v>1311.8710000000001</v>
      </c>
      <c r="K52" s="20">
        <f>Maximum!U52</f>
        <v>1331.2339999999999</v>
      </c>
      <c r="V52" s="9">
        <f t="shared" si="9"/>
        <v>43.48</v>
      </c>
      <c r="W52" s="20">
        <f>Operational!V52</f>
        <v>1.21</v>
      </c>
      <c r="X52" s="20">
        <f>Operational!W52</f>
        <v>0.94</v>
      </c>
      <c r="Y52" s="20">
        <f>Operational!X52</f>
        <v>2.5499999999999998</v>
      </c>
      <c r="Z52" s="20">
        <f>Operational!Y52</f>
        <v>1.89</v>
      </c>
      <c r="AA52" s="20">
        <f>Operational!AD52</f>
        <v>159</v>
      </c>
      <c r="AB52" s="20">
        <f>Operational!AE52</f>
        <v>160</v>
      </c>
      <c r="AC52" s="20">
        <f>Operational!AF52</f>
        <v>159</v>
      </c>
      <c r="AD52" s="20">
        <f>Operational!AG52</f>
        <v>160</v>
      </c>
      <c r="AE52" s="15">
        <f>Maximum!Q52</f>
        <v>27.91</v>
      </c>
      <c r="AF52" s="20">
        <f>Maximum!AD52</f>
        <v>399</v>
      </c>
      <c r="AG52" s="20">
        <f>Maximum!V52</f>
        <v>7.95</v>
      </c>
      <c r="AH52" s="20">
        <f>Maximum!W52</f>
        <v>7.75</v>
      </c>
      <c r="AI52" s="20">
        <f>Maximum!X52</f>
        <v>8.16</v>
      </c>
      <c r="AJ52" s="20">
        <f>Maximum!Y52</f>
        <v>6.1</v>
      </c>
      <c r="AK52" s="20">
        <f t="shared" si="10"/>
        <v>-1.0000000000000009E-2</v>
      </c>
      <c r="AL52" s="20">
        <f t="shared" si="11"/>
        <v>-1.9999999999999907E-2</v>
      </c>
      <c r="AM52" s="20">
        <f t="shared" si="12"/>
        <v>-2.0000000000000018E-2</v>
      </c>
      <c r="AN52" s="20">
        <f t="shared" si="13"/>
        <v>1.0000000000000009E-2</v>
      </c>
      <c r="AO52" s="20">
        <f t="shared" si="14"/>
        <v>-3.0000000000000249E-2</v>
      </c>
      <c r="AP52" s="20">
        <f t="shared" si="15"/>
        <v>-0.12000000000000011</v>
      </c>
      <c r="AQ52" s="20">
        <f t="shared" si="16"/>
        <v>-6.0000000000000497E-2</v>
      </c>
      <c r="AR52" s="20">
        <f t="shared" si="17"/>
        <v>-5.9999999999999609E-2</v>
      </c>
    </row>
    <row r="53" spans="1:44" s="20" customFormat="1">
      <c r="A53" s="9">
        <f>Operational!Q53</f>
        <v>44.27</v>
      </c>
      <c r="B53" s="20">
        <f>Operational!R53</f>
        <v>1271.8499999999999</v>
      </c>
      <c r="C53" s="20">
        <f>Operational!S53</f>
        <v>1291.71</v>
      </c>
      <c r="D53" s="20">
        <f>Operational!T53</f>
        <v>1312.4169999999999</v>
      </c>
      <c r="E53" s="20">
        <f>Operational!U53</f>
        <v>1331.768</v>
      </c>
      <c r="G53" s="15">
        <f>Maximum!Q53</f>
        <v>27.08</v>
      </c>
      <c r="H53" s="20">
        <f>Maximum!R53</f>
        <v>1271.2159999999999</v>
      </c>
      <c r="I53" s="20">
        <f>Maximum!S53</f>
        <v>1291.1389999999999</v>
      </c>
      <c r="J53" s="20">
        <f>Maximum!T53</f>
        <v>1311.7919999999999</v>
      </c>
      <c r="K53" s="20">
        <f>Maximum!U53</f>
        <v>1331.1510000000001</v>
      </c>
      <c r="V53" s="9">
        <f t="shared" si="9"/>
        <v>44.27</v>
      </c>
      <c r="W53" s="20">
        <f>Operational!V53</f>
        <v>1.27</v>
      </c>
      <c r="X53" s="20">
        <f>Operational!W53</f>
        <v>0.92</v>
      </c>
      <c r="Y53" s="20">
        <f>Operational!X53</f>
        <v>2.56</v>
      </c>
      <c r="Z53" s="20">
        <f>Operational!Y53</f>
        <v>1.91</v>
      </c>
      <c r="AA53" s="20">
        <f>Operational!AD53</f>
        <v>160</v>
      </c>
      <c r="AB53" s="20">
        <f>Operational!AE53</f>
        <v>161</v>
      </c>
      <c r="AC53" s="20">
        <f>Operational!AF53</f>
        <v>160</v>
      </c>
      <c r="AD53" s="20">
        <f>Operational!AG53</f>
        <v>161</v>
      </c>
      <c r="AE53" s="15">
        <f>Maximum!Q53</f>
        <v>27.08</v>
      </c>
      <c r="AF53" s="20">
        <f>Maximum!AD53</f>
        <v>399</v>
      </c>
      <c r="AG53" s="20">
        <f>Maximum!V53</f>
        <v>8</v>
      </c>
      <c r="AH53" s="20">
        <f>Maximum!W53</f>
        <v>7.77</v>
      </c>
      <c r="AI53" s="20">
        <f>Maximum!X53</f>
        <v>8.16</v>
      </c>
      <c r="AJ53" s="20">
        <f>Maximum!Y53</f>
        <v>6.14</v>
      </c>
      <c r="AK53" s="20">
        <f t="shared" si="10"/>
        <v>-6.0000000000000053E-2</v>
      </c>
      <c r="AL53" s="20">
        <f t="shared" si="11"/>
        <v>1.9999999999999907E-2</v>
      </c>
      <c r="AM53" s="20">
        <f t="shared" si="12"/>
        <v>-1.0000000000000231E-2</v>
      </c>
      <c r="AN53" s="20">
        <f t="shared" si="13"/>
        <v>-2.0000000000000018E-2</v>
      </c>
      <c r="AO53" s="20">
        <f t="shared" si="14"/>
        <v>-4.9999999999999822E-2</v>
      </c>
      <c r="AP53" s="20">
        <f t="shared" si="15"/>
        <v>-1.9999999999999574E-2</v>
      </c>
      <c r="AQ53" s="20">
        <f t="shared" si="16"/>
        <v>0</v>
      </c>
      <c r="AR53" s="20">
        <f t="shared" si="17"/>
        <v>-4.0000000000000036E-2</v>
      </c>
    </row>
    <row r="54" spans="1:44" s="20" customFormat="1">
      <c r="A54" s="9">
        <f>Operational!Q54</f>
        <v>45.09</v>
      </c>
      <c r="B54" s="20">
        <f>Operational!R54</f>
        <v>1271.9059999999999</v>
      </c>
      <c r="C54" s="20">
        <f>Operational!S54</f>
        <v>1291.7670000000001</v>
      </c>
      <c r="D54" s="20">
        <f>Operational!T54</f>
        <v>1312.4739999999999</v>
      </c>
      <c r="E54" s="20">
        <f>Operational!U54</f>
        <v>1331.8240000000001</v>
      </c>
      <c r="G54" s="15">
        <f>Maximum!Q54</f>
        <v>26.24</v>
      </c>
      <c r="H54" s="20">
        <f>Maximum!R54</f>
        <v>1271.1400000000001</v>
      </c>
      <c r="I54" s="20">
        <f>Maximum!S54</f>
        <v>1291.06</v>
      </c>
      <c r="J54" s="20">
        <f>Maximum!T54</f>
        <v>1311.7149999999999</v>
      </c>
      <c r="K54" s="20">
        <f>Maximum!U54</f>
        <v>1331.0730000000001</v>
      </c>
      <c r="V54" s="9">
        <f t="shared" si="9"/>
        <v>45.09</v>
      </c>
      <c r="W54" s="20">
        <f>Operational!V54</f>
        <v>1.27</v>
      </c>
      <c r="X54" s="20">
        <f>Operational!W54</f>
        <v>0.9</v>
      </c>
      <c r="Y54" s="20">
        <f>Operational!X54</f>
        <v>2.58</v>
      </c>
      <c r="Z54" s="20">
        <f>Operational!Y54</f>
        <v>1.91</v>
      </c>
      <c r="AA54" s="20">
        <f>Operational!AD54</f>
        <v>161</v>
      </c>
      <c r="AB54" s="20">
        <f>Operational!AE54</f>
        <v>162</v>
      </c>
      <c r="AC54" s="20">
        <f>Operational!AF54</f>
        <v>161</v>
      </c>
      <c r="AD54" s="20">
        <f>Operational!AG54</f>
        <v>162</v>
      </c>
      <c r="AE54" s="15">
        <f>Maximum!Q54</f>
        <v>26.24</v>
      </c>
      <c r="AF54" s="20">
        <f>Maximum!AD54</f>
        <v>399</v>
      </c>
      <c r="AG54" s="20">
        <f>Maximum!V54</f>
        <v>7.98</v>
      </c>
      <c r="AH54" s="20">
        <f>Maximum!W54</f>
        <v>7.75</v>
      </c>
      <c r="AI54" s="20">
        <f>Maximum!X54</f>
        <v>8.2100000000000009</v>
      </c>
      <c r="AJ54" s="20">
        <f>Maximum!Y54</f>
        <v>6.19</v>
      </c>
      <c r="AK54" s="20">
        <f t="shared" si="10"/>
        <v>0</v>
      </c>
      <c r="AL54" s="20">
        <f t="shared" si="11"/>
        <v>2.0000000000000018E-2</v>
      </c>
      <c r="AM54" s="20">
        <f t="shared" si="12"/>
        <v>-2.0000000000000018E-2</v>
      </c>
      <c r="AN54" s="20">
        <f t="shared" si="13"/>
        <v>0</v>
      </c>
      <c r="AO54" s="20">
        <f t="shared" si="14"/>
        <v>1.9999999999999574E-2</v>
      </c>
      <c r="AP54" s="20">
        <f t="shared" si="15"/>
        <v>1.9999999999999574E-2</v>
      </c>
      <c r="AQ54" s="20">
        <f t="shared" si="16"/>
        <v>-5.0000000000000711E-2</v>
      </c>
      <c r="AR54" s="20">
        <f t="shared" si="17"/>
        <v>-5.0000000000000711E-2</v>
      </c>
    </row>
    <row r="55" spans="1:44" s="20" customFormat="1">
      <c r="A55" s="9">
        <f>Operational!Q55</f>
        <v>45.94</v>
      </c>
      <c r="B55" s="20">
        <f>Operational!R55</f>
        <v>1271.9860000000001</v>
      </c>
      <c r="C55" s="20">
        <f>Operational!S55</f>
        <v>1291.847</v>
      </c>
      <c r="D55" s="20">
        <f>Operational!T55</f>
        <v>1312.5530000000001</v>
      </c>
      <c r="E55" s="20">
        <f>Operational!U55</f>
        <v>1331.905</v>
      </c>
      <c r="G55" s="15">
        <f>Maximum!Q55</f>
        <v>25.4</v>
      </c>
      <c r="H55" s="20">
        <f>Maximum!R55</f>
        <v>1271.0630000000001</v>
      </c>
      <c r="I55" s="20">
        <f>Maximum!S55</f>
        <v>1290.981</v>
      </c>
      <c r="J55" s="20">
        <f>Maximum!T55</f>
        <v>1311.6369999999999</v>
      </c>
      <c r="K55" s="20">
        <f>Maximum!U55</f>
        <v>1330.992</v>
      </c>
      <c r="V55" s="9">
        <f t="shared" si="9"/>
        <v>45.94</v>
      </c>
      <c r="W55" s="20">
        <f>Operational!V55</f>
        <v>1.27</v>
      </c>
      <c r="X55" s="20">
        <f>Operational!W55</f>
        <v>0.86</v>
      </c>
      <c r="Y55" s="20">
        <f>Operational!X55</f>
        <v>2.54</v>
      </c>
      <c r="Z55" s="20">
        <f>Operational!Y55</f>
        <v>1.9</v>
      </c>
      <c r="AA55" s="20">
        <f>Operational!AD55</f>
        <v>162</v>
      </c>
      <c r="AB55" s="20">
        <f>Operational!AE55</f>
        <v>163</v>
      </c>
      <c r="AC55" s="20">
        <f>Operational!AF55</f>
        <v>162</v>
      </c>
      <c r="AD55" s="20">
        <f>Operational!AG55</f>
        <v>163</v>
      </c>
      <c r="AE55" s="15">
        <f>Maximum!Q55</f>
        <v>25.4</v>
      </c>
      <c r="AF55" s="20">
        <f>Maximum!AD55</f>
        <v>399</v>
      </c>
      <c r="AG55" s="20">
        <f>Maximum!V55</f>
        <v>7.97</v>
      </c>
      <c r="AH55" s="20">
        <f>Maximum!W55</f>
        <v>7.83</v>
      </c>
      <c r="AI55" s="20">
        <f>Maximum!X55</f>
        <v>8.2200000000000006</v>
      </c>
      <c r="AJ55" s="20">
        <f>Maximum!Y55</f>
        <v>6.24</v>
      </c>
      <c r="AK55" s="20">
        <f t="shared" si="10"/>
        <v>0</v>
      </c>
      <c r="AL55" s="20">
        <f t="shared" si="11"/>
        <v>4.0000000000000036E-2</v>
      </c>
      <c r="AM55" s="20">
        <f t="shared" si="12"/>
        <v>4.0000000000000036E-2</v>
      </c>
      <c r="AN55" s="20">
        <f t="shared" si="13"/>
        <v>1.0000000000000009E-2</v>
      </c>
      <c r="AO55" s="20">
        <f t="shared" si="14"/>
        <v>1.0000000000000675E-2</v>
      </c>
      <c r="AP55" s="20">
        <f t="shared" si="15"/>
        <v>-8.0000000000000071E-2</v>
      </c>
      <c r="AQ55" s="20">
        <f t="shared" si="16"/>
        <v>-9.9999999999997868E-3</v>
      </c>
      <c r="AR55" s="20">
        <f t="shared" si="17"/>
        <v>-4.9999999999999822E-2</v>
      </c>
    </row>
    <row r="56" spans="1:44" s="20" customFormat="1">
      <c r="A56" s="9">
        <f>Operational!Q56</f>
        <v>46.76</v>
      </c>
      <c r="B56" s="20">
        <f>Operational!R56</f>
        <v>1272.066</v>
      </c>
      <c r="C56" s="20">
        <f>Operational!S56</f>
        <v>1291.9269999999999</v>
      </c>
      <c r="D56" s="20">
        <f>Operational!T56</f>
        <v>1312.6320000000001</v>
      </c>
      <c r="E56" s="20">
        <f>Operational!U56</f>
        <v>1331.9870000000001</v>
      </c>
      <c r="G56" s="15">
        <f>Maximum!Q56</f>
        <v>24.52</v>
      </c>
      <c r="H56" s="20">
        <f>Maximum!R56</f>
        <v>1270.9860000000001</v>
      </c>
      <c r="I56" s="20">
        <f>Maximum!S56</f>
        <v>1290.9010000000001</v>
      </c>
      <c r="J56" s="20">
        <f>Maximum!T56</f>
        <v>1311.56</v>
      </c>
      <c r="K56" s="20">
        <f>Maximum!U56</f>
        <v>1330.913</v>
      </c>
      <c r="V56" s="9">
        <f t="shared" si="9"/>
        <v>46.76</v>
      </c>
      <c r="W56" s="20">
        <f>Operational!V56</f>
        <v>1.29</v>
      </c>
      <c r="X56" s="20">
        <f>Operational!W56</f>
        <v>0.91</v>
      </c>
      <c r="Y56" s="20">
        <f>Operational!X56</f>
        <v>2.5499999999999998</v>
      </c>
      <c r="Z56" s="20">
        <f>Operational!Y56</f>
        <v>1.88</v>
      </c>
      <c r="AA56" s="20">
        <f>Operational!AD56</f>
        <v>163</v>
      </c>
      <c r="AB56" s="20">
        <f>Operational!AE56</f>
        <v>165</v>
      </c>
      <c r="AC56" s="20">
        <f>Operational!AF56</f>
        <v>163</v>
      </c>
      <c r="AD56" s="20">
        <f>Operational!AG56</f>
        <v>165</v>
      </c>
      <c r="AE56" s="15">
        <f>Maximum!Q56</f>
        <v>24.52</v>
      </c>
      <c r="AF56" s="20">
        <f>Maximum!AD56</f>
        <v>399</v>
      </c>
      <c r="AG56" s="20">
        <f>Maximum!V56</f>
        <v>8.0299999999999994</v>
      </c>
      <c r="AH56" s="20">
        <f>Maximum!W56</f>
        <v>7.95</v>
      </c>
      <c r="AI56" s="20">
        <f>Maximum!X56</f>
        <v>8.34</v>
      </c>
      <c r="AJ56" s="20">
        <f>Maximum!Y56</f>
        <v>6.22</v>
      </c>
      <c r="AK56" s="20">
        <f t="shared" si="10"/>
        <v>-2.0000000000000018E-2</v>
      </c>
      <c r="AL56" s="20">
        <f t="shared" si="11"/>
        <v>-5.0000000000000044E-2</v>
      </c>
      <c r="AM56" s="20">
        <f t="shared" si="12"/>
        <v>-9.9999999999997868E-3</v>
      </c>
      <c r="AN56" s="20">
        <f t="shared" si="13"/>
        <v>2.0000000000000018E-2</v>
      </c>
      <c r="AO56" s="20">
        <f t="shared" si="14"/>
        <v>-5.9999999999999609E-2</v>
      </c>
      <c r="AP56" s="20">
        <f t="shared" si="15"/>
        <v>-0.12000000000000011</v>
      </c>
      <c r="AQ56" s="20">
        <f t="shared" si="16"/>
        <v>-0.11999999999999922</v>
      </c>
      <c r="AR56" s="20">
        <f t="shared" si="17"/>
        <v>2.0000000000000462E-2</v>
      </c>
    </row>
    <row r="57" spans="1:44" s="20" customFormat="1">
      <c r="A57" s="9">
        <f>Operational!Q57</f>
        <v>47.6</v>
      </c>
      <c r="B57" s="20">
        <f>Operational!R57</f>
        <v>1272.144</v>
      </c>
      <c r="C57" s="20">
        <f>Operational!S57</f>
        <v>1292.0039999999999</v>
      </c>
      <c r="D57" s="20">
        <f>Operational!T57</f>
        <v>1312.7090000000001</v>
      </c>
      <c r="E57" s="20">
        <f>Operational!U57</f>
        <v>1332.069</v>
      </c>
      <c r="G57" s="15">
        <f>Maximum!Q57</f>
        <v>23.69</v>
      </c>
      <c r="H57" s="20">
        <f>Maximum!R57</f>
        <v>1270.904</v>
      </c>
      <c r="I57" s="20">
        <f>Maximum!S57</f>
        <v>1290.8150000000001</v>
      </c>
      <c r="J57" s="20">
        <f>Maximum!T57</f>
        <v>1311.4780000000001</v>
      </c>
      <c r="K57" s="20">
        <f>Maximum!U57</f>
        <v>1330.828</v>
      </c>
      <c r="V57" s="9">
        <f t="shared" si="9"/>
        <v>47.6</v>
      </c>
      <c r="W57" s="20">
        <f>Operational!V57</f>
        <v>1.23</v>
      </c>
      <c r="X57" s="20">
        <f>Operational!W57</f>
        <v>0.91</v>
      </c>
      <c r="Y57" s="20">
        <f>Operational!X57</f>
        <v>2.52</v>
      </c>
      <c r="Z57" s="20">
        <f>Operational!Y57</f>
        <v>1.82</v>
      </c>
      <c r="AA57" s="20">
        <f>Operational!AD57</f>
        <v>164</v>
      </c>
      <c r="AB57" s="20">
        <f>Operational!AE57</f>
        <v>166</v>
      </c>
      <c r="AC57" s="20">
        <f>Operational!AF57</f>
        <v>164</v>
      </c>
      <c r="AD57" s="20">
        <f>Operational!AG57</f>
        <v>166</v>
      </c>
      <c r="AE57" s="15">
        <f>Maximum!Q57</f>
        <v>23.69</v>
      </c>
      <c r="AF57" s="20">
        <f>Maximum!AD57</f>
        <v>399</v>
      </c>
      <c r="AG57" s="20">
        <f>Maximum!V57</f>
        <v>8.16</v>
      </c>
      <c r="AH57" s="20">
        <f>Maximum!W57</f>
        <v>7.99</v>
      </c>
      <c r="AI57" s="20">
        <f>Maximum!X57</f>
        <v>8.4</v>
      </c>
      <c r="AJ57" s="20">
        <f>Maximum!Y57</f>
        <v>6.28</v>
      </c>
      <c r="AK57" s="20">
        <f t="shared" si="10"/>
        <v>6.0000000000000053E-2</v>
      </c>
      <c r="AL57" s="20">
        <f t="shared" si="11"/>
        <v>0</v>
      </c>
      <c r="AM57" s="20">
        <f t="shared" si="12"/>
        <v>2.9999999999999805E-2</v>
      </c>
      <c r="AN57" s="20">
        <f t="shared" si="13"/>
        <v>5.9999999999999831E-2</v>
      </c>
      <c r="AO57" s="20">
        <f t="shared" si="14"/>
        <v>-0.13000000000000078</v>
      </c>
      <c r="AP57" s="20">
        <f t="shared" si="15"/>
        <v>-4.0000000000000036E-2</v>
      </c>
      <c r="AQ57" s="20">
        <f t="shared" si="16"/>
        <v>-6.0000000000000497E-2</v>
      </c>
      <c r="AR57" s="20">
        <f t="shared" si="17"/>
        <v>-6.0000000000000497E-2</v>
      </c>
    </row>
    <row r="58" spans="1:44" s="20" customFormat="1">
      <c r="A58" s="9">
        <f>Operational!Q58</f>
        <v>48.45</v>
      </c>
      <c r="B58" s="20">
        <f>Operational!R58</f>
        <v>1272.222</v>
      </c>
      <c r="C58" s="20">
        <f>Operational!S58</f>
        <v>1292.0840000000001</v>
      </c>
      <c r="D58" s="20">
        <f>Operational!T58</f>
        <v>1312.788</v>
      </c>
      <c r="E58" s="20">
        <f>Operational!U58</f>
        <v>1332.1469999999999</v>
      </c>
      <c r="G58" s="15">
        <f>Maximum!Q58</f>
        <v>22.87</v>
      </c>
      <c r="H58" s="20">
        <f>Maximum!R58</f>
        <v>1270.828</v>
      </c>
      <c r="I58" s="20">
        <f>Maximum!S58</f>
        <v>1290.7370000000001</v>
      </c>
      <c r="J58" s="20">
        <f>Maximum!T58</f>
        <v>1311.4010000000001</v>
      </c>
      <c r="K58" s="20">
        <f>Maximum!U58</f>
        <v>1330.75</v>
      </c>
      <c r="V58" s="9">
        <f t="shared" si="9"/>
        <v>48.45</v>
      </c>
      <c r="W58" s="20">
        <f>Operational!V58</f>
        <v>1.17</v>
      </c>
      <c r="X58" s="20">
        <f>Operational!W58</f>
        <v>0.94</v>
      </c>
      <c r="Y58" s="20">
        <f>Operational!X58</f>
        <v>2.5299999999999998</v>
      </c>
      <c r="Z58" s="20">
        <f>Operational!Y58</f>
        <v>1.82</v>
      </c>
      <c r="AA58" s="20">
        <f>Operational!AD58</f>
        <v>165</v>
      </c>
      <c r="AB58" s="20">
        <f>Operational!AE58</f>
        <v>167</v>
      </c>
      <c r="AC58" s="20">
        <f>Operational!AF58</f>
        <v>165</v>
      </c>
      <c r="AD58" s="20">
        <f>Operational!AG58</f>
        <v>167</v>
      </c>
      <c r="AE58" s="15">
        <f>Maximum!Q58</f>
        <v>22.87</v>
      </c>
      <c r="AF58" s="20">
        <f>Maximum!AD58</f>
        <v>399</v>
      </c>
      <c r="AG58" s="20">
        <f>Maximum!V58</f>
        <v>8.2100000000000009</v>
      </c>
      <c r="AH58" s="20">
        <f>Maximum!W58</f>
        <v>8</v>
      </c>
      <c r="AI58" s="20">
        <f>Maximum!X58</f>
        <v>8.43</v>
      </c>
      <c r="AJ58" s="20">
        <f>Maximum!Y58</f>
        <v>6.31</v>
      </c>
      <c r="AK58" s="20">
        <f t="shared" si="10"/>
        <v>6.0000000000000053E-2</v>
      </c>
      <c r="AL58" s="20">
        <f t="shared" si="11"/>
        <v>-2.9999999999999916E-2</v>
      </c>
      <c r="AM58" s="20">
        <f t="shared" si="12"/>
        <v>-9.9999999999997868E-3</v>
      </c>
      <c r="AN58" s="20">
        <f t="shared" si="13"/>
        <v>0</v>
      </c>
      <c r="AO58" s="20">
        <f t="shared" si="14"/>
        <v>-5.0000000000000711E-2</v>
      </c>
      <c r="AP58" s="20">
        <f t="shared" si="15"/>
        <v>-9.9999999999997868E-3</v>
      </c>
      <c r="AQ58" s="20">
        <f t="shared" si="16"/>
        <v>-2.9999999999999361E-2</v>
      </c>
      <c r="AR58" s="20">
        <f t="shared" si="17"/>
        <v>-2.9999999999999361E-2</v>
      </c>
    </row>
    <row r="59" spans="1:44" s="20" customFormat="1">
      <c r="A59" s="9">
        <f>Operational!Q59</f>
        <v>49.28</v>
      </c>
      <c r="B59" s="20">
        <f>Operational!R59</f>
        <v>1272.3</v>
      </c>
      <c r="C59" s="20">
        <f>Operational!S59</f>
        <v>1292.164</v>
      </c>
      <c r="D59" s="20">
        <f>Operational!T59</f>
        <v>1312.8689999999999</v>
      </c>
      <c r="E59" s="20">
        <f>Operational!U59</f>
        <v>1332.2280000000001</v>
      </c>
      <c r="G59" s="15">
        <f>Maximum!Q59</f>
        <v>22.03</v>
      </c>
      <c r="H59" s="20">
        <f>Maximum!R59</f>
        <v>1270.751</v>
      </c>
      <c r="I59" s="20">
        <f>Maximum!S59</f>
        <v>1290.6579999999999</v>
      </c>
      <c r="J59" s="20">
        <f>Maximum!T59</f>
        <v>1311.325</v>
      </c>
      <c r="K59" s="20">
        <f>Maximum!U59</f>
        <v>1330.672</v>
      </c>
      <c r="V59" s="9">
        <f t="shared" si="9"/>
        <v>49.28</v>
      </c>
      <c r="W59" s="20">
        <f>Operational!V59</f>
        <v>1.1299999999999999</v>
      </c>
      <c r="X59" s="20">
        <f>Operational!W59</f>
        <v>0.91</v>
      </c>
      <c r="Y59" s="20">
        <f>Operational!X59</f>
        <v>2.52</v>
      </c>
      <c r="Z59" s="20">
        <f>Operational!Y59</f>
        <v>1.81</v>
      </c>
      <c r="AA59" s="20">
        <f>Operational!AD59</f>
        <v>166</v>
      </c>
      <c r="AB59" s="20">
        <f>Operational!AE59</f>
        <v>168</v>
      </c>
      <c r="AC59" s="20">
        <f>Operational!AF59</f>
        <v>166</v>
      </c>
      <c r="AD59" s="20">
        <f>Operational!AG59</f>
        <v>168</v>
      </c>
      <c r="AE59" s="15">
        <f>Maximum!Q59</f>
        <v>22.03</v>
      </c>
      <c r="AF59" s="20">
        <f>Maximum!AD59</f>
        <v>399</v>
      </c>
      <c r="AG59" s="20">
        <f>Maximum!V59</f>
        <v>8.2899999999999991</v>
      </c>
      <c r="AH59" s="20">
        <f>Maximum!W59</f>
        <v>8.0500000000000007</v>
      </c>
      <c r="AI59" s="20">
        <f>Maximum!X59</f>
        <v>8.4600000000000009</v>
      </c>
      <c r="AJ59" s="20">
        <f>Maximum!Y59</f>
        <v>6.31</v>
      </c>
      <c r="AK59" s="20">
        <f t="shared" si="10"/>
        <v>4.0000000000000036E-2</v>
      </c>
      <c r="AL59" s="20">
        <f t="shared" si="11"/>
        <v>2.9999999999999916E-2</v>
      </c>
      <c r="AM59" s="20">
        <f t="shared" si="12"/>
        <v>9.9999999999997868E-3</v>
      </c>
      <c r="AN59" s="20">
        <f t="shared" si="13"/>
        <v>1.0000000000000009E-2</v>
      </c>
      <c r="AO59" s="20">
        <f t="shared" si="14"/>
        <v>-7.9999999999998295E-2</v>
      </c>
      <c r="AP59" s="20">
        <f t="shared" si="15"/>
        <v>-5.0000000000000711E-2</v>
      </c>
      <c r="AQ59" s="20">
        <f t="shared" si="16"/>
        <v>-3.0000000000001137E-2</v>
      </c>
      <c r="AR59" s="20">
        <f t="shared" si="17"/>
        <v>0</v>
      </c>
    </row>
    <row r="60" spans="1:44" s="20" customFormat="1">
      <c r="A60" s="9">
        <f>Operational!Q60</f>
        <v>50.12</v>
      </c>
      <c r="B60" s="20">
        <f>Operational!R60</f>
        <v>1272.3789999999999</v>
      </c>
      <c r="C60" s="20">
        <f>Operational!S60</f>
        <v>1292.2439999999999</v>
      </c>
      <c r="D60" s="20">
        <f>Operational!T60</f>
        <v>1312.9480000000001</v>
      </c>
      <c r="E60" s="20">
        <f>Operational!U60</f>
        <v>1332.309</v>
      </c>
      <c r="G60" s="15">
        <f>Maximum!Q60</f>
        <v>21.19</v>
      </c>
      <c r="H60" s="20">
        <f>Maximum!R60</f>
        <v>1270.6759999999999</v>
      </c>
      <c r="I60" s="20">
        <f>Maximum!S60</f>
        <v>1290.5809999999999</v>
      </c>
      <c r="J60" s="20">
        <f>Maximum!T60</f>
        <v>1311.25</v>
      </c>
      <c r="K60" s="20">
        <f>Maximum!U60</f>
        <v>1330.595</v>
      </c>
      <c r="V60" s="9">
        <f t="shared" si="9"/>
        <v>50.12</v>
      </c>
      <c r="W60" s="20">
        <f>Operational!V60</f>
        <v>1.1499999999999999</v>
      </c>
      <c r="X60" s="20">
        <f>Operational!W60</f>
        <v>0.92</v>
      </c>
      <c r="Y60" s="20">
        <f>Operational!X60</f>
        <v>2.5099999999999998</v>
      </c>
      <c r="Z60" s="20">
        <f>Operational!Y60</f>
        <v>1.83</v>
      </c>
      <c r="AA60" s="20">
        <f>Operational!AD60</f>
        <v>167</v>
      </c>
      <c r="AB60" s="20">
        <f>Operational!AE60</f>
        <v>169</v>
      </c>
      <c r="AC60" s="20">
        <f>Operational!AF60</f>
        <v>167</v>
      </c>
      <c r="AD60" s="20">
        <f>Operational!AG60</f>
        <v>169</v>
      </c>
      <c r="AE60" s="15">
        <f>Maximum!Q60</f>
        <v>21.19</v>
      </c>
      <c r="AF60" s="20">
        <f>Maximum!AD60</f>
        <v>399</v>
      </c>
      <c r="AG60" s="20">
        <f>Maximum!V60</f>
        <v>8.39</v>
      </c>
      <c r="AH60" s="20">
        <f>Maximum!W60</f>
        <v>8.09</v>
      </c>
      <c r="AI60" s="20">
        <f>Maximum!X60</f>
        <v>8.5299999999999994</v>
      </c>
      <c r="AJ60" s="20">
        <f>Maximum!Y60</f>
        <v>6.3</v>
      </c>
      <c r="AK60" s="20">
        <f t="shared" si="10"/>
        <v>-2.0000000000000018E-2</v>
      </c>
      <c r="AL60" s="20">
        <f t="shared" si="11"/>
        <v>-1.0000000000000009E-2</v>
      </c>
      <c r="AM60" s="20">
        <f t="shared" si="12"/>
        <v>1.0000000000000231E-2</v>
      </c>
      <c r="AN60" s="20">
        <f t="shared" si="13"/>
        <v>-2.0000000000000018E-2</v>
      </c>
      <c r="AO60" s="20">
        <f t="shared" si="14"/>
        <v>-0.10000000000000142</v>
      </c>
      <c r="AP60" s="20">
        <f t="shared" si="15"/>
        <v>-3.9999999999999147E-2</v>
      </c>
      <c r="AQ60" s="20">
        <f t="shared" si="16"/>
        <v>-6.9999999999998508E-2</v>
      </c>
      <c r="AR60" s="20">
        <f t="shared" si="17"/>
        <v>9.9999999999997868E-3</v>
      </c>
    </row>
    <row r="61" spans="1:44" s="20" customFormat="1">
      <c r="A61" s="9">
        <f>Operational!Q61</f>
        <v>50.94</v>
      </c>
      <c r="B61" s="20">
        <f>Operational!R61</f>
        <v>1272.4570000000001</v>
      </c>
      <c r="C61" s="20">
        <f>Operational!S61</f>
        <v>1292.3230000000001</v>
      </c>
      <c r="D61" s="20">
        <f>Operational!T61</f>
        <v>1313.0239999999999</v>
      </c>
      <c r="E61" s="20">
        <f>Operational!U61</f>
        <v>1332.3879999999999</v>
      </c>
      <c r="G61" s="15">
        <f>Maximum!Q61</f>
        <v>20.36</v>
      </c>
      <c r="H61" s="20">
        <f>Maximum!R61</f>
        <v>1270.596</v>
      </c>
      <c r="I61" s="20">
        <f>Maximum!S61</f>
        <v>1290.5</v>
      </c>
      <c r="J61" s="20">
        <f>Maximum!T61</f>
        <v>1311.171</v>
      </c>
      <c r="K61" s="20">
        <f>Maximum!U61</f>
        <v>1330.5139999999999</v>
      </c>
      <c r="V61" s="9">
        <f t="shared" si="9"/>
        <v>50.94</v>
      </c>
      <c r="W61" s="20">
        <f>Operational!V61</f>
        <v>1.1200000000000001</v>
      </c>
      <c r="X61" s="20">
        <f>Operational!W61</f>
        <v>0.85</v>
      </c>
      <c r="Y61" s="20">
        <f>Operational!X61</f>
        <v>2.48</v>
      </c>
      <c r="Z61" s="20">
        <f>Operational!Y61</f>
        <v>1.82</v>
      </c>
      <c r="AA61" s="20">
        <f>Operational!AD61</f>
        <v>169</v>
      </c>
      <c r="AB61" s="20">
        <f>Operational!AE61</f>
        <v>170</v>
      </c>
      <c r="AC61" s="20">
        <f>Operational!AF61</f>
        <v>169</v>
      </c>
      <c r="AD61" s="20">
        <f>Operational!AG61</f>
        <v>170</v>
      </c>
      <c r="AE61" s="15">
        <f>Maximum!Q61</f>
        <v>20.36</v>
      </c>
      <c r="AF61" s="20">
        <f>Maximum!AD61</f>
        <v>399</v>
      </c>
      <c r="AG61" s="20">
        <f>Maximum!V61</f>
        <v>8.39</v>
      </c>
      <c r="AH61" s="20">
        <f>Maximum!W61</f>
        <v>8.09</v>
      </c>
      <c r="AI61" s="20">
        <f>Maximum!X61</f>
        <v>8.6</v>
      </c>
      <c r="AJ61" s="20">
        <f>Maximum!Y61</f>
        <v>6.36</v>
      </c>
      <c r="AK61" s="20">
        <f t="shared" si="10"/>
        <v>2.9999999999999805E-2</v>
      </c>
      <c r="AL61" s="20">
        <f t="shared" si="11"/>
        <v>7.0000000000000062E-2</v>
      </c>
      <c r="AM61" s="20">
        <f t="shared" si="12"/>
        <v>2.9999999999999805E-2</v>
      </c>
      <c r="AN61" s="20">
        <f t="shared" si="13"/>
        <v>1.0000000000000009E-2</v>
      </c>
      <c r="AO61" s="20">
        <f t="shared" si="14"/>
        <v>0</v>
      </c>
      <c r="AP61" s="20">
        <f t="shared" si="15"/>
        <v>0</v>
      </c>
      <c r="AQ61" s="20">
        <f t="shared" si="16"/>
        <v>-7.0000000000000284E-2</v>
      </c>
      <c r="AR61" s="20">
        <f t="shared" si="17"/>
        <v>-6.0000000000000497E-2</v>
      </c>
    </row>
    <row r="62" spans="1:44" s="20" customFormat="1">
      <c r="A62" s="9">
        <f>Operational!Q62</f>
        <v>51.77</v>
      </c>
      <c r="B62" s="20">
        <f>Operational!R62</f>
        <v>1272.5350000000001</v>
      </c>
      <c r="C62" s="20">
        <f>Operational!S62</f>
        <v>1292.404</v>
      </c>
      <c r="D62" s="20">
        <f>Operational!T62</f>
        <v>1313.1030000000001</v>
      </c>
      <c r="E62" s="20">
        <f>Operational!U62</f>
        <v>1332.4680000000001</v>
      </c>
      <c r="G62" s="15">
        <f>Maximum!Q62</f>
        <v>19.53</v>
      </c>
      <c r="H62" s="20">
        <f>Maximum!R62</f>
        <v>1270.52</v>
      </c>
      <c r="I62" s="20">
        <f>Maximum!S62</f>
        <v>1290.422</v>
      </c>
      <c r="J62" s="20">
        <f>Maximum!T62</f>
        <v>1311.0930000000001</v>
      </c>
      <c r="K62" s="20">
        <f>Maximum!U62</f>
        <v>1330.4380000000001</v>
      </c>
      <c r="V62" s="9">
        <f t="shared" si="9"/>
        <v>51.77</v>
      </c>
      <c r="W62" s="20">
        <f>Operational!V62</f>
        <v>1.1100000000000001</v>
      </c>
      <c r="X62" s="20">
        <f>Operational!W62</f>
        <v>0.86</v>
      </c>
      <c r="Y62" s="20">
        <f>Operational!X62</f>
        <v>2.38</v>
      </c>
      <c r="Z62" s="20">
        <f>Operational!Y62</f>
        <v>1.78</v>
      </c>
      <c r="AA62" s="20">
        <f>Operational!AD62</f>
        <v>170</v>
      </c>
      <c r="AB62" s="20">
        <f>Operational!AE62</f>
        <v>171</v>
      </c>
      <c r="AC62" s="20">
        <f>Operational!AF62</f>
        <v>170</v>
      </c>
      <c r="AD62" s="20">
        <f>Operational!AG62</f>
        <v>171</v>
      </c>
      <c r="AE62" s="15">
        <f>Maximum!Q62</f>
        <v>19.53</v>
      </c>
      <c r="AF62" s="20">
        <f>Maximum!AD62</f>
        <v>399</v>
      </c>
      <c r="AG62" s="20">
        <f>Maximum!V62</f>
        <v>8.48</v>
      </c>
      <c r="AH62" s="20">
        <f>Maximum!W62</f>
        <v>8.17</v>
      </c>
      <c r="AI62" s="20">
        <f>Maximum!X62</f>
        <v>8.6999999999999993</v>
      </c>
      <c r="AJ62" s="20">
        <f>Maximum!Y62</f>
        <v>6.33</v>
      </c>
      <c r="AK62" s="20">
        <f t="shared" si="10"/>
        <v>1.0000000000000009E-2</v>
      </c>
      <c r="AL62" s="20">
        <f t="shared" si="11"/>
        <v>-1.0000000000000009E-2</v>
      </c>
      <c r="AM62" s="20">
        <f t="shared" si="12"/>
        <v>0.10000000000000009</v>
      </c>
      <c r="AN62" s="20">
        <f t="shared" si="13"/>
        <v>4.0000000000000036E-2</v>
      </c>
      <c r="AO62" s="20">
        <f t="shared" si="14"/>
        <v>-8.9999999999999858E-2</v>
      </c>
      <c r="AP62" s="20">
        <f t="shared" si="15"/>
        <v>-8.0000000000000071E-2</v>
      </c>
      <c r="AQ62" s="20">
        <f t="shared" si="16"/>
        <v>-9.9999999999999645E-2</v>
      </c>
      <c r="AR62" s="20">
        <f t="shared" si="17"/>
        <v>3.0000000000000249E-2</v>
      </c>
    </row>
    <row r="63" spans="1:44" s="20" customFormat="1">
      <c r="A63" s="9">
        <f>Operational!Q63</f>
        <v>52.62</v>
      </c>
      <c r="B63" s="20">
        <f>Operational!R63</f>
        <v>1272.614</v>
      </c>
      <c r="C63" s="20">
        <f>Operational!S63</f>
        <v>1292.4829999999999</v>
      </c>
      <c r="D63" s="20">
        <f>Operational!T63</f>
        <v>1313.183</v>
      </c>
      <c r="E63" s="20">
        <f>Operational!U63</f>
        <v>1332.549</v>
      </c>
      <c r="G63" s="15">
        <f>Maximum!Q63</f>
        <v>18.68</v>
      </c>
      <c r="H63" s="20">
        <f>Maximum!R63</f>
        <v>1270.442</v>
      </c>
      <c r="I63" s="20">
        <f>Maximum!S63</f>
        <v>1290.3420000000001</v>
      </c>
      <c r="J63" s="20">
        <f>Maximum!T63</f>
        <v>1311.0139999999999</v>
      </c>
      <c r="K63" s="20">
        <f>Maximum!U63</f>
        <v>1330.3589999999999</v>
      </c>
      <c r="V63" s="9">
        <f t="shared" si="9"/>
        <v>52.62</v>
      </c>
      <c r="W63" s="20">
        <f>Operational!V63</f>
        <v>1.1100000000000001</v>
      </c>
      <c r="X63" s="20">
        <f>Operational!W63</f>
        <v>0.86</v>
      </c>
      <c r="Y63" s="20">
        <f>Operational!X63</f>
        <v>2.4900000000000002</v>
      </c>
      <c r="Z63" s="20">
        <f>Operational!Y63</f>
        <v>1.77</v>
      </c>
      <c r="AA63" s="20">
        <f>Operational!AD63</f>
        <v>171</v>
      </c>
      <c r="AB63" s="20">
        <f>Operational!AE63</f>
        <v>173</v>
      </c>
      <c r="AC63" s="20">
        <f>Operational!AF63</f>
        <v>171</v>
      </c>
      <c r="AD63" s="20">
        <f>Operational!AG63</f>
        <v>173</v>
      </c>
      <c r="AE63" s="15">
        <f>Maximum!Q63</f>
        <v>18.68</v>
      </c>
      <c r="AF63" s="20">
        <f>Maximum!AD63</f>
        <v>399</v>
      </c>
      <c r="AG63" s="20">
        <f>Maximum!V63</f>
        <v>8.49</v>
      </c>
      <c r="AH63" s="20">
        <f>Maximum!W63</f>
        <v>8.1999999999999993</v>
      </c>
      <c r="AI63" s="20">
        <f>Maximum!X63</f>
        <v>8.77</v>
      </c>
      <c r="AJ63" s="20">
        <f>Maximum!Y63</f>
        <v>6.37</v>
      </c>
      <c r="AK63" s="20">
        <f t="shared" si="10"/>
        <v>0</v>
      </c>
      <c r="AL63" s="20">
        <f t="shared" si="11"/>
        <v>0</v>
      </c>
      <c r="AM63" s="20">
        <f t="shared" si="12"/>
        <v>-0.11000000000000032</v>
      </c>
      <c r="AN63" s="20">
        <f t="shared" si="13"/>
        <v>1.0000000000000009E-2</v>
      </c>
      <c r="AO63" s="20">
        <f t="shared" si="14"/>
        <v>-9.9999999999997868E-3</v>
      </c>
      <c r="AP63" s="20">
        <f t="shared" si="15"/>
        <v>-2.9999999999999361E-2</v>
      </c>
      <c r="AQ63" s="20">
        <f t="shared" si="16"/>
        <v>-7.0000000000000284E-2</v>
      </c>
      <c r="AR63" s="20">
        <f t="shared" si="17"/>
        <v>-4.0000000000000036E-2</v>
      </c>
    </row>
    <row r="64" spans="1:44" s="20" customFormat="1">
      <c r="A64" s="9">
        <f>Operational!Q64</f>
        <v>53.45</v>
      </c>
      <c r="B64" s="20">
        <f>Operational!R64</f>
        <v>1272.6949999999999</v>
      </c>
      <c r="C64" s="20">
        <f>Operational!S64</f>
        <v>1292.5640000000001</v>
      </c>
      <c r="D64" s="20">
        <f>Operational!T64</f>
        <v>1313.2650000000001</v>
      </c>
      <c r="E64" s="20">
        <f>Operational!U64</f>
        <v>1332.63</v>
      </c>
      <c r="G64" s="15">
        <f>Maximum!Q64</f>
        <v>17.86</v>
      </c>
      <c r="H64" s="20">
        <f>Maximum!R64</f>
        <v>1270.365</v>
      </c>
      <c r="I64" s="20">
        <f>Maximum!S64</f>
        <v>1290.2660000000001</v>
      </c>
      <c r="J64" s="20">
        <f>Maximum!T64</f>
        <v>1310.9380000000001</v>
      </c>
      <c r="K64" s="20">
        <f>Maximum!U64</f>
        <v>1330.2840000000001</v>
      </c>
      <c r="V64" s="9">
        <f t="shared" si="9"/>
        <v>53.45</v>
      </c>
      <c r="W64" s="20">
        <f>Operational!V64</f>
        <v>1.1399999999999999</v>
      </c>
      <c r="X64" s="20">
        <f>Operational!W64</f>
        <v>0.92</v>
      </c>
      <c r="Y64" s="20">
        <f>Operational!X64</f>
        <v>2.42</v>
      </c>
      <c r="Z64" s="20">
        <f>Operational!Y64</f>
        <v>1.76</v>
      </c>
      <c r="AA64" s="20">
        <f>Operational!AD64</f>
        <v>172</v>
      </c>
      <c r="AB64" s="20">
        <f>Operational!AE64</f>
        <v>174</v>
      </c>
      <c r="AC64" s="20">
        <f>Operational!AF64</f>
        <v>172</v>
      </c>
      <c r="AD64" s="20">
        <f>Operational!AG64</f>
        <v>174</v>
      </c>
      <c r="AE64" s="15">
        <f>Maximum!Q64</f>
        <v>17.86</v>
      </c>
      <c r="AF64" s="20">
        <f>Maximum!AD64</f>
        <v>399</v>
      </c>
      <c r="AG64" s="20">
        <f>Maximum!V64</f>
        <v>8.4600000000000009</v>
      </c>
      <c r="AH64" s="20">
        <f>Maximum!W64</f>
        <v>8.2100000000000009</v>
      </c>
      <c r="AI64" s="20">
        <f>Maximum!X64</f>
        <v>8.82</v>
      </c>
      <c r="AJ64" s="20">
        <f>Maximum!Y64</f>
        <v>6.36</v>
      </c>
      <c r="AK64" s="20">
        <f t="shared" si="10"/>
        <v>-2.9999999999999805E-2</v>
      </c>
      <c r="AL64" s="20">
        <f t="shared" si="11"/>
        <v>-6.0000000000000053E-2</v>
      </c>
      <c r="AM64" s="20">
        <f t="shared" si="12"/>
        <v>7.0000000000000284E-2</v>
      </c>
      <c r="AN64" s="20">
        <f t="shared" si="13"/>
        <v>1.0000000000000009E-2</v>
      </c>
      <c r="AO64" s="20">
        <f t="shared" si="14"/>
        <v>2.9999999999999361E-2</v>
      </c>
      <c r="AP64" s="20">
        <f t="shared" si="15"/>
        <v>-1.0000000000001563E-2</v>
      </c>
      <c r="AQ64" s="20">
        <f t="shared" si="16"/>
        <v>-5.0000000000000711E-2</v>
      </c>
      <c r="AR64" s="20">
        <f t="shared" si="17"/>
        <v>9.9999999999997868E-3</v>
      </c>
    </row>
    <row r="65" spans="1:44" s="20" customFormat="1">
      <c r="A65" s="9">
        <f>Operational!Q65</f>
        <v>54.29</v>
      </c>
      <c r="B65" s="20">
        <f>Operational!R65</f>
        <v>1272.7760000000001</v>
      </c>
      <c r="C65" s="20">
        <f>Operational!S65</f>
        <v>1292.643</v>
      </c>
      <c r="D65" s="20">
        <f>Operational!T65</f>
        <v>1313.3440000000001</v>
      </c>
      <c r="E65" s="20">
        <f>Operational!U65</f>
        <v>1332.71</v>
      </c>
      <c r="G65" s="15">
        <f>Maximum!Q65</f>
        <v>17.010000000000002</v>
      </c>
      <c r="H65" s="20">
        <f>Maximum!R65</f>
        <v>1270.2850000000001</v>
      </c>
      <c r="I65" s="20">
        <f>Maximum!S65</f>
        <v>1290.1869999999999</v>
      </c>
      <c r="J65" s="20">
        <f>Maximum!T65</f>
        <v>1310.8579999999999</v>
      </c>
      <c r="K65" s="20">
        <f>Maximum!U65</f>
        <v>1330.2059999999999</v>
      </c>
      <c r="V65" s="9">
        <f t="shared" ref="V65:V84" si="18">A65</f>
        <v>54.29</v>
      </c>
      <c r="W65" s="20">
        <f>Operational!V65</f>
        <v>1.1299999999999999</v>
      </c>
      <c r="X65" s="20">
        <f>Operational!W65</f>
        <v>0.9</v>
      </c>
      <c r="Y65" s="20">
        <f>Operational!X65</f>
        <v>2.38</v>
      </c>
      <c r="Z65" s="20">
        <f>Operational!Y65</f>
        <v>1.75</v>
      </c>
      <c r="AA65" s="20">
        <f>Operational!AD65</f>
        <v>174</v>
      </c>
      <c r="AB65" s="20">
        <f>Operational!AE65</f>
        <v>175</v>
      </c>
      <c r="AC65" s="20">
        <f>Operational!AF65</f>
        <v>174</v>
      </c>
      <c r="AD65" s="20">
        <f>Operational!AG65</f>
        <v>175</v>
      </c>
      <c r="AE65" s="15">
        <f>Maximum!Q65</f>
        <v>17.010000000000002</v>
      </c>
      <c r="AF65" s="20">
        <f>Maximum!AD65</f>
        <v>399</v>
      </c>
      <c r="AG65" s="20">
        <f>Maximum!V65</f>
        <v>8.4700000000000006</v>
      </c>
      <c r="AH65" s="20">
        <f>Maximum!W65</f>
        <v>8.19</v>
      </c>
      <c r="AI65" s="20">
        <f>Maximum!X65</f>
        <v>8.8699999999999992</v>
      </c>
      <c r="AJ65" s="20">
        <f>Maximum!Y65</f>
        <v>6.5</v>
      </c>
      <c r="AK65" s="20">
        <f t="shared" si="10"/>
        <v>1.0000000000000009E-2</v>
      </c>
      <c r="AL65" s="20">
        <f t="shared" si="11"/>
        <v>2.0000000000000018E-2</v>
      </c>
      <c r="AM65" s="20">
        <f t="shared" si="12"/>
        <v>4.0000000000000036E-2</v>
      </c>
      <c r="AN65" s="20">
        <f t="shared" si="13"/>
        <v>1.0000000000000009E-2</v>
      </c>
      <c r="AO65" s="20">
        <f t="shared" si="14"/>
        <v>-9.9999999999997868E-3</v>
      </c>
      <c r="AP65" s="20">
        <f t="shared" si="15"/>
        <v>2.000000000000135E-2</v>
      </c>
      <c r="AQ65" s="20">
        <f t="shared" si="16"/>
        <v>-4.9999999999998934E-2</v>
      </c>
      <c r="AR65" s="20">
        <f t="shared" si="17"/>
        <v>-0.13999999999999968</v>
      </c>
    </row>
    <row r="66" spans="1:44" s="20" customFormat="1">
      <c r="A66" s="9">
        <f>Operational!Q66</f>
        <v>55.14</v>
      </c>
      <c r="B66" s="20">
        <f>Operational!R66</f>
        <v>1272.856</v>
      </c>
      <c r="C66" s="20">
        <f>Operational!S66</f>
        <v>1292.722</v>
      </c>
      <c r="D66" s="20">
        <f>Operational!T66</f>
        <v>1313.422</v>
      </c>
      <c r="E66" s="20">
        <f>Operational!U66</f>
        <v>1332.79</v>
      </c>
      <c r="G66" s="15">
        <f>Maximum!Q66</f>
        <v>16.22</v>
      </c>
      <c r="H66" s="20">
        <f>Maximum!R66</f>
        <v>1270.2090000000001</v>
      </c>
      <c r="I66" s="20">
        <f>Maximum!S66</f>
        <v>1290.1120000000001</v>
      </c>
      <c r="J66" s="20">
        <f>Maximum!T66</f>
        <v>1310.7829999999999</v>
      </c>
      <c r="K66" s="20">
        <f>Maximum!U66</f>
        <v>1330.13</v>
      </c>
      <c r="V66" s="9">
        <f t="shared" si="18"/>
        <v>55.14</v>
      </c>
      <c r="W66" s="20">
        <f>Operational!V66</f>
        <v>1.1399999999999999</v>
      </c>
      <c r="X66" s="20">
        <f>Operational!W66</f>
        <v>0.9</v>
      </c>
      <c r="Y66" s="20">
        <f>Operational!X66</f>
        <v>2.44</v>
      </c>
      <c r="Z66" s="20">
        <f>Operational!Y66</f>
        <v>1.79</v>
      </c>
      <c r="AA66" s="20">
        <f>Operational!AD66</f>
        <v>176</v>
      </c>
      <c r="AB66" s="20">
        <f>Operational!AE66</f>
        <v>177</v>
      </c>
      <c r="AC66" s="20">
        <f>Operational!AF66</f>
        <v>176</v>
      </c>
      <c r="AD66" s="20">
        <f>Operational!AG66</f>
        <v>177</v>
      </c>
      <c r="AE66" s="15">
        <f>Maximum!Q66</f>
        <v>16.22</v>
      </c>
      <c r="AF66" s="20">
        <f>Maximum!AD66</f>
        <v>399</v>
      </c>
      <c r="AG66" s="20">
        <f>Maximum!V66</f>
        <v>8.5</v>
      </c>
      <c r="AH66" s="20">
        <f>Maximum!W66</f>
        <v>8.2899999999999991</v>
      </c>
      <c r="AI66" s="20">
        <f>Maximum!X66</f>
        <v>8.89</v>
      </c>
      <c r="AJ66" s="20">
        <f>Maximum!Y66</f>
        <v>6.5</v>
      </c>
      <c r="AK66" s="20">
        <f t="shared" si="10"/>
        <v>-1.0000000000000009E-2</v>
      </c>
      <c r="AL66" s="20">
        <f t="shared" si="11"/>
        <v>0</v>
      </c>
      <c r="AM66" s="20">
        <f t="shared" si="12"/>
        <v>-6.0000000000000053E-2</v>
      </c>
      <c r="AN66" s="20">
        <f t="shared" si="13"/>
        <v>-4.0000000000000036E-2</v>
      </c>
      <c r="AO66" s="20">
        <f t="shared" si="14"/>
        <v>-2.9999999999999361E-2</v>
      </c>
      <c r="AP66" s="20">
        <f t="shared" si="15"/>
        <v>-9.9999999999999645E-2</v>
      </c>
      <c r="AQ66" s="20">
        <f t="shared" si="16"/>
        <v>-2.000000000000135E-2</v>
      </c>
      <c r="AR66" s="20">
        <f t="shared" si="17"/>
        <v>0</v>
      </c>
    </row>
    <row r="67" spans="1:44" s="20" customFormat="1">
      <c r="A67" s="9">
        <f>Operational!Q67</f>
        <v>55.97</v>
      </c>
      <c r="B67" s="20">
        <f>Operational!R67</f>
        <v>1272.9359999999999</v>
      </c>
      <c r="C67" s="20">
        <f>Operational!S67</f>
        <v>1292.8019999999999</v>
      </c>
      <c r="D67" s="20">
        <f>Operational!T67</f>
        <v>1313.5029999999999</v>
      </c>
      <c r="E67" s="20">
        <f>Operational!U67</f>
        <v>1332.873</v>
      </c>
      <c r="G67" s="15">
        <f>Maximum!Q67</f>
        <v>15.38</v>
      </c>
      <c r="H67" s="20">
        <f>Maximum!R67</f>
        <v>1270.133</v>
      </c>
      <c r="I67" s="20">
        <f>Maximum!S67</f>
        <v>1290.037</v>
      </c>
      <c r="J67" s="20">
        <f>Maximum!T67</f>
        <v>1310.7080000000001</v>
      </c>
      <c r="K67" s="20">
        <f>Maximum!U67</f>
        <v>1330.0519999999999</v>
      </c>
      <c r="V67" s="9">
        <f t="shared" si="18"/>
        <v>55.97</v>
      </c>
      <c r="W67" s="20">
        <f>Operational!V67</f>
        <v>1.1399999999999999</v>
      </c>
      <c r="X67" s="20">
        <f>Operational!W67</f>
        <v>0.91</v>
      </c>
      <c r="Y67" s="20">
        <f>Operational!X67</f>
        <v>2.44</v>
      </c>
      <c r="Z67" s="20">
        <f>Operational!Y67</f>
        <v>1.78</v>
      </c>
      <c r="AA67" s="20">
        <f>Operational!AD67</f>
        <v>178</v>
      </c>
      <c r="AB67" s="20">
        <f>Operational!AE67</f>
        <v>178</v>
      </c>
      <c r="AC67" s="20">
        <f>Operational!AF67</f>
        <v>178</v>
      </c>
      <c r="AD67" s="20">
        <f>Operational!AG67</f>
        <v>178</v>
      </c>
      <c r="AE67" s="15">
        <f>Maximum!Q67</f>
        <v>15.38</v>
      </c>
      <c r="AF67" s="20">
        <f>Maximum!AD67</f>
        <v>399</v>
      </c>
      <c r="AG67" s="20">
        <f>Maximum!V67</f>
        <v>8.52</v>
      </c>
      <c r="AH67" s="20">
        <f>Maximum!W67</f>
        <v>8.3800000000000008</v>
      </c>
      <c r="AI67" s="20">
        <f>Maximum!X67</f>
        <v>8.94</v>
      </c>
      <c r="AJ67" s="20">
        <f>Maximum!Y67</f>
        <v>6.59</v>
      </c>
      <c r="AK67" s="20">
        <f t="shared" ref="AK67:AK87" si="19">W66-W67</f>
        <v>0</v>
      </c>
      <c r="AL67" s="20">
        <f t="shared" ref="AL67:AL87" si="20">X66-X67</f>
        <v>-1.0000000000000009E-2</v>
      </c>
      <c r="AM67" s="20">
        <f t="shared" ref="AM67:AM87" si="21">Y66-Y67</f>
        <v>0</v>
      </c>
      <c r="AN67" s="20">
        <f t="shared" ref="AN67:AN87" si="22">Z66-Z67</f>
        <v>1.0000000000000009E-2</v>
      </c>
      <c r="AO67" s="20">
        <f t="shared" ref="AO67:AO87" si="23">AG66-AG67</f>
        <v>-1.9999999999999574E-2</v>
      </c>
      <c r="AP67" s="20">
        <f t="shared" ref="AP67:AP87" si="24">AH66-AH67</f>
        <v>-9.0000000000001634E-2</v>
      </c>
      <c r="AQ67" s="20">
        <f t="shared" ref="AQ67:AQ87" si="25">AI66-AI67</f>
        <v>-4.9999999999998934E-2</v>
      </c>
      <c r="AR67" s="20">
        <f t="shared" ref="AR67:AR87" si="26">AJ66-AJ67</f>
        <v>-8.9999999999999858E-2</v>
      </c>
    </row>
    <row r="68" spans="1:44" s="20" customFormat="1">
      <c r="A68" s="9">
        <f>Operational!Q68</f>
        <v>56.81</v>
      </c>
      <c r="B68" s="20">
        <f>Operational!R68</f>
        <v>1273.0170000000001</v>
      </c>
      <c r="C68" s="20">
        <f>Operational!S68</f>
        <v>1292.884</v>
      </c>
      <c r="D68" s="20">
        <f>Operational!T68</f>
        <v>1313.585</v>
      </c>
      <c r="E68" s="20">
        <f>Operational!U68</f>
        <v>1332.953</v>
      </c>
      <c r="G68" s="15">
        <f>Maximum!Q68</f>
        <v>14.57</v>
      </c>
      <c r="H68" s="20">
        <f>Maximum!R68</f>
        <v>1270.0550000000001</v>
      </c>
      <c r="I68" s="20">
        <f>Maximum!S68</f>
        <v>1289.9590000000001</v>
      </c>
      <c r="J68" s="20">
        <f>Maximum!T68</f>
        <v>1310.6300000000001</v>
      </c>
      <c r="K68" s="20">
        <f>Maximum!U68</f>
        <v>1329.9739999999999</v>
      </c>
      <c r="V68" s="9">
        <f t="shared" si="18"/>
        <v>56.81</v>
      </c>
      <c r="W68" s="20">
        <f>Operational!V68</f>
        <v>1.1599999999999999</v>
      </c>
      <c r="X68" s="20">
        <f>Operational!W68</f>
        <v>0.88</v>
      </c>
      <c r="Y68" s="20">
        <f>Operational!X68</f>
        <v>2.38</v>
      </c>
      <c r="Z68" s="20">
        <f>Operational!Y68</f>
        <v>1.77</v>
      </c>
      <c r="AA68" s="20">
        <f>Operational!AD68</f>
        <v>179</v>
      </c>
      <c r="AB68" s="20">
        <f>Operational!AE68</f>
        <v>180</v>
      </c>
      <c r="AC68" s="20">
        <f>Operational!AF68</f>
        <v>179</v>
      </c>
      <c r="AD68" s="20">
        <f>Operational!AG68</f>
        <v>180</v>
      </c>
      <c r="AE68" s="15">
        <f>Maximum!Q68</f>
        <v>14.57</v>
      </c>
      <c r="AF68" s="20">
        <f>Maximum!AD68</f>
        <v>399</v>
      </c>
      <c r="AG68" s="20">
        <f>Maximum!V68</f>
        <v>8.58</v>
      </c>
      <c r="AH68" s="20">
        <f>Maximum!W68</f>
        <v>8.4</v>
      </c>
      <c r="AI68" s="20">
        <f>Maximum!X68</f>
        <v>9.02</v>
      </c>
      <c r="AJ68" s="20">
        <f>Maximum!Y68</f>
        <v>6.54</v>
      </c>
      <c r="AK68" s="20">
        <f t="shared" si="19"/>
        <v>-2.0000000000000018E-2</v>
      </c>
      <c r="AL68" s="20">
        <f t="shared" si="20"/>
        <v>3.0000000000000027E-2</v>
      </c>
      <c r="AM68" s="20">
        <f t="shared" si="21"/>
        <v>6.0000000000000053E-2</v>
      </c>
      <c r="AN68" s="20">
        <f t="shared" si="22"/>
        <v>1.0000000000000009E-2</v>
      </c>
      <c r="AO68" s="20">
        <f t="shared" si="23"/>
        <v>-6.0000000000000497E-2</v>
      </c>
      <c r="AP68" s="20">
        <f t="shared" si="24"/>
        <v>-1.9999999999999574E-2</v>
      </c>
      <c r="AQ68" s="20">
        <f t="shared" si="25"/>
        <v>-8.0000000000000071E-2</v>
      </c>
      <c r="AR68" s="20">
        <f t="shared" si="26"/>
        <v>4.9999999999999822E-2</v>
      </c>
    </row>
    <row r="69" spans="1:44" s="20" customFormat="1">
      <c r="A69" s="9">
        <f>Operational!Q69</f>
        <v>57.67</v>
      </c>
      <c r="B69" s="20">
        <f>Operational!R69</f>
        <v>1273.098</v>
      </c>
      <c r="C69" s="20">
        <f>Operational!S69</f>
        <v>1292.962</v>
      </c>
      <c r="D69" s="20">
        <f>Operational!T69</f>
        <v>1313.6659999999999</v>
      </c>
      <c r="E69" s="20">
        <f>Operational!U69</f>
        <v>1333.0319999999999</v>
      </c>
      <c r="G69" s="15">
        <f>Maximum!Q69</f>
        <v>13.78</v>
      </c>
      <c r="H69" s="20">
        <f>Maximum!R69</f>
        <v>1269.98</v>
      </c>
      <c r="I69" s="20">
        <f>Maximum!S69</f>
        <v>1289.883</v>
      </c>
      <c r="J69" s="20">
        <f>Maximum!T69</f>
        <v>1310.5530000000001</v>
      </c>
      <c r="K69" s="20">
        <f>Maximum!U69</f>
        <v>1329.8979999999999</v>
      </c>
      <c r="V69" s="9">
        <f t="shared" si="18"/>
        <v>57.67</v>
      </c>
      <c r="W69" s="20">
        <f>Operational!V69</f>
        <v>1.1399999999999999</v>
      </c>
      <c r="X69" s="20">
        <f>Operational!W69</f>
        <v>0.92</v>
      </c>
      <c r="Y69" s="20">
        <f>Operational!X69</f>
        <v>2.38</v>
      </c>
      <c r="Z69" s="20">
        <f>Operational!Y69</f>
        <v>1.77</v>
      </c>
      <c r="AA69" s="20">
        <f>Operational!AD69</f>
        <v>181</v>
      </c>
      <c r="AB69" s="20">
        <f>Operational!AE69</f>
        <v>181</v>
      </c>
      <c r="AC69" s="20">
        <f>Operational!AF69</f>
        <v>181</v>
      </c>
      <c r="AD69" s="20">
        <f>Operational!AG69</f>
        <v>181</v>
      </c>
      <c r="AE69" s="15">
        <f>Maximum!Q69</f>
        <v>13.78</v>
      </c>
      <c r="AF69" s="20">
        <f>Maximum!AD69</f>
        <v>399</v>
      </c>
      <c r="AG69" s="20">
        <f>Maximum!V69</f>
        <v>8.65</v>
      </c>
      <c r="AH69" s="20">
        <f>Maximum!W69</f>
        <v>8.42</v>
      </c>
      <c r="AI69" s="20">
        <f>Maximum!X69</f>
        <v>9.0500000000000007</v>
      </c>
      <c r="AJ69" s="20">
        <f>Maximum!Y69</f>
        <v>6.57</v>
      </c>
      <c r="AK69" s="20">
        <f t="shared" si="19"/>
        <v>2.0000000000000018E-2</v>
      </c>
      <c r="AL69" s="20">
        <f t="shared" si="20"/>
        <v>-4.0000000000000036E-2</v>
      </c>
      <c r="AM69" s="20">
        <f t="shared" si="21"/>
        <v>0</v>
      </c>
      <c r="AN69" s="20">
        <f t="shared" si="22"/>
        <v>0</v>
      </c>
      <c r="AO69" s="20">
        <f t="shared" si="23"/>
        <v>-7.0000000000000284E-2</v>
      </c>
      <c r="AP69" s="20">
        <f t="shared" si="24"/>
        <v>-1.9999999999999574E-2</v>
      </c>
      <c r="AQ69" s="20">
        <f t="shared" si="25"/>
        <v>-3.0000000000001137E-2</v>
      </c>
      <c r="AR69" s="20">
        <f t="shared" si="26"/>
        <v>-3.0000000000000249E-2</v>
      </c>
    </row>
    <row r="70" spans="1:44" s="20" customFormat="1">
      <c r="A70" s="9">
        <f>Operational!Q70</f>
        <v>58.45</v>
      </c>
      <c r="B70" s="20">
        <f>Operational!R70</f>
        <v>1273.1790000000001</v>
      </c>
      <c r="C70" s="20">
        <f>Operational!S70</f>
        <v>1293.0429999999999</v>
      </c>
      <c r="D70" s="20">
        <f>Operational!T70</f>
        <v>1313.748</v>
      </c>
      <c r="E70" s="20">
        <f>Operational!U70</f>
        <v>1333.1130000000001</v>
      </c>
      <c r="G70" s="15">
        <f>Maximum!Q70</f>
        <v>12.93</v>
      </c>
      <c r="H70" s="20">
        <f>Maximum!R70</f>
        <v>1269.905</v>
      </c>
      <c r="I70" s="20">
        <f>Maximum!S70</f>
        <v>1289.806</v>
      </c>
      <c r="J70" s="20">
        <f>Maximum!T70</f>
        <v>1310.4760000000001</v>
      </c>
      <c r="K70" s="20">
        <f>Maximum!U70</f>
        <v>1329.82</v>
      </c>
      <c r="V70" s="9">
        <f t="shared" si="18"/>
        <v>58.45</v>
      </c>
      <c r="W70" s="20">
        <f>Operational!V70</f>
        <v>1.1000000000000001</v>
      </c>
      <c r="X70" s="20">
        <f>Operational!W70</f>
        <v>0.92</v>
      </c>
      <c r="Y70" s="20">
        <f>Operational!X70</f>
        <v>2.38</v>
      </c>
      <c r="Z70" s="20">
        <f>Operational!Y70</f>
        <v>1.72</v>
      </c>
      <c r="AA70" s="20">
        <f>Operational!AD70</f>
        <v>183</v>
      </c>
      <c r="AB70" s="20">
        <f>Operational!AE70</f>
        <v>183</v>
      </c>
      <c r="AC70" s="20">
        <f>Operational!AF70</f>
        <v>183</v>
      </c>
      <c r="AD70" s="20">
        <f>Operational!AG70</f>
        <v>183</v>
      </c>
      <c r="AE70" s="15">
        <f>Maximum!Q70</f>
        <v>12.93</v>
      </c>
      <c r="AF70" s="20">
        <f>Maximum!AD70</f>
        <v>399</v>
      </c>
      <c r="AG70" s="20">
        <f>Maximum!V70</f>
        <v>8.77</v>
      </c>
      <c r="AH70" s="20">
        <f>Maximum!W70</f>
        <v>8.48</v>
      </c>
      <c r="AI70" s="20">
        <f>Maximum!X70</f>
        <v>9.06</v>
      </c>
      <c r="AJ70" s="20">
        <f>Maximum!Y70</f>
        <v>6.65</v>
      </c>
      <c r="AK70" s="20">
        <f t="shared" si="19"/>
        <v>3.9999999999999813E-2</v>
      </c>
      <c r="AL70" s="20">
        <f t="shared" si="20"/>
        <v>0</v>
      </c>
      <c r="AM70" s="20">
        <f t="shared" si="21"/>
        <v>0</v>
      </c>
      <c r="AN70" s="20">
        <f t="shared" si="22"/>
        <v>5.0000000000000044E-2</v>
      </c>
      <c r="AO70" s="20">
        <f t="shared" si="23"/>
        <v>-0.11999999999999922</v>
      </c>
      <c r="AP70" s="20">
        <f t="shared" si="24"/>
        <v>-6.0000000000000497E-2</v>
      </c>
      <c r="AQ70" s="20">
        <f t="shared" si="25"/>
        <v>-9.9999999999997868E-3</v>
      </c>
      <c r="AR70" s="20">
        <f t="shared" si="26"/>
        <v>-8.0000000000000071E-2</v>
      </c>
    </row>
    <row r="71" spans="1:44" s="20" customFormat="1">
      <c r="A71" s="9">
        <f>Operational!Q71</f>
        <v>59.3</v>
      </c>
      <c r="B71" s="20">
        <f>Operational!R71</f>
        <v>1273.26</v>
      </c>
      <c r="C71" s="20">
        <f>Operational!S71</f>
        <v>1293.124</v>
      </c>
      <c r="D71" s="20">
        <f>Operational!T71</f>
        <v>1313.828</v>
      </c>
      <c r="E71" s="20">
        <f>Operational!U71</f>
        <v>1333.194</v>
      </c>
      <c r="G71" s="15">
        <f>Maximum!Q71</f>
        <v>12.11</v>
      </c>
      <c r="H71" s="20">
        <f>Maximum!R71</f>
        <v>1269.828</v>
      </c>
      <c r="I71" s="20">
        <f>Maximum!S71</f>
        <v>1289.7280000000001</v>
      </c>
      <c r="J71" s="20">
        <f>Maximum!T71</f>
        <v>1310.3979999999999</v>
      </c>
      <c r="K71" s="20">
        <f>Maximum!U71</f>
        <v>1329.741</v>
      </c>
      <c r="V71" s="9">
        <f t="shared" si="18"/>
        <v>59.3</v>
      </c>
      <c r="W71" s="20">
        <f>Operational!V71</f>
        <v>1.01</v>
      </c>
      <c r="X71" s="20">
        <f>Operational!W71</f>
        <v>0.91</v>
      </c>
      <c r="Y71" s="20">
        <f>Operational!X71</f>
        <v>2.35</v>
      </c>
      <c r="Z71" s="20">
        <f>Operational!Y71</f>
        <v>1.71</v>
      </c>
      <c r="AA71" s="20">
        <f>Operational!AD71</f>
        <v>184</v>
      </c>
      <c r="AB71" s="20">
        <f>Operational!AE71</f>
        <v>184</v>
      </c>
      <c r="AC71" s="20">
        <f>Operational!AF71</f>
        <v>184</v>
      </c>
      <c r="AD71" s="20">
        <f>Operational!AG71</f>
        <v>184</v>
      </c>
      <c r="AE71" s="15">
        <f>Maximum!Q71</f>
        <v>12.11</v>
      </c>
      <c r="AF71" s="20">
        <f>Maximum!AD71</f>
        <v>399</v>
      </c>
      <c r="AG71" s="20">
        <f>Maximum!V71</f>
        <v>8.7899999999999991</v>
      </c>
      <c r="AH71" s="20">
        <f>Maximum!W71</f>
        <v>8.48</v>
      </c>
      <c r="AI71" s="20">
        <f>Maximum!X71</f>
        <v>9.1199999999999992</v>
      </c>
      <c r="AJ71" s="20">
        <f>Maximum!Y71</f>
        <v>6.71</v>
      </c>
      <c r="AK71" s="20">
        <f t="shared" si="19"/>
        <v>9.000000000000008E-2</v>
      </c>
      <c r="AL71" s="20">
        <f t="shared" si="20"/>
        <v>1.0000000000000009E-2</v>
      </c>
      <c r="AM71" s="20">
        <f t="shared" si="21"/>
        <v>2.9999999999999805E-2</v>
      </c>
      <c r="AN71" s="20">
        <f t="shared" si="22"/>
        <v>1.0000000000000009E-2</v>
      </c>
      <c r="AO71" s="20">
        <f t="shared" si="23"/>
        <v>-1.9999999999999574E-2</v>
      </c>
      <c r="AP71" s="20">
        <f t="shared" si="24"/>
        <v>0</v>
      </c>
      <c r="AQ71" s="20">
        <f t="shared" si="25"/>
        <v>-5.9999999999998721E-2</v>
      </c>
      <c r="AR71" s="20">
        <f t="shared" si="26"/>
        <v>-5.9999999999999609E-2</v>
      </c>
    </row>
    <row r="72" spans="1:44" s="20" customFormat="1">
      <c r="A72" s="9">
        <f>Operational!Q72</f>
        <v>60.16</v>
      </c>
      <c r="B72" s="20">
        <f>Operational!R72</f>
        <v>1273.3420000000001</v>
      </c>
      <c r="C72" s="20">
        <f>Operational!S72</f>
        <v>1293.2049999999999</v>
      </c>
      <c r="D72" s="20">
        <f>Operational!T72</f>
        <v>1313.9090000000001</v>
      </c>
      <c r="E72" s="20">
        <f>Operational!U72</f>
        <v>1333.2739999999999</v>
      </c>
      <c r="G72" s="15">
        <f>Maximum!Q72</f>
        <v>11.26</v>
      </c>
      <c r="H72" s="20">
        <f>Maximum!R72</f>
        <v>1269.751</v>
      </c>
      <c r="I72" s="20">
        <f>Maximum!S72</f>
        <v>1289.652</v>
      </c>
      <c r="J72" s="20">
        <f>Maximum!T72</f>
        <v>1310.3219999999999</v>
      </c>
      <c r="K72" s="20">
        <f>Maximum!U72</f>
        <v>1329.664</v>
      </c>
      <c r="V72" s="9">
        <f t="shared" si="18"/>
        <v>60.16</v>
      </c>
      <c r="W72" s="20">
        <f>Operational!V72</f>
        <v>1.02</v>
      </c>
      <c r="X72" s="20">
        <f>Operational!W72</f>
        <v>0.94</v>
      </c>
      <c r="Y72" s="20">
        <f>Operational!X72</f>
        <v>2.29</v>
      </c>
      <c r="Z72" s="20">
        <f>Operational!Y72</f>
        <v>1.78</v>
      </c>
      <c r="AA72" s="20">
        <f>Operational!AD72</f>
        <v>186</v>
      </c>
      <c r="AB72" s="20">
        <f>Operational!AE72</f>
        <v>186</v>
      </c>
      <c r="AC72" s="20">
        <f>Operational!AF72</f>
        <v>186</v>
      </c>
      <c r="AD72" s="20">
        <f>Operational!AG72</f>
        <v>186</v>
      </c>
      <c r="AE72" s="15">
        <f>Maximum!Q72</f>
        <v>11.26</v>
      </c>
      <c r="AF72" s="20">
        <f>Maximum!AD72</f>
        <v>399</v>
      </c>
      <c r="AG72" s="20">
        <f>Maximum!V72</f>
        <v>8.7799999999999994</v>
      </c>
      <c r="AH72" s="20">
        <f>Maximum!W72</f>
        <v>8.5500000000000007</v>
      </c>
      <c r="AI72" s="20">
        <f>Maximum!X72</f>
        <v>9.16</v>
      </c>
      <c r="AJ72" s="20">
        <f>Maximum!Y72</f>
        <v>6.74</v>
      </c>
      <c r="AK72" s="20">
        <f t="shared" si="19"/>
        <v>-1.0000000000000009E-2</v>
      </c>
      <c r="AL72" s="20">
        <f t="shared" si="20"/>
        <v>-2.9999999999999916E-2</v>
      </c>
      <c r="AM72" s="20">
        <f t="shared" si="21"/>
        <v>6.0000000000000053E-2</v>
      </c>
      <c r="AN72" s="20">
        <f t="shared" si="22"/>
        <v>-7.0000000000000062E-2</v>
      </c>
      <c r="AO72" s="20">
        <f t="shared" si="23"/>
        <v>9.9999999999997868E-3</v>
      </c>
      <c r="AP72" s="20">
        <f t="shared" si="24"/>
        <v>-7.0000000000000284E-2</v>
      </c>
      <c r="AQ72" s="20">
        <f t="shared" si="25"/>
        <v>-4.0000000000000924E-2</v>
      </c>
      <c r="AR72" s="20">
        <f t="shared" si="26"/>
        <v>-3.0000000000000249E-2</v>
      </c>
    </row>
    <row r="73" spans="1:44" s="20" customFormat="1">
      <c r="A73" s="9">
        <f>Operational!Q73</f>
        <v>60.95</v>
      </c>
      <c r="B73" s="20">
        <f>Operational!R73</f>
        <v>1273.424</v>
      </c>
      <c r="C73" s="20">
        <f>Operational!S73</f>
        <v>1293.289</v>
      </c>
      <c r="D73" s="20">
        <f>Operational!T73</f>
        <v>1313.991</v>
      </c>
      <c r="E73" s="20">
        <f>Operational!U73</f>
        <v>1333.3610000000001</v>
      </c>
      <c r="G73" s="15">
        <f>Maximum!Q73</f>
        <v>10.44</v>
      </c>
      <c r="H73" s="20">
        <f>Maximum!R73</f>
        <v>1269.6690000000001</v>
      </c>
      <c r="I73" s="20">
        <f>Maximum!S73</f>
        <v>1289.569</v>
      </c>
      <c r="J73" s="20">
        <f>Maximum!T73</f>
        <v>1310.239</v>
      </c>
      <c r="K73" s="20">
        <f>Maximum!U73</f>
        <v>1329.578</v>
      </c>
      <c r="V73" s="9">
        <f t="shared" si="18"/>
        <v>60.95</v>
      </c>
      <c r="W73" s="20">
        <f>Operational!V73</f>
        <v>1.07</v>
      </c>
      <c r="X73" s="20">
        <f>Operational!W73</f>
        <v>0.97</v>
      </c>
      <c r="Y73" s="20">
        <f>Operational!X73</f>
        <v>2.3199999999999998</v>
      </c>
      <c r="Z73" s="20">
        <f>Operational!Y73</f>
        <v>1.7</v>
      </c>
      <c r="AA73" s="20">
        <f>Operational!AD73</f>
        <v>187</v>
      </c>
      <c r="AB73" s="20">
        <f>Operational!AE73</f>
        <v>188</v>
      </c>
      <c r="AC73" s="20">
        <f>Operational!AF73</f>
        <v>187</v>
      </c>
      <c r="AD73" s="20">
        <f>Operational!AG73</f>
        <v>188</v>
      </c>
      <c r="AE73" s="15">
        <f>Maximum!Q73</f>
        <v>10.44</v>
      </c>
      <c r="AF73" s="20">
        <f>Maximum!AD73</f>
        <v>399</v>
      </c>
      <c r="AG73" s="20">
        <f>Maximum!V73</f>
        <v>8.77</v>
      </c>
      <c r="AH73" s="20">
        <f>Maximum!W73</f>
        <v>8.6</v>
      </c>
      <c r="AI73" s="20">
        <f>Maximum!X73</f>
        <v>9.2200000000000006</v>
      </c>
      <c r="AJ73" s="20">
        <f>Maximum!Y73</f>
        <v>6.75</v>
      </c>
      <c r="AK73" s="20">
        <f t="shared" si="19"/>
        <v>-5.0000000000000044E-2</v>
      </c>
      <c r="AL73" s="20">
        <f t="shared" si="20"/>
        <v>-3.0000000000000027E-2</v>
      </c>
      <c r="AM73" s="20">
        <f t="shared" si="21"/>
        <v>-2.9999999999999805E-2</v>
      </c>
      <c r="AN73" s="20">
        <f t="shared" si="22"/>
        <v>8.0000000000000071E-2</v>
      </c>
      <c r="AO73" s="20">
        <f t="shared" si="23"/>
        <v>9.9999999999997868E-3</v>
      </c>
      <c r="AP73" s="20">
        <f t="shared" si="24"/>
        <v>-4.9999999999998934E-2</v>
      </c>
      <c r="AQ73" s="20">
        <f t="shared" si="25"/>
        <v>-6.0000000000000497E-2</v>
      </c>
      <c r="AR73" s="20">
        <f t="shared" si="26"/>
        <v>-9.9999999999997868E-3</v>
      </c>
    </row>
    <row r="74" spans="1:44" s="20" customFormat="1">
      <c r="A74" s="9">
        <f>Operational!Q74</f>
        <v>61.75</v>
      </c>
      <c r="B74" s="20">
        <f>Operational!R74</f>
        <v>1273.5060000000001</v>
      </c>
      <c r="C74" s="20">
        <f>Operational!S74</f>
        <v>1293.374</v>
      </c>
      <c r="D74" s="20">
        <f>Operational!T74</f>
        <v>1314.0730000000001</v>
      </c>
      <c r="E74" s="20">
        <f>Operational!U74</f>
        <v>1333.443</v>
      </c>
      <c r="G74" s="15">
        <f>Maximum!Q74</f>
        <v>9.61</v>
      </c>
      <c r="H74" s="20">
        <f>Maximum!R74</f>
        <v>1269.5930000000001</v>
      </c>
      <c r="I74" s="20">
        <f>Maximum!S74</f>
        <v>1289.491</v>
      </c>
      <c r="J74" s="20">
        <f>Maximum!T74</f>
        <v>1310.163</v>
      </c>
      <c r="K74" s="20">
        <f>Maximum!U74</f>
        <v>1329.499</v>
      </c>
      <c r="V74" s="9">
        <f t="shared" si="18"/>
        <v>61.75</v>
      </c>
      <c r="W74" s="20">
        <f>Operational!V74</f>
        <v>1.17</v>
      </c>
      <c r="X74" s="20">
        <f>Operational!W74</f>
        <v>0.96</v>
      </c>
      <c r="Y74" s="20">
        <f>Operational!X74</f>
        <v>2.29</v>
      </c>
      <c r="Z74" s="20">
        <f>Operational!Y74</f>
        <v>1.77</v>
      </c>
      <c r="AA74" s="20">
        <f>Operational!AD74</f>
        <v>189</v>
      </c>
      <c r="AB74" s="20">
        <f>Operational!AE74</f>
        <v>190</v>
      </c>
      <c r="AC74" s="20">
        <f>Operational!AF74</f>
        <v>189</v>
      </c>
      <c r="AD74" s="20">
        <f>Operational!AG74</f>
        <v>190</v>
      </c>
      <c r="AE74" s="15">
        <f>Maximum!Q74</f>
        <v>9.61</v>
      </c>
      <c r="AF74" s="20">
        <f>Maximum!AD74</f>
        <v>399</v>
      </c>
      <c r="AG74" s="20">
        <f>Maximum!V74</f>
        <v>8.8000000000000007</v>
      </c>
      <c r="AH74" s="20">
        <f>Maximum!W74</f>
        <v>8.67</v>
      </c>
      <c r="AI74" s="20">
        <f>Maximum!X74</f>
        <v>9.25</v>
      </c>
      <c r="AJ74" s="20">
        <f>Maximum!Y74</f>
        <v>6.76</v>
      </c>
      <c r="AK74" s="20">
        <f t="shared" si="19"/>
        <v>-9.9999999999999867E-2</v>
      </c>
      <c r="AL74" s="20">
        <f t="shared" si="20"/>
        <v>1.0000000000000009E-2</v>
      </c>
      <c r="AM74" s="20">
        <f t="shared" si="21"/>
        <v>2.9999999999999805E-2</v>
      </c>
      <c r="AN74" s="20">
        <f t="shared" si="22"/>
        <v>-7.0000000000000062E-2</v>
      </c>
      <c r="AO74" s="20">
        <f t="shared" si="23"/>
        <v>-3.0000000000001137E-2</v>
      </c>
      <c r="AP74" s="20">
        <f t="shared" si="24"/>
        <v>-7.0000000000000284E-2</v>
      </c>
      <c r="AQ74" s="20">
        <f t="shared" si="25"/>
        <v>-2.9999999999999361E-2</v>
      </c>
      <c r="AR74" s="20">
        <f t="shared" si="26"/>
        <v>-9.9999999999997868E-3</v>
      </c>
    </row>
    <row r="75" spans="1:44" s="20" customFormat="1">
      <c r="A75" s="9">
        <f>Operational!Q75</f>
        <v>62.57</v>
      </c>
      <c r="B75" s="20">
        <f>Operational!R75</f>
        <v>1273.5889999999999</v>
      </c>
      <c r="C75" s="20">
        <f>Operational!S75</f>
        <v>1293.4590000000001</v>
      </c>
      <c r="D75" s="20">
        <f>Operational!T75</f>
        <v>1314.154</v>
      </c>
      <c r="E75" s="20">
        <f>Operational!U75</f>
        <v>1333.528</v>
      </c>
      <c r="G75" s="15">
        <f>Maximum!Q75</f>
        <v>8.81</v>
      </c>
      <c r="H75" s="20">
        <f>Maximum!R75</f>
        <v>1269.5139999999999</v>
      </c>
      <c r="I75" s="20">
        <f>Maximum!S75</f>
        <v>1289.4110000000001</v>
      </c>
      <c r="J75" s="20">
        <f>Maximum!T75</f>
        <v>1310.086</v>
      </c>
      <c r="K75" s="20">
        <f>Maximum!U75</f>
        <v>1329.421</v>
      </c>
      <c r="V75" s="9">
        <f t="shared" si="18"/>
        <v>62.57</v>
      </c>
      <c r="W75" s="20">
        <f>Operational!V75</f>
        <v>1.25</v>
      </c>
      <c r="X75" s="20">
        <f>Operational!W75</f>
        <v>0.94</v>
      </c>
      <c r="Y75" s="20">
        <f>Operational!X75</f>
        <v>2.2200000000000002</v>
      </c>
      <c r="Z75" s="20">
        <f>Operational!Y75</f>
        <v>1.72</v>
      </c>
      <c r="AA75" s="20">
        <f>Operational!AD75</f>
        <v>191</v>
      </c>
      <c r="AB75" s="20">
        <f>Operational!AE75</f>
        <v>191</v>
      </c>
      <c r="AC75" s="20">
        <f>Operational!AF75</f>
        <v>191</v>
      </c>
      <c r="AD75" s="20">
        <f>Operational!AG75</f>
        <v>191</v>
      </c>
      <c r="AE75" s="15">
        <f>Maximum!Q75</f>
        <v>8.81</v>
      </c>
      <c r="AF75" s="20">
        <f>Maximum!AD75</f>
        <v>399</v>
      </c>
      <c r="AG75" s="20">
        <f>Maximum!V75</f>
        <v>8.82</v>
      </c>
      <c r="AH75" s="20">
        <f>Maximum!W75</f>
        <v>8.6999999999999993</v>
      </c>
      <c r="AI75" s="20">
        <f>Maximum!X75</f>
        <v>9.3000000000000007</v>
      </c>
      <c r="AJ75" s="20">
        <f>Maximum!Y75</f>
        <v>6.73</v>
      </c>
      <c r="AK75" s="20">
        <f t="shared" si="19"/>
        <v>-8.0000000000000071E-2</v>
      </c>
      <c r="AL75" s="20">
        <f t="shared" si="20"/>
        <v>2.0000000000000018E-2</v>
      </c>
      <c r="AM75" s="20">
        <f t="shared" si="21"/>
        <v>6.999999999999984E-2</v>
      </c>
      <c r="AN75" s="20">
        <f t="shared" si="22"/>
        <v>5.0000000000000044E-2</v>
      </c>
      <c r="AO75" s="20">
        <f t="shared" si="23"/>
        <v>-1.9999999999999574E-2</v>
      </c>
      <c r="AP75" s="20">
        <f t="shared" si="24"/>
        <v>-2.9999999999999361E-2</v>
      </c>
      <c r="AQ75" s="20">
        <f t="shared" si="25"/>
        <v>-5.0000000000000711E-2</v>
      </c>
      <c r="AR75" s="20">
        <f t="shared" si="26"/>
        <v>2.9999999999999361E-2</v>
      </c>
    </row>
    <row r="76" spans="1:44" s="20" customFormat="1">
      <c r="A76" s="9">
        <f>Operational!Q76</f>
        <v>63.41</v>
      </c>
      <c r="B76" s="20">
        <f>Operational!R76</f>
        <v>1273.675</v>
      </c>
      <c r="C76" s="20">
        <f>Operational!S76</f>
        <v>1293.5450000000001</v>
      </c>
      <c r="D76" s="20">
        <f>Operational!T76</f>
        <v>1314.239</v>
      </c>
      <c r="E76" s="20">
        <f>Operational!U76</f>
        <v>1333.617</v>
      </c>
      <c r="G76" s="15">
        <f>Maximum!Q76</f>
        <v>7.98</v>
      </c>
      <c r="H76" s="20">
        <f>Maximum!R76</f>
        <v>1269.44</v>
      </c>
      <c r="I76" s="20">
        <f>Maximum!S76</f>
        <v>1289.3340000000001</v>
      </c>
      <c r="J76" s="20">
        <f>Maximum!T76</f>
        <v>1310.01</v>
      </c>
      <c r="K76" s="20">
        <f>Maximum!U76</f>
        <v>1329.3440000000001</v>
      </c>
      <c r="V76" s="9">
        <f t="shared" si="18"/>
        <v>63.41</v>
      </c>
      <c r="W76" s="20">
        <f>Operational!V76</f>
        <v>1.18</v>
      </c>
      <c r="X76" s="20">
        <f>Operational!W76</f>
        <v>0.96</v>
      </c>
      <c r="Y76" s="20">
        <f>Operational!X76</f>
        <v>2.27</v>
      </c>
      <c r="Z76" s="20">
        <f>Operational!Y76</f>
        <v>1.81</v>
      </c>
      <c r="AA76" s="20">
        <f>Operational!AD76</f>
        <v>193</v>
      </c>
      <c r="AB76" s="20">
        <f>Operational!AE76</f>
        <v>194</v>
      </c>
      <c r="AC76" s="20">
        <f>Operational!AF76</f>
        <v>193</v>
      </c>
      <c r="AD76" s="20">
        <f>Operational!AG76</f>
        <v>194</v>
      </c>
      <c r="AE76" s="15">
        <f>Maximum!Q76</f>
        <v>7.98</v>
      </c>
      <c r="AF76" s="20">
        <f>Maximum!AD76</f>
        <v>399</v>
      </c>
      <c r="AG76" s="20">
        <f>Maximum!V76</f>
        <v>8.82</v>
      </c>
      <c r="AH76" s="20">
        <f>Maximum!W76</f>
        <v>8.67</v>
      </c>
      <c r="AI76" s="20">
        <f>Maximum!X76</f>
        <v>9.39</v>
      </c>
      <c r="AJ76" s="20">
        <f>Maximum!Y76</f>
        <v>6.72</v>
      </c>
      <c r="AK76" s="20">
        <f t="shared" si="19"/>
        <v>7.0000000000000062E-2</v>
      </c>
      <c r="AL76" s="20">
        <f t="shared" si="20"/>
        <v>-2.0000000000000018E-2</v>
      </c>
      <c r="AM76" s="20">
        <f t="shared" si="21"/>
        <v>-4.9999999999999822E-2</v>
      </c>
      <c r="AN76" s="20">
        <f t="shared" si="22"/>
        <v>-9.000000000000008E-2</v>
      </c>
      <c r="AO76" s="20">
        <f t="shared" si="23"/>
        <v>0</v>
      </c>
      <c r="AP76" s="20">
        <f t="shared" si="24"/>
        <v>2.9999999999999361E-2</v>
      </c>
      <c r="AQ76" s="20">
        <f t="shared" si="25"/>
        <v>-8.9999999999999858E-2</v>
      </c>
      <c r="AR76" s="20">
        <f t="shared" si="26"/>
        <v>1.0000000000000675E-2</v>
      </c>
    </row>
    <row r="77" spans="1:44" s="20" customFormat="1">
      <c r="A77" s="9">
        <f>Operational!Q77</f>
        <v>64.27</v>
      </c>
      <c r="B77" s="20">
        <f>Operational!R77</f>
        <v>1273.761</v>
      </c>
      <c r="C77" s="20">
        <f>Operational!S77</f>
        <v>1293.633</v>
      </c>
      <c r="D77" s="20">
        <f>Operational!T77</f>
        <v>1314.3230000000001</v>
      </c>
      <c r="E77" s="20">
        <f>Operational!U77</f>
        <v>1333.7049999999999</v>
      </c>
      <c r="G77" s="15">
        <f>Maximum!Q77</f>
        <v>7.17</v>
      </c>
      <c r="H77" s="20">
        <f>Maximum!R77</f>
        <v>1269.364</v>
      </c>
      <c r="I77" s="20">
        <f>Maximum!S77</f>
        <v>1289.258</v>
      </c>
      <c r="J77" s="20">
        <f>Maximum!T77</f>
        <v>1309.9349999999999</v>
      </c>
      <c r="K77" s="20">
        <f>Maximum!U77</f>
        <v>1329.2670000000001</v>
      </c>
      <c r="V77" s="9">
        <f t="shared" si="18"/>
        <v>64.27</v>
      </c>
      <c r="W77" s="20">
        <f>Operational!V77</f>
        <v>1.1299999999999999</v>
      </c>
      <c r="X77" s="20">
        <f>Operational!W77</f>
        <v>0.9</v>
      </c>
      <c r="Y77" s="20">
        <f>Operational!X77</f>
        <v>2.2599999999999998</v>
      </c>
      <c r="Z77" s="20">
        <f>Operational!Y77</f>
        <v>1.82</v>
      </c>
      <c r="AA77" s="20">
        <f>Operational!AD77</f>
        <v>196</v>
      </c>
      <c r="AB77" s="20">
        <f>Operational!AE77</f>
        <v>196</v>
      </c>
      <c r="AC77" s="20">
        <f>Operational!AF77</f>
        <v>196</v>
      </c>
      <c r="AD77" s="20">
        <f>Operational!AG77</f>
        <v>196</v>
      </c>
      <c r="AE77" s="15">
        <f>Maximum!Q77</f>
        <v>7.17</v>
      </c>
      <c r="AF77" s="20">
        <f>Maximum!AD77</f>
        <v>399</v>
      </c>
      <c r="AG77" s="20">
        <f>Maximum!V77</f>
        <v>8.82</v>
      </c>
      <c r="AH77" s="20">
        <f>Maximum!W77</f>
        <v>8.69</v>
      </c>
      <c r="AI77" s="20">
        <f>Maximum!X77</f>
        <v>9.41</v>
      </c>
      <c r="AJ77" s="20">
        <f>Maximum!Y77</f>
        <v>6.75</v>
      </c>
      <c r="AK77" s="20">
        <f t="shared" si="19"/>
        <v>5.0000000000000044E-2</v>
      </c>
      <c r="AL77" s="20">
        <f t="shared" si="20"/>
        <v>5.9999999999999942E-2</v>
      </c>
      <c r="AM77" s="20">
        <f t="shared" si="21"/>
        <v>1.0000000000000231E-2</v>
      </c>
      <c r="AN77" s="20">
        <f t="shared" si="22"/>
        <v>-1.0000000000000009E-2</v>
      </c>
      <c r="AO77" s="20">
        <f t="shared" si="23"/>
        <v>0</v>
      </c>
      <c r="AP77" s="20">
        <f t="shared" si="24"/>
        <v>-1.9999999999999574E-2</v>
      </c>
      <c r="AQ77" s="20">
        <f t="shared" si="25"/>
        <v>-1.9999999999999574E-2</v>
      </c>
      <c r="AR77" s="20">
        <f t="shared" si="26"/>
        <v>-3.0000000000000249E-2</v>
      </c>
    </row>
    <row r="78" spans="1:44" s="20" customFormat="1">
      <c r="A78" s="9">
        <f>Operational!Q78</f>
        <v>65.099999999999994</v>
      </c>
      <c r="B78" s="20">
        <f>Operational!R78</f>
        <v>1273.848</v>
      </c>
      <c r="C78" s="20">
        <f>Operational!S78</f>
        <v>1293.722</v>
      </c>
      <c r="D78" s="20">
        <f>Operational!T78</f>
        <v>1314.4079999999999</v>
      </c>
      <c r="E78" s="20">
        <f>Operational!U78</f>
        <v>1333.7919999999999</v>
      </c>
      <c r="G78" s="15">
        <f>Maximum!Q78</f>
        <v>6.33</v>
      </c>
      <c r="H78" s="20">
        <f>Maximum!R78</f>
        <v>1269.288</v>
      </c>
      <c r="I78" s="20">
        <f>Maximum!S78</f>
        <v>1289.181</v>
      </c>
      <c r="J78" s="20">
        <f>Maximum!T78</f>
        <v>1309.8589999999999</v>
      </c>
      <c r="K78" s="20">
        <f>Maximum!U78</f>
        <v>1329.19</v>
      </c>
      <c r="V78" s="9">
        <f t="shared" si="18"/>
        <v>65.099999999999994</v>
      </c>
      <c r="W78" s="20">
        <f>Operational!V78</f>
        <v>1.1399999999999999</v>
      </c>
      <c r="X78" s="20">
        <f>Operational!W78</f>
        <v>0.87</v>
      </c>
      <c r="Y78" s="20">
        <f>Operational!X78</f>
        <v>2.21</v>
      </c>
      <c r="Z78" s="20">
        <f>Operational!Y78</f>
        <v>1.79</v>
      </c>
      <c r="AA78" s="20">
        <f>Operational!AD78</f>
        <v>198</v>
      </c>
      <c r="AB78" s="20">
        <f>Operational!AE78</f>
        <v>198</v>
      </c>
      <c r="AC78" s="20">
        <f>Operational!AF78</f>
        <v>198</v>
      </c>
      <c r="AD78" s="20">
        <f>Operational!AG78</f>
        <v>198</v>
      </c>
      <c r="AE78" s="15">
        <f>Maximum!Q78</f>
        <v>6.33</v>
      </c>
      <c r="AF78" s="20">
        <f>Maximum!AD78</f>
        <v>399</v>
      </c>
      <c r="AG78" s="20">
        <f>Maximum!V78</f>
        <v>8.9</v>
      </c>
      <c r="AH78" s="20">
        <f>Maximum!W78</f>
        <v>8.69</v>
      </c>
      <c r="AI78" s="20">
        <f>Maximum!X78</f>
        <v>9.48</v>
      </c>
      <c r="AJ78" s="20">
        <f>Maximum!Y78</f>
        <v>6.87</v>
      </c>
      <c r="AK78" s="20">
        <f t="shared" si="19"/>
        <v>-1.0000000000000009E-2</v>
      </c>
      <c r="AL78" s="20">
        <f t="shared" si="20"/>
        <v>3.0000000000000027E-2</v>
      </c>
      <c r="AM78" s="20">
        <f t="shared" si="21"/>
        <v>4.9999999999999822E-2</v>
      </c>
      <c r="AN78" s="20">
        <f t="shared" si="22"/>
        <v>3.0000000000000027E-2</v>
      </c>
      <c r="AO78" s="20">
        <f t="shared" si="23"/>
        <v>-8.0000000000000071E-2</v>
      </c>
      <c r="AP78" s="20">
        <f t="shared" si="24"/>
        <v>0</v>
      </c>
      <c r="AQ78" s="20">
        <f t="shared" si="25"/>
        <v>-7.0000000000000284E-2</v>
      </c>
      <c r="AR78" s="20">
        <f t="shared" si="26"/>
        <v>-0.12000000000000011</v>
      </c>
    </row>
    <row r="79" spans="1:44" s="20" customFormat="1">
      <c r="A79" s="9">
        <f>Operational!Q79</f>
        <v>65.89</v>
      </c>
      <c r="B79" s="20">
        <f>Operational!R79</f>
        <v>1273.9349999999999</v>
      </c>
      <c r="C79" s="20">
        <f>Operational!S79</f>
        <v>1293.8109999999999</v>
      </c>
      <c r="D79" s="20">
        <f>Operational!T79</f>
        <v>1314.4929999999999</v>
      </c>
      <c r="E79" s="20">
        <f>Operational!U79</f>
        <v>1333.8820000000001</v>
      </c>
      <c r="G79" s="15">
        <f>Maximum!Q79</f>
        <v>5.54</v>
      </c>
      <c r="H79" s="20">
        <f>Maximum!R79</f>
        <v>1269.2090000000001</v>
      </c>
      <c r="I79" s="20">
        <f>Maximum!S79</f>
        <v>1289.0999999999999</v>
      </c>
      <c r="J79" s="20">
        <f>Maximum!T79</f>
        <v>1309.778</v>
      </c>
      <c r="K79" s="20">
        <f>Maximum!U79</f>
        <v>1329.1079999999999</v>
      </c>
      <c r="V79" s="9">
        <f t="shared" si="18"/>
        <v>65.89</v>
      </c>
      <c r="W79" s="20">
        <f>Operational!V79</f>
        <v>1.06</v>
      </c>
      <c r="X79" s="20">
        <f>Operational!W79</f>
        <v>0.89</v>
      </c>
      <c r="Y79" s="20">
        <f>Operational!X79</f>
        <v>2.2200000000000002</v>
      </c>
      <c r="Z79" s="20">
        <f>Operational!Y79</f>
        <v>1.72</v>
      </c>
      <c r="AA79" s="20">
        <f>Operational!AD79</f>
        <v>200</v>
      </c>
      <c r="AB79" s="20">
        <f>Operational!AE79</f>
        <v>200</v>
      </c>
      <c r="AC79" s="20">
        <f>Operational!AF79</f>
        <v>200</v>
      </c>
      <c r="AD79" s="20">
        <f>Operational!AG79</f>
        <v>200</v>
      </c>
      <c r="AE79" s="15">
        <f>Maximum!Q79</f>
        <v>5.54</v>
      </c>
      <c r="AF79" s="20">
        <f>Maximum!AD79</f>
        <v>399</v>
      </c>
      <c r="AG79" s="20">
        <f>Maximum!V79</f>
        <v>8.9700000000000006</v>
      </c>
      <c r="AH79" s="20">
        <f>Maximum!W79</f>
        <v>8.6999999999999993</v>
      </c>
      <c r="AI79" s="20">
        <f>Maximum!X79</f>
        <v>9.51</v>
      </c>
      <c r="AJ79" s="20">
        <f>Maximum!Y79</f>
        <v>6.82</v>
      </c>
      <c r="AK79" s="20">
        <f t="shared" si="19"/>
        <v>7.9999999999999849E-2</v>
      </c>
      <c r="AL79" s="20">
        <f t="shared" si="20"/>
        <v>-2.0000000000000018E-2</v>
      </c>
      <c r="AM79" s="20">
        <f t="shared" si="21"/>
        <v>-1.0000000000000231E-2</v>
      </c>
      <c r="AN79" s="20">
        <f t="shared" si="22"/>
        <v>7.0000000000000062E-2</v>
      </c>
      <c r="AO79" s="20">
        <f t="shared" si="23"/>
        <v>-7.0000000000000284E-2</v>
      </c>
      <c r="AP79" s="20">
        <f t="shared" si="24"/>
        <v>-9.9999999999997868E-3</v>
      </c>
      <c r="AQ79" s="20">
        <f t="shared" si="25"/>
        <v>-2.9999999999999361E-2</v>
      </c>
      <c r="AR79" s="20">
        <f t="shared" si="26"/>
        <v>4.9999999999999822E-2</v>
      </c>
    </row>
    <row r="80" spans="1:44" s="20" customFormat="1">
      <c r="A80" s="9">
        <f>Operational!Q80</f>
        <v>66.75</v>
      </c>
      <c r="B80" s="20">
        <f>Operational!R80</f>
        <v>1274.0229999999999</v>
      </c>
      <c r="C80" s="20">
        <f>Operational!S80</f>
        <v>1293.9010000000001</v>
      </c>
      <c r="D80" s="20">
        <f>Operational!T80</f>
        <v>1314.579</v>
      </c>
      <c r="E80" s="20">
        <f>Operational!U80</f>
        <v>1333.9680000000001</v>
      </c>
      <c r="G80" s="15">
        <f>Maximum!Q80</f>
        <v>4.6900000000000004</v>
      </c>
      <c r="H80" s="20">
        <f>Maximum!R80</f>
        <v>1269.133</v>
      </c>
      <c r="I80" s="20">
        <f>Maximum!S80</f>
        <v>1289.0239999999999</v>
      </c>
      <c r="J80" s="20">
        <f>Maximum!T80</f>
        <v>1309.702</v>
      </c>
      <c r="K80" s="20">
        <f>Maximum!U80</f>
        <v>1329.0319999999999</v>
      </c>
      <c r="V80" s="9">
        <f t="shared" si="18"/>
        <v>66.75</v>
      </c>
      <c r="W80" s="20">
        <f>Operational!V80</f>
        <v>1</v>
      </c>
      <c r="X80" s="20">
        <f>Operational!W80</f>
        <v>0.82</v>
      </c>
      <c r="Y80" s="20">
        <f>Operational!X80</f>
        <v>2.2400000000000002</v>
      </c>
      <c r="Z80" s="20">
        <f>Operational!Y80</f>
        <v>1.7</v>
      </c>
      <c r="AA80" s="20">
        <f>Operational!AD80</f>
        <v>202</v>
      </c>
      <c r="AB80" s="20">
        <f>Operational!AE80</f>
        <v>203</v>
      </c>
      <c r="AC80" s="20">
        <f>Operational!AF80</f>
        <v>202</v>
      </c>
      <c r="AD80" s="20">
        <f>Operational!AG80</f>
        <v>203</v>
      </c>
      <c r="AE80" s="15">
        <f>Maximum!Q80</f>
        <v>4.6900000000000004</v>
      </c>
      <c r="AF80" s="20">
        <f>Maximum!AD80</f>
        <v>399</v>
      </c>
      <c r="AG80" s="20">
        <f>Maximum!V80</f>
        <v>9.07</v>
      </c>
      <c r="AH80" s="20">
        <f>Maximum!W80</f>
        <v>8.7100000000000009</v>
      </c>
      <c r="AI80" s="20">
        <f>Maximum!X80</f>
        <v>9.6</v>
      </c>
      <c r="AJ80" s="20">
        <f>Maximum!Y80</f>
        <v>6.84</v>
      </c>
      <c r="AK80" s="20">
        <f t="shared" si="19"/>
        <v>6.0000000000000053E-2</v>
      </c>
      <c r="AL80" s="20">
        <f t="shared" si="20"/>
        <v>7.0000000000000062E-2</v>
      </c>
      <c r="AM80" s="20">
        <f t="shared" si="21"/>
        <v>-2.0000000000000018E-2</v>
      </c>
      <c r="AN80" s="20">
        <f t="shared" si="22"/>
        <v>2.0000000000000018E-2</v>
      </c>
      <c r="AO80" s="20">
        <f t="shared" si="23"/>
        <v>-9.9999999999999645E-2</v>
      </c>
      <c r="AP80" s="20">
        <f t="shared" si="24"/>
        <v>-1.0000000000001563E-2</v>
      </c>
      <c r="AQ80" s="20">
        <f t="shared" si="25"/>
        <v>-8.9999999999999858E-2</v>
      </c>
      <c r="AR80" s="20">
        <f t="shared" si="26"/>
        <v>-1.9999999999999574E-2</v>
      </c>
    </row>
    <row r="81" spans="1:44" s="20" customFormat="1">
      <c r="A81" s="9">
        <f>Operational!Q81</f>
        <v>67.569999999999993</v>
      </c>
      <c r="B81" s="20">
        <f>Operational!R81</f>
        <v>1274.115</v>
      </c>
      <c r="C81" s="20">
        <f>Operational!S81</f>
        <v>1293.99</v>
      </c>
      <c r="D81" s="20">
        <f>Operational!T81</f>
        <v>1314.6679999999999</v>
      </c>
      <c r="E81" s="20">
        <f>Operational!U81</f>
        <v>1334.059</v>
      </c>
      <c r="G81" s="15">
        <f>Maximum!Q81</f>
        <v>3.91</v>
      </c>
      <c r="H81" s="20">
        <f>Maximum!R81</f>
        <v>1269.056</v>
      </c>
      <c r="I81" s="20">
        <f>Maximum!S81</f>
        <v>1288.9459999999999</v>
      </c>
      <c r="J81" s="20">
        <f>Maximum!T81</f>
        <v>1309.624</v>
      </c>
      <c r="K81" s="20">
        <f>Maximum!U81</f>
        <v>1328.953</v>
      </c>
      <c r="V81" s="9">
        <f t="shared" si="18"/>
        <v>67.569999999999993</v>
      </c>
      <c r="W81" s="20">
        <f>Operational!V81</f>
        <v>1.01</v>
      </c>
      <c r="X81" s="20">
        <f>Operational!W81</f>
        <v>0.81</v>
      </c>
      <c r="Y81" s="20">
        <f>Operational!X81</f>
        <v>2.2799999999999998</v>
      </c>
      <c r="Z81" s="20">
        <f>Operational!Y81</f>
        <v>1.69</v>
      </c>
      <c r="AA81" s="20">
        <f>Operational!AD81</f>
        <v>205</v>
      </c>
      <c r="AB81" s="20">
        <f>Operational!AE81</f>
        <v>205</v>
      </c>
      <c r="AC81" s="20">
        <f>Operational!AF81</f>
        <v>205</v>
      </c>
      <c r="AD81" s="20">
        <f>Operational!AG81</f>
        <v>205</v>
      </c>
      <c r="AE81" s="15">
        <f>Maximum!Q81</f>
        <v>3.91</v>
      </c>
      <c r="AF81" s="20">
        <f>Maximum!AD81</f>
        <v>399</v>
      </c>
      <c r="AG81" s="20">
        <f>Maximum!V81</f>
        <v>9.19</v>
      </c>
      <c r="AH81" s="20">
        <f>Maximum!W81</f>
        <v>8.77</v>
      </c>
      <c r="AI81" s="20">
        <f>Maximum!X81</f>
        <v>9.6</v>
      </c>
      <c r="AJ81" s="20">
        <f>Maximum!Y81</f>
        <v>6.91</v>
      </c>
      <c r="AK81" s="20">
        <f t="shared" si="19"/>
        <v>-1.0000000000000009E-2</v>
      </c>
      <c r="AL81" s="20">
        <f t="shared" si="20"/>
        <v>9.9999999999998979E-3</v>
      </c>
      <c r="AM81" s="20">
        <f t="shared" si="21"/>
        <v>-3.9999999999999591E-2</v>
      </c>
      <c r="AN81" s="20">
        <f t="shared" si="22"/>
        <v>1.0000000000000009E-2</v>
      </c>
      <c r="AO81" s="20">
        <f t="shared" si="23"/>
        <v>-0.11999999999999922</v>
      </c>
      <c r="AP81" s="20">
        <f t="shared" si="24"/>
        <v>-5.9999999999998721E-2</v>
      </c>
      <c r="AQ81" s="20">
        <f t="shared" si="25"/>
        <v>0</v>
      </c>
      <c r="AR81" s="20">
        <f t="shared" si="26"/>
        <v>-7.0000000000000284E-2</v>
      </c>
    </row>
    <row r="82" spans="1:44" s="20" customFormat="1">
      <c r="A82" s="9">
        <f>Operational!Q82</f>
        <v>68.42</v>
      </c>
      <c r="B82" s="20">
        <f>Operational!R82</f>
        <v>1274.2059999999999</v>
      </c>
      <c r="C82" s="20">
        <f>Operational!S82</f>
        <v>1294.0820000000001</v>
      </c>
      <c r="D82" s="20">
        <f>Operational!T82</f>
        <v>1314.759</v>
      </c>
      <c r="E82" s="20">
        <f>Operational!U82</f>
        <v>1334.1510000000001</v>
      </c>
      <c r="G82" s="15">
        <f>Maximum!Q82</f>
        <v>3.06</v>
      </c>
      <c r="H82" s="20">
        <f>Maximum!R82</f>
        <v>1268.982</v>
      </c>
      <c r="I82" s="20">
        <f>Maximum!S82</f>
        <v>1288.8720000000001</v>
      </c>
      <c r="J82" s="20">
        <f>Maximum!T82</f>
        <v>1309.55</v>
      </c>
      <c r="K82" s="20">
        <f>Maximum!U82</f>
        <v>1328.8779999999999</v>
      </c>
      <c r="V82" s="9">
        <f t="shared" si="18"/>
        <v>68.42</v>
      </c>
      <c r="W82" s="20">
        <f>Operational!V82</f>
        <v>0.97</v>
      </c>
      <c r="X82" s="20">
        <f>Operational!W82</f>
        <v>0.84</v>
      </c>
      <c r="Y82" s="20">
        <f>Operational!X82</f>
        <v>2.33</v>
      </c>
      <c r="Z82" s="20">
        <f>Operational!Y82</f>
        <v>1.69</v>
      </c>
      <c r="AA82" s="20">
        <f>Operational!AD82</f>
        <v>208</v>
      </c>
      <c r="AB82" s="20">
        <f>Operational!AE82</f>
        <v>208</v>
      </c>
      <c r="AC82" s="20">
        <f>Operational!AF82</f>
        <v>208</v>
      </c>
      <c r="AD82" s="20">
        <f>Operational!AG82</f>
        <v>208</v>
      </c>
      <c r="AE82" s="15">
        <f>Maximum!Q82</f>
        <v>3.06</v>
      </c>
      <c r="AF82" s="20">
        <f>Maximum!AD82</f>
        <v>399</v>
      </c>
      <c r="AG82" s="20">
        <f>Maximum!V82</f>
        <v>9.15</v>
      </c>
      <c r="AH82" s="20">
        <f>Maximum!W82</f>
        <v>8.73</v>
      </c>
      <c r="AI82" s="20">
        <f>Maximum!X82</f>
        <v>9.6199999999999992</v>
      </c>
      <c r="AJ82" s="20">
        <f>Maximum!Y82</f>
        <v>6.96</v>
      </c>
      <c r="AK82" s="20">
        <f t="shared" si="19"/>
        <v>4.0000000000000036E-2</v>
      </c>
      <c r="AL82" s="20">
        <f t="shared" si="20"/>
        <v>-2.9999999999999916E-2</v>
      </c>
      <c r="AM82" s="20">
        <f t="shared" si="21"/>
        <v>-5.0000000000000266E-2</v>
      </c>
      <c r="AN82" s="20">
        <f t="shared" si="22"/>
        <v>0</v>
      </c>
      <c r="AO82" s="20">
        <f t="shared" si="23"/>
        <v>3.9999999999999147E-2</v>
      </c>
      <c r="AP82" s="20">
        <f t="shared" si="24"/>
        <v>3.9999999999999147E-2</v>
      </c>
      <c r="AQ82" s="20">
        <f t="shared" si="25"/>
        <v>-1.9999999999999574E-2</v>
      </c>
      <c r="AR82" s="20">
        <f t="shared" si="26"/>
        <v>-4.9999999999999822E-2</v>
      </c>
    </row>
    <row r="83" spans="1:44" s="20" customFormat="1">
      <c r="A83" s="9">
        <f>Operational!Q83</f>
        <v>69.28</v>
      </c>
      <c r="B83" s="20">
        <f>Operational!R83</f>
        <v>1274.296</v>
      </c>
      <c r="C83" s="20">
        <f>Operational!S83</f>
        <v>1294.173</v>
      </c>
      <c r="D83" s="20">
        <f>Operational!T83</f>
        <v>1314.847</v>
      </c>
      <c r="E83" s="20">
        <f>Operational!U83</f>
        <v>1334.242</v>
      </c>
      <c r="G83" s="15">
        <f>Maximum!Q83</f>
        <v>2.2999999999999998</v>
      </c>
      <c r="H83" s="20">
        <f>Maximum!R83</f>
        <v>1268.902</v>
      </c>
      <c r="I83" s="20">
        <f>Maximum!S83</f>
        <v>1288.7909999999999</v>
      </c>
      <c r="J83" s="20">
        <f>Maximum!T83</f>
        <v>1309.47</v>
      </c>
      <c r="K83" s="20">
        <f>Maximum!U83</f>
        <v>1328.796</v>
      </c>
      <c r="V83" s="9">
        <f t="shared" si="18"/>
        <v>69.28</v>
      </c>
      <c r="W83" s="20">
        <f>Operational!V83</f>
        <v>1.04</v>
      </c>
      <c r="X83" s="20">
        <f>Operational!W83</f>
        <v>0.79</v>
      </c>
      <c r="Y83" s="20">
        <f>Operational!X83</f>
        <v>2.31</v>
      </c>
      <c r="Z83" s="20">
        <f>Operational!Y83</f>
        <v>1.77</v>
      </c>
      <c r="AA83" s="20">
        <f>Operational!AD83</f>
        <v>211</v>
      </c>
      <c r="AB83" s="20">
        <f>Operational!AE83</f>
        <v>211</v>
      </c>
      <c r="AC83" s="20">
        <f>Operational!AF83</f>
        <v>211</v>
      </c>
      <c r="AD83" s="20">
        <f>Operational!AG83</f>
        <v>211</v>
      </c>
      <c r="AE83" s="15">
        <f>Maximum!Q83</f>
        <v>2.2999999999999998</v>
      </c>
      <c r="AF83" s="20">
        <f>Maximum!AD83</f>
        <v>399</v>
      </c>
      <c r="AG83" s="20">
        <f>Maximum!V83</f>
        <v>9.1300000000000008</v>
      </c>
      <c r="AH83" s="20">
        <f>Maximum!W83</f>
        <v>8.8000000000000007</v>
      </c>
      <c r="AI83" s="20">
        <f>Maximum!X83</f>
        <v>9.64</v>
      </c>
      <c r="AJ83" s="20">
        <f>Maximum!Y83</f>
        <v>6.96</v>
      </c>
      <c r="AK83" s="20">
        <f t="shared" si="19"/>
        <v>-7.0000000000000062E-2</v>
      </c>
      <c r="AL83" s="20">
        <f t="shared" si="20"/>
        <v>4.9999999999999933E-2</v>
      </c>
      <c r="AM83" s="20">
        <f t="shared" si="21"/>
        <v>2.0000000000000018E-2</v>
      </c>
      <c r="AN83" s="20">
        <f t="shared" si="22"/>
        <v>-8.0000000000000071E-2</v>
      </c>
      <c r="AO83" s="20">
        <f t="shared" si="23"/>
        <v>1.9999999999999574E-2</v>
      </c>
      <c r="AP83" s="20">
        <f t="shared" si="24"/>
        <v>-7.0000000000000284E-2</v>
      </c>
      <c r="AQ83" s="20">
        <f t="shared" si="25"/>
        <v>-2.000000000000135E-2</v>
      </c>
      <c r="AR83" s="20">
        <f t="shared" si="26"/>
        <v>0</v>
      </c>
    </row>
    <row r="84" spans="1:44" s="20" customFormat="1">
      <c r="A84" s="9">
        <f>Operational!Q84</f>
        <v>70.11</v>
      </c>
      <c r="B84" s="20">
        <f>Operational!R84</f>
        <v>1274.3910000000001</v>
      </c>
      <c r="C84" s="20">
        <f>Operational!S84</f>
        <v>1294.2660000000001</v>
      </c>
      <c r="D84" s="20">
        <f>Operational!T84</f>
        <v>1314.9359999999999</v>
      </c>
      <c r="E84" s="20">
        <f>Operational!U84</f>
        <v>1334.3309999999999</v>
      </c>
      <c r="G84" s="15">
        <f>Maximum!Q84</f>
        <v>1.45</v>
      </c>
      <c r="H84" s="20">
        <f>Maximum!R84</f>
        <v>1268.829</v>
      </c>
      <c r="I84" s="20">
        <f>Maximum!S84</f>
        <v>1288.7170000000001</v>
      </c>
      <c r="J84" s="20">
        <f>Maximum!T84</f>
        <v>1309.3979999999999</v>
      </c>
      <c r="K84" s="20">
        <f>Maximum!U84</f>
        <v>1328.722</v>
      </c>
      <c r="V84" s="9">
        <f t="shared" si="18"/>
        <v>70.11</v>
      </c>
      <c r="W84" s="20">
        <f>Operational!V84</f>
        <v>1.06</v>
      </c>
      <c r="X84" s="20">
        <f>Operational!W84</f>
        <v>0.82</v>
      </c>
      <c r="Y84" s="20">
        <f>Operational!X84</f>
        <v>2.29</v>
      </c>
      <c r="Z84" s="20">
        <f>Operational!Y84</f>
        <v>1.67</v>
      </c>
      <c r="AA84" s="20">
        <f>Operational!AD84</f>
        <v>214</v>
      </c>
      <c r="AB84" s="20">
        <f>Operational!AE84</f>
        <v>213</v>
      </c>
      <c r="AC84" s="20">
        <f>Operational!AF84</f>
        <v>214</v>
      </c>
      <c r="AD84" s="20">
        <f>Operational!AG84</f>
        <v>213</v>
      </c>
      <c r="AE84" s="15">
        <f>Maximum!Q84</f>
        <v>1.45</v>
      </c>
      <c r="AF84" s="20">
        <f>Maximum!AD84</f>
        <v>399</v>
      </c>
      <c r="AG84" s="20">
        <f>Maximum!V84</f>
        <v>9.1300000000000008</v>
      </c>
      <c r="AH84" s="20">
        <f>Maximum!W84</f>
        <v>8.76</v>
      </c>
      <c r="AI84" s="20">
        <f>Maximum!X84</f>
        <v>9.6999999999999993</v>
      </c>
      <c r="AJ84" s="20">
        <f>Maximum!Y84</f>
        <v>7.01</v>
      </c>
      <c r="AK84" s="20">
        <f t="shared" si="19"/>
        <v>-2.0000000000000018E-2</v>
      </c>
      <c r="AL84" s="20">
        <f t="shared" si="20"/>
        <v>-2.9999999999999916E-2</v>
      </c>
      <c r="AM84" s="20">
        <f t="shared" si="21"/>
        <v>2.0000000000000018E-2</v>
      </c>
      <c r="AN84" s="20">
        <f t="shared" si="22"/>
        <v>0.10000000000000009</v>
      </c>
      <c r="AO84" s="20">
        <f t="shared" si="23"/>
        <v>0</v>
      </c>
      <c r="AP84" s="20">
        <f t="shared" si="24"/>
        <v>4.0000000000000924E-2</v>
      </c>
      <c r="AQ84" s="20">
        <f t="shared" si="25"/>
        <v>-5.9999999999998721E-2</v>
      </c>
      <c r="AR84" s="20">
        <f t="shared" si="26"/>
        <v>-4.9999999999999822E-2</v>
      </c>
    </row>
    <row r="85" spans="1:44" s="20" customFormat="1">
      <c r="A85" s="9"/>
      <c r="G85" s="15">
        <f>Maximum!Q85</f>
        <v>0.65</v>
      </c>
      <c r="H85" s="20">
        <f>Maximum!R85</f>
        <v>1268.7539999999999</v>
      </c>
      <c r="I85" s="20">
        <f>Maximum!S85</f>
        <v>1288.6410000000001</v>
      </c>
      <c r="J85" s="20">
        <f>Maximum!T85</f>
        <v>1309.3230000000001</v>
      </c>
      <c r="K85" s="20">
        <f>Maximum!U85</f>
        <v>1328.645</v>
      </c>
      <c r="V85" s="9"/>
      <c r="AE85" s="15">
        <f>Maximum!Q85</f>
        <v>0.65</v>
      </c>
      <c r="AF85" s="20">
        <f>Maximum!AD85</f>
        <v>399</v>
      </c>
      <c r="AG85" s="20">
        <f>Maximum!V85</f>
        <v>9.17</v>
      </c>
      <c r="AH85" s="20">
        <f>Maximum!W85</f>
        <v>8.8000000000000007</v>
      </c>
      <c r="AI85" s="20">
        <f>Maximum!X85</f>
        <v>9.68</v>
      </c>
      <c r="AJ85" s="20">
        <f>Maximum!Y85</f>
        <v>6.98</v>
      </c>
      <c r="AK85" s="20">
        <f t="shared" si="19"/>
        <v>1.06</v>
      </c>
      <c r="AL85" s="20">
        <f t="shared" si="20"/>
        <v>0.82</v>
      </c>
      <c r="AM85" s="20">
        <f t="shared" si="21"/>
        <v>2.29</v>
      </c>
      <c r="AN85" s="20">
        <f t="shared" si="22"/>
        <v>1.67</v>
      </c>
      <c r="AO85" s="20">
        <f t="shared" si="23"/>
        <v>-3.9999999999999147E-2</v>
      </c>
      <c r="AP85" s="20">
        <f t="shared" si="24"/>
        <v>-4.0000000000000924E-2</v>
      </c>
      <c r="AQ85" s="20">
        <f t="shared" si="25"/>
        <v>1.9999999999999574E-2</v>
      </c>
      <c r="AR85" s="20">
        <f t="shared" si="26"/>
        <v>2.9999999999999361E-2</v>
      </c>
    </row>
    <row r="86" spans="1:44" s="20" customFormat="1">
      <c r="A86" s="9"/>
      <c r="G86" s="15">
        <f>Maximum!Q86</f>
        <v>-0.16</v>
      </c>
      <c r="H86" s="20">
        <f>Maximum!R86</f>
        <v>1268.6780000000001</v>
      </c>
      <c r="I86" s="20">
        <f>Maximum!S86</f>
        <v>1288.5640000000001</v>
      </c>
      <c r="J86" s="20">
        <f>Maximum!T86</f>
        <v>1309.2449999999999</v>
      </c>
      <c r="K86" s="20">
        <f>Maximum!U86</f>
        <v>1328.566</v>
      </c>
      <c r="V86" s="9"/>
      <c r="AE86" s="15">
        <f>Maximum!Q86</f>
        <v>-0.16</v>
      </c>
      <c r="AF86" s="20">
        <f>Maximum!AD86</f>
        <v>399</v>
      </c>
      <c r="AG86" s="20">
        <f>Maximum!V86</f>
        <v>9.1999999999999993</v>
      </c>
      <c r="AH86" s="20">
        <f>Maximum!W86</f>
        <v>8.83</v>
      </c>
      <c r="AI86" s="20">
        <f>Maximum!X86</f>
        <v>9.7200000000000006</v>
      </c>
      <c r="AJ86" s="20">
        <f>Maximum!Y86</f>
        <v>7.02</v>
      </c>
      <c r="AK86" s="20">
        <f t="shared" si="19"/>
        <v>0</v>
      </c>
      <c r="AL86" s="20">
        <f t="shared" si="20"/>
        <v>0</v>
      </c>
      <c r="AM86" s="20">
        <f t="shared" si="21"/>
        <v>0</v>
      </c>
      <c r="AN86" s="20">
        <f t="shared" si="22"/>
        <v>0</v>
      </c>
      <c r="AO86" s="20">
        <f t="shared" si="23"/>
        <v>-2.9999999999999361E-2</v>
      </c>
      <c r="AP86" s="20">
        <f t="shared" si="24"/>
        <v>-2.9999999999999361E-2</v>
      </c>
      <c r="AQ86" s="20">
        <f t="shared" si="25"/>
        <v>-4.0000000000000924E-2</v>
      </c>
      <c r="AR86" s="20">
        <f t="shared" si="26"/>
        <v>-3.9999999999999147E-2</v>
      </c>
    </row>
    <row r="87" spans="1:44">
      <c r="A87" s="9"/>
      <c r="B87" s="20"/>
      <c r="C87" s="20"/>
      <c r="D87" s="20"/>
      <c r="E87" s="20"/>
      <c r="F87" s="20"/>
      <c r="G87" s="15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9"/>
      <c r="W87" s="20"/>
      <c r="X87" s="20"/>
      <c r="Y87" s="20"/>
      <c r="Z87" s="20"/>
      <c r="AA87" s="20"/>
      <c r="AB87" s="20"/>
      <c r="AC87" s="20"/>
      <c r="AD87" s="20"/>
      <c r="AE87" s="15">
        <f>Maximum!Q87</f>
        <v>0</v>
      </c>
      <c r="AF87" s="20">
        <f>Maximum!AD87</f>
        <v>399</v>
      </c>
      <c r="AG87" s="20">
        <f>Maximum!V87</f>
        <v>0</v>
      </c>
      <c r="AH87" s="20">
        <f>Maximum!W87</f>
        <v>0</v>
      </c>
      <c r="AI87" s="20">
        <f>Maximum!X87</f>
        <v>0</v>
      </c>
      <c r="AJ87" s="20">
        <f>Maximum!Y87</f>
        <v>0</v>
      </c>
      <c r="AK87" s="20">
        <f t="shared" si="19"/>
        <v>0</v>
      </c>
      <c r="AL87" s="20">
        <f t="shared" si="20"/>
        <v>0</v>
      </c>
      <c r="AM87" s="20">
        <f t="shared" si="21"/>
        <v>0</v>
      </c>
      <c r="AN87" s="20">
        <f t="shared" si="22"/>
        <v>0</v>
      </c>
      <c r="AO87" s="20">
        <f t="shared" si="23"/>
        <v>9.1999999999999993</v>
      </c>
      <c r="AP87" s="20">
        <f t="shared" si="24"/>
        <v>8.83</v>
      </c>
      <c r="AQ87" s="20">
        <f t="shared" si="25"/>
        <v>9.7200000000000006</v>
      </c>
      <c r="AR87" s="20">
        <f t="shared" si="26"/>
        <v>7.02</v>
      </c>
    </row>
    <row r="88" spans="1:44">
      <c r="A88" s="9"/>
      <c r="B88" s="20"/>
      <c r="C88" s="20"/>
      <c r="D88" s="20"/>
      <c r="E88" s="20"/>
      <c r="F88" s="20"/>
      <c r="G88" s="15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9"/>
      <c r="W88" s="20"/>
      <c r="X88" s="20"/>
      <c r="Y88" s="20"/>
      <c r="Z88" s="20"/>
      <c r="AA88" s="20"/>
      <c r="AB88" s="20"/>
      <c r="AC88" s="20"/>
      <c r="AD88" s="20"/>
      <c r="AE88" s="15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</row>
    <row r="89" spans="1:44">
      <c r="A89" s="9"/>
      <c r="B89" s="20"/>
      <c r="C89" s="20"/>
      <c r="D89" s="20"/>
      <c r="E89" s="20"/>
      <c r="F89" s="20"/>
      <c r="G89" s="15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9"/>
      <c r="W89" s="20"/>
      <c r="X89" s="20"/>
      <c r="Y89" s="20"/>
      <c r="Z89" s="20"/>
      <c r="AA89" s="20"/>
      <c r="AB89" s="20"/>
      <c r="AC89" s="20"/>
      <c r="AD89" s="20"/>
      <c r="AE89" s="15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</row>
    <row r="90" spans="1:44">
      <c r="A90" s="9"/>
      <c r="B90" s="20"/>
      <c r="C90" s="20"/>
      <c r="D90" s="20"/>
      <c r="E90" s="20"/>
      <c r="F90" s="20"/>
      <c r="G90" s="15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9"/>
      <c r="W90" s="20"/>
      <c r="X90" s="20"/>
      <c r="Y90" s="20"/>
      <c r="Z90" s="20"/>
      <c r="AA90" s="20"/>
      <c r="AB90" s="20"/>
      <c r="AC90" s="20"/>
      <c r="AD90" s="20"/>
      <c r="AE90" s="15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</row>
    <row r="91" spans="1:44">
      <c r="A91" s="9"/>
      <c r="B91" s="20"/>
      <c r="C91" s="20"/>
      <c r="D91" s="20"/>
      <c r="E91" s="20"/>
      <c r="F91" s="20"/>
      <c r="G91" s="15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9"/>
      <c r="W91" s="20"/>
      <c r="X91" s="20"/>
      <c r="Y91" s="20"/>
      <c r="Z91" s="20"/>
      <c r="AA91" s="20"/>
      <c r="AB91" s="20"/>
      <c r="AC91" s="20"/>
      <c r="AD91" s="20"/>
      <c r="AE91" s="15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</row>
    <row r="92" spans="1:44">
      <c r="A92" s="9"/>
      <c r="B92" s="20"/>
      <c r="C92" s="20"/>
      <c r="D92" s="20"/>
      <c r="E92" s="20"/>
      <c r="F92" s="20"/>
      <c r="G92" s="15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9"/>
      <c r="W92" s="20"/>
      <c r="X92" s="20"/>
      <c r="Y92" s="20"/>
      <c r="Z92" s="20"/>
      <c r="AA92" s="20"/>
      <c r="AB92" s="20"/>
      <c r="AC92" s="20"/>
      <c r="AD92" s="20"/>
      <c r="AE92" s="15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</row>
    <row r="93" spans="1:44">
      <c r="A93" s="9"/>
      <c r="B93" s="20"/>
      <c r="C93" s="20"/>
      <c r="D93" s="20"/>
      <c r="E93" s="20"/>
      <c r="F93" s="20"/>
      <c r="G93" s="15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9"/>
      <c r="W93" s="20"/>
      <c r="X93" s="20"/>
      <c r="Y93" s="20"/>
      <c r="Z93" s="20"/>
      <c r="AA93" s="20"/>
      <c r="AB93" s="20"/>
      <c r="AC93" s="20"/>
      <c r="AD93" s="20"/>
      <c r="AE93" s="15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</row>
    <row r="94" spans="1:44">
      <c r="A94" s="9"/>
      <c r="B94" s="20"/>
      <c r="C94" s="20"/>
      <c r="D94" s="20"/>
      <c r="E94" s="20"/>
      <c r="F94" s="20"/>
      <c r="G94" s="15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9"/>
      <c r="W94" s="20"/>
      <c r="X94" s="20"/>
      <c r="Y94" s="20"/>
      <c r="Z94" s="20"/>
      <c r="AA94" s="20"/>
      <c r="AB94" s="20"/>
      <c r="AC94" s="20"/>
      <c r="AD94" s="20"/>
      <c r="AE94" s="15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</row>
    <row r="95" spans="1:44">
      <c r="A95" s="9"/>
      <c r="B95" s="20"/>
      <c r="C95" s="20"/>
      <c r="D95" s="20"/>
      <c r="E95" s="20"/>
      <c r="F95" s="20"/>
      <c r="G95" s="15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9"/>
      <c r="W95" s="20"/>
      <c r="X95" s="20"/>
      <c r="Y95" s="20"/>
      <c r="Z95" s="20"/>
      <c r="AA95" s="20"/>
      <c r="AB95" s="20"/>
      <c r="AC95" s="20"/>
      <c r="AD95" s="20"/>
      <c r="AE95" s="15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</row>
    <row r="96" spans="1:44">
      <c r="A96" s="9"/>
      <c r="B96" s="20"/>
      <c r="C96" s="20"/>
      <c r="D96" s="20"/>
      <c r="E96" s="20"/>
      <c r="F96" s="20"/>
      <c r="G96" s="15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9"/>
      <c r="W96" s="20"/>
      <c r="X96" s="20"/>
      <c r="Y96" s="20"/>
      <c r="Z96" s="20"/>
      <c r="AA96" s="20"/>
      <c r="AB96" s="20"/>
      <c r="AC96" s="20"/>
      <c r="AD96" s="20"/>
      <c r="AE96" s="15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</row>
    <row r="97" spans="1:44">
      <c r="A97" s="9"/>
      <c r="B97" s="20"/>
      <c r="C97" s="20"/>
      <c r="D97" s="20"/>
      <c r="E97" s="20"/>
      <c r="F97" s="20"/>
      <c r="G97" s="15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9"/>
      <c r="W97" s="20"/>
      <c r="X97" s="20"/>
      <c r="Y97" s="20"/>
      <c r="Z97" s="20"/>
      <c r="AA97" s="20"/>
      <c r="AB97" s="20"/>
      <c r="AC97" s="20"/>
      <c r="AD97" s="20"/>
      <c r="AE97" s="15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</row>
    <row r="98" spans="1:44">
      <c r="A98" s="9"/>
      <c r="B98" s="20"/>
      <c r="C98" s="20"/>
      <c r="D98" s="20"/>
      <c r="E98" s="20"/>
      <c r="F98" s="20"/>
      <c r="G98" s="15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9"/>
      <c r="W98" s="20"/>
      <c r="X98" s="20"/>
      <c r="Y98" s="20"/>
      <c r="Z98" s="20"/>
      <c r="AA98" s="20"/>
      <c r="AB98" s="20"/>
      <c r="AC98" s="20"/>
      <c r="AD98" s="20"/>
      <c r="AE98" s="15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</row>
    <row r="99" spans="1:44">
      <c r="A99" s="9"/>
      <c r="B99" s="20"/>
      <c r="C99" s="20"/>
      <c r="D99" s="20"/>
      <c r="E99" s="20"/>
      <c r="F99" s="20"/>
      <c r="G99" s="15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9"/>
      <c r="W99" s="20"/>
      <c r="X99" s="20"/>
      <c r="Y99" s="20"/>
      <c r="Z99" s="20"/>
      <c r="AA99" s="20"/>
      <c r="AB99" s="20"/>
      <c r="AC99" s="20"/>
      <c r="AD99" s="20"/>
      <c r="AE99" s="15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</row>
    <row r="100" spans="1:44" s="9" customFormat="1">
      <c r="B100" s="20"/>
      <c r="C100" s="20"/>
      <c r="D100" s="20"/>
      <c r="E100" s="20"/>
      <c r="F100" s="20"/>
      <c r="G100" s="15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W100" s="20"/>
      <c r="X100" s="20"/>
      <c r="Y100" s="20"/>
      <c r="Z100" s="20"/>
      <c r="AA100" s="20"/>
      <c r="AB100" s="20"/>
      <c r="AC100" s="20"/>
      <c r="AD100" s="20"/>
      <c r="AE100" s="15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</row>
    <row r="101" spans="1:44" s="20" customFormat="1">
      <c r="A101" s="9"/>
      <c r="G101" s="15"/>
      <c r="V101" s="9"/>
      <c r="AE101" s="15"/>
    </row>
    <row r="102" spans="1:44" s="20" customFormat="1">
      <c r="A102" s="9"/>
      <c r="G102" s="15"/>
      <c r="V102" s="9"/>
      <c r="AE102" s="15"/>
    </row>
    <row r="103" spans="1:44" s="20" customFormat="1">
      <c r="A103" s="9"/>
      <c r="G103" s="15"/>
      <c r="V103" s="9"/>
      <c r="AE103" s="15"/>
    </row>
    <row r="104" spans="1:44" s="20" customFormat="1">
      <c r="A104" s="9"/>
      <c r="G104" s="15"/>
      <c r="V104" s="9"/>
      <c r="AE104" s="15"/>
    </row>
    <row r="105" spans="1:44" s="20" customFormat="1">
      <c r="A105" s="9"/>
      <c r="G105" s="15"/>
      <c r="V105" s="9"/>
      <c r="AE105" s="15"/>
    </row>
    <row r="106" spans="1:44">
      <c r="A106" s="9"/>
      <c r="B106" s="20"/>
      <c r="C106" s="20"/>
      <c r="D106" s="20"/>
      <c r="E106" s="20"/>
      <c r="F106" s="20"/>
      <c r="G106" s="15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9"/>
      <c r="W106" s="20"/>
      <c r="X106" s="20"/>
      <c r="Y106" s="20"/>
      <c r="Z106" s="20"/>
      <c r="AA106" s="20"/>
      <c r="AB106" s="20"/>
      <c r="AC106" s="20"/>
      <c r="AD106" s="20"/>
      <c r="AE106" s="15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</row>
    <row r="107" spans="1:44">
      <c r="A107" s="9"/>
      <c r="B107" s="20"/>
      <c r="C107" s="20"/>
      <c r="D107" s="20"/>
      <c r="E107" s="20"/>
      <c r="F107" s="20"/>
      <c r="G107" s="15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9"/>
      <c r="W107" s="20"/>
      <c r="X107" s="20"/>
      <c r="Y107" s="20"/>
      <c r="Z107" s="20"/>
      <c r="AA107" s="20"/>
      <c r="AB107" s="20"/>
      <c r="AC107" s="20"/>
      <c r="AD107" s="20"/>
      <c r="AE107" s="15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1:44">
      <c r="A108" s="9"/>
      <c r="B108" s="20"/>
      <c r="C108" s="20"/>
      <c r="D108" s="20"/>
      <c r="E108" s="20"/>
      <c r="F108" s="20"/>
      <c r="G108" s="15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9"/>
      <c r="W108" s="20"/>
      <c r="X108" s="20"/>
      <c r="Y108" s="20"/>
      <c r="Z108" s="20"/>
      <c r="AA108" s="20"/>
      <c r="AB108" s="20"/>
      <c r="AC108" s="20"/>
      <c r="AD108" s="20"/>
      <c r="AE108" s="15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</row>
    <row r="109" spans="1:44">
      <c r="A109" s="9"/>
      <c r="B109" s="20"/>
      <c r="C109" s="20"/>
      <c r="D109" s="20"/>
      <c r="E109" s="20"/>
      <c r="F109" s="20"/>
      <c r="G109" s="15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9"/>
      <c r="W109" s="20"/>
      <c r="X109" s="20"/>
      <c r="Y109" s="20"/>
      <c r="Z109" s="20"/>
      <c r="AA109" s="20"/>
      <c r="AB109" s="20"/>
      <c r="AC109" s="20"/>
      <c r="AD109" s="20"/>
      <c r="AE109" s="15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</row>
    <row r="110" spans="1:44">
      <c r="A110" s="9"/>
      <c r="B110" s="20"/>
      <c r="C110" s="20"/>
      <c r="D110" s="20"/>
      <c r="E110" s="20"/>
      <c r="F110" s="20"/>
      <c r="G110" s="15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9"/>
      <c r="W110" s="20"/>
      <c r="X110" s="20"/>
      <c r="Y110" s="20"/>
      <c r="Z110" s="20"/>
      <c r="AA110" s="20"/>
      <c r="AB110" s="20"/>
      <c r="AC110" s="20"/>
      <c r="AD110" s="20"/>
      <c r="AE110" s="15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</row>
    <row r="111" spans="1:44">
      <c r="A111" s="9"/>
      <c r="B111" s="20"/>
      <c r="C111" s="20"/>
      <c r="D111" s="20"/>
      <c r="E111" s="20"/>
      <c r="F111" s="20"/>
      <c r="G111" s="15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9"/>
      <c r="W111" s="20"/>
      <c r="X111" s="20"/>
      <c r="Y111" s="20"/>
      <c r="Z111" s="20"/>
      <c r="AA111" s="20"/>
      <c r="AB111" s="20"/>
      <c r="AC111" s="20"/>
      <c r="AD111" s="20"/>
      <c r="AE111" s="15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</row>
    <row r="112" spans="1:44">
      <c r="A112" s="9"/>
      <c r="B112" s="20"/>
      <c r="C112" s="20"/>
      <c r="D112" s="20"/>
      <c r="E112" s="20"/>
      <c r="F112" s="20"/>
      <c r="G112" s="15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9"/>
      <c r="W112" s="20"/>
      <c r="X112" s="20"/>
      <c r="Y112" s="20"/>
      <c r="Z112" s="20"/>
      <c r="AA112" s="20"/>
      <c r="AB112" s="20"/>
      <c r="AC112" s="20"/>
      <c r="AD112" s="20"/>
      <c r="AE112" s="15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</row>
    <row r="113" spans="1:44">
      <c r="A113" s="9"/>
      <c r="B113" s="20"/>
      <c r="C113" s="20"/>
      <c r="D113" s="20"/>
      <c r="E113" s="20"/>
      <c r="F113" s="20"/>
      <c r="G113" s="15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9"/>
      <c r="W113" s="20"/>
      <c r="X113" s="20"/>
      <c r="Y113" s="20"/>
      <c r="Z113" s="20"/>
      <c r="AA113" s="20"/>
      <c r="AB113" s="20"/>
      <c r="AC113" s="20"/>
      <c r="AD113" s="20"/>
      <c r="AE113" s="15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</row>
    <row r="114" spans="1:44">
      <c r="A114" s="9"/>
      <c r="B114" s="20"/>
      <c r="C114" s="20"/>
      <c r="D114" s="20"/>
      <c r="E114" s="20"/>
      <c r="F114" s="20"/>
      <c r="G114" s="15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9"/>
      <c r="W114" s="20"/>
      <c r="X114" s="20"/>
      <c r="Y114" s="20"/>
      <c r="Z114" s="20"/>
      <c r="AA114" s="20"/>
      <c r="AB114" s="20"/>
      <c r="AC114" s="20"/>
      <c r="AD114" s="20"/>
      <c r="AE114" s="15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</row>
    <row r="115" spans="1:44">
      <c r="A115" s="9"/>
      <c r="B115" s="20"/>
      <c r="C115" s="20"/>
      <c r="D115" s="20"/>
      <c r="E115" s="20"/>
      <c r="F115" s="20"/>
      <c r="G115" s="15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9"/>
      <c r="W115" s="20"/>
      <c r="X115" s="20"/>
      <c r="Y115" s="20"/>
      <c r="Z115" s="20"/>
      <c r="AA115" s="20"/>
      <c r="AB115" s="20"/>
      <c r="AC115" s="20"/>
      <c r="AD115" s="20"/>
      <c r="AE115" s="15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</row>
    <row r="116" spans="1:44">
      <c r="A116" s="9"/>
      <c r="B116" s="20"/>
      <c r="C116" s="20"/>
      <c r="D116" s="20"/>
      <c r="E116" s="20"/>
      <c r="F116" s="20"/>
      <c r="G116" s="15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9"/>
      <c r="W116" s="20"/>
      <c r="X116" s="20"/>
      <c r="Y116" s="20"/>
      <c r="Z116" s="20"/>
      <c r="AA116" s="20"/>
      <c r="AB116" s="20"/>
      <c r="AC116" s="20"/>
      <c r="AD116" s="20"/>
      <c r="AE116" s="15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</row>
    <row r="117" spans="1:44">
      <c r="A117" s="9"/>
      <c r="B117" s="20"/>
      <c r="C117" s="20"/>
      <c r="D117" s="20"/>
      <c r="E117" s="20"/>
      <c r="F117" s="20"/>
      <c r="G117" s="15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9"/>
      <c r="W117" s="20"/>
      <c r="X117" s="20"/>
      <c r="Y117" s="20"/>
      <c r="Z117" s="20"/>
      <c r="AA117" s="20"/>
      <c r="AB117" s="20"/>
      <c r="AC117" s="20"/>
      <c r="AD117" s="20"/>
      <c r="AE117" s="15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</row>
    <row r="118" spans="1:44">
      <c r="A118" s="9"/>
      <c r="B118" s="20"/>
      <c r="C118" s="20"/>
      <c r="D118" s="20"/>
      <c r="E118" s="20"/>
      <c r="F118" s="20"/>
      <c r="G118" s="15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9"/>
      <c r="W118" s="20"/>
      <c r="X118" s="20"/>
      <c r="Y118" s="20"/>
      <c r="Z118" s="20"/>
      <c r="AA118" s="20"/>
      <c r="AB118" s="20"/>
      <c r="AC118" s="20"/>
      <c r="AD118" s="20"/>
      <c r="AE118" s="15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</row>
    <row r="119" spans="1:44">
      <c r="A119" s="9"/>
      <c r="B119" s="20"/>
      <c r="C119" s="20"/>
      <c r="D119" s="20"/>
      <c r="E119" s="20"/>
      <c r="F119" s="20"/>
      <c r="G119" s="15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9"/>
      <c r="W119" s="20"/>
      <c r="X119" s="20"/>
      <c r="Y119" s="20"/>
      <c r="Z119" s="20"/>
      <c r="AA119" s="20"/>
      <c r="AB119" s="20"/>
      <c r="AC119" s="20"/>
      <c r="AD119" s="20"/>
      <c r="AE119" s="15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</row>
    <row r="120" spans="1:44">
      <c r="A120" s="9"/>
      <c r="B120" s="20"/>
      <c r="C120" s="20"/>
      <c r="D120" s="20"/>
      <c r="E120" s="20"/>
      <c r="F120" s="20"/>
      <c r="G120" s="15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9"/>
      <c r="W120" s="20"/>
      <c r="X120" s="20"/>
      <c r="Y120" s="20"/>
      <c r="Z120" s="20"/>
      <c r="AA120" s="20"/>
      <c r="AB120" s="20"/>
      <c r="AC120" s="20"/>
      <c r="AD120" s="20"/>
      <c r="AE120" s="15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</row>
    <row r="121" spans="1:44">
      <c r="A121" s="9"/>
      <c r="B121" s="20"/>
      <c r="C121" s="20"/>
      <c r="D121" s="20"/>
      <c r="E121" s="20"/>
      <c r="F121" s="20"/>
      <c r="G121" s="15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9"/>
      <c r="W121" s="20"/>
      <c r="X121" s="20"/>
      <c r="Y121" s="20"/>
      <c r="Z121" s="20"/>
      <c r="AA121" s="20"/>
      <c r="AB121" s="20"/>
      <c r="AC121" s="20"/>
      <c r="AD121" s="20"/>
      <c r="AE121" s="15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</row>
    <row r="122" spans="1:44">
      <c r="A122" s="9"/>
      <c r="B122" s="20"/>
      <c r="C122" s="20"/>
      <c r="D122" s="20"/>
      <c r="E122" s="20"/>
      <c r="F122" s="20"/>
      <c r="G122" s="15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9"/>
      <c r="W122" s="20"/>
      <c r="X122" s="20"/>
      <c r="Y122" s="20"/>
      <c r="Z122" s="20"/>
      <c r="AA122" s="20"/>
      <c r="AB122" s="20"/>
      <c r="AC122" s="20"/>
      <c r="AD122" s="20"/>
      <c r="AE122" s="15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</row>
    <row r="123" spans="1:44">
      <c r="A123" s="9"/>
      <c r="B123" s="20"/>
      <c r="C123" s="20"/>
      <c r="D123" s="20"/>
      <c r="E123" s="20"/>
      <c r="F123" s="20"/>
      <c r="G123" s="15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9"/>
      <c r="W123" s="20"/>
      <c r="X123" s="20"/>
      <c r="Y123" s="20"/>
      <c r="Z123" s="20"/>
      <c r="AA123" s="20"/>
      <c r="AB123" s="20"/>
      <c r="AC123" s="20"/>
      <c r="AD123" s="20"/>
      <c r="AE123" s="15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</row>
    <row r="124" spans="1:44">
      <c r="A124" s="9"/>
      <c r="B124" s="20"/>
      <c r="C124" s="20"/>
      <c r="D124" s="20"/>
      <c r="E124" s="20"/>
      <c r="F124" s="20"/>
      <c r="G124" s="15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9"/>
      <c r="W124" s="20"/>
      <c r="X124" s="20"/>
      <c r="Y124" s="20"/>
      <c r="Z124" s="20"/>
      <c r="AA124" s="20"/>
      <c r="AB124" s="20"/>
      <c r="AC124" s="20"/>
      <c r="AD124" s="20"/>
      <c r="AE124" s="15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</row>
    <row r="125" spans="1:44">
      <c r="A125" s="9"/>
      <c r="B125" s="20"/>
      <c r="C125" s="20"/>
      <c r="D125" s="20"/>
      <c r="E125" s="20"/>
      <c r="F125" s="20"/>
      <c r="G125" s="15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9"/>
      <c r="W125" s="20"/>
      <c r="X125" s="20"/>
      <c r="Y125" s="20"/>
      <c r="Z125" s="20"/>
      <c r="AA125" s="20"/>
      <c r="AB125" s="20"/>
      <c r="AC125" s="20"/>
      <c r="AD125" s="20"/>
      <c r="AE125" s="15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</row>
    <row r="126" spans="1:44">
      <c r="A126" s="9"/>
      <c r="B126" s="20"/>
      <c r="C126" s="20"/>
      <c r="D126" s="20"/>
      <c r="E126" s="20"/>
      <c r="F126" s="20"/>
      <c r="G126" s="15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9"/>
      <c r="W126" s="20"/>
      <c r="X126" s="20"/>
      <c r="Y126" s="20"/>
      <c r="Z126" s="20"/>
      <c r="AA126" s="20"/>
      <c r="AB126" s="20"/>
      <c r="AC126" s="20"/>
      <c r="AD126" s="20"/>
      <c r="AE126" s="15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</row>
    <row r="127" spans="1:44">
      <c r="A127" s="9"/>
      <c r="B127" s="20"/>
      <c r="C127" s="20"/>
      <c r="D127" s="20"/>
      <c r="E127" s="20"/>
      <c r="F127" s="20"/>
      <c r="G127" s="15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9"/>
      <c r="W127" s="20"/>
      <c r="X127" s="20"/>
      <c r="Y127" s="20"/>
      <c r="Z127" s="20"/>
      <c r="AA127" s="20"/>
      <c r="AB127" s="20"/>
      <c r="AC127" s="20"/>
      <c r="AD127" s="20"/>
      <c r="AE127" s="15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</row>
    <row r="128" spans="1:44">
      <c r="A128" s="9"/>
      <c r="B128" s="20"/>
      <c r="C128" s="20"/>
      <c r="D128" s="20"/>
      <c r="E128" s="20"/>
      <c r="F128" s="20"/>
      <c r="G128" s="15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9"/>
      <c r="W128" s="20"/>
      <c r="X128" s="20"/>
      <c r="Y128" s="20"/>
      <c r="Z128" s="20"/>
      <c r="AA128" s="20"/>
      <c r="AB128" s="20"/>
      <c r="AC128" s="20"/>
      <c r="AD128" s="20"/>
      <c r="AE128" s="15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</row>
    <row r="129" spans="1:44">
      <c r="A129" s="9"/>
      <c r="B129" s="20"/>
      <c r="C129" s="20"/>
      <c r="D129" s="20"/>
      <c r="E129" s="20"/>
      <c r="F129" s="20"/>
      <c r="G129" s="15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9"/>
      <c r="W129" s="20"/>
      <c r="X129" s="20"/>
      <c r="Y129" s="20"/>
      <c r="Z129" s="20"/>
      <c r="AA129" s="20"/>
      <c r="AB129" s="20"/>
      <c r="AC129" s="20"/>
      <c r="AD129" s="20"/>
      <c r="AE129" s="15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9"/>
  <sheetViews>
    <sheetView tabSelected="1" topLeftCell="A25" zoomScale="72" zoomScaleNormal="72" workbookViewId="0">
      <selection activeCell="R57" sqref="R57"/>
    </sheetView>
  </sheetViews>
  <sheetFormatPr defaultRowHeight="15.6"/>
  <cols>
    <col min="18" max="18" width="12.09765625" style="1" customWidth="1"/>
    <col min="19" max="19" width="11.8984375" style="1" customWidth="1"/>
    <col min="20" max="20" width="11.69921875" style="1" customWidth="1"/>
    <col min="21" max="21" width="11.3984375" style="1" customWidth="1"/>
    <col min="30" max="30" width="10.796875" style="1" customWidth="1"/>
    <col min="31" max="31" width="11.8984375" style="1" customWidth="1"/>
    <col min="32" max="32" width="12.09765625" style="1" customWidth="1"/>
    <col min="33" max="33" width="14.19921875" style="1" customWidth="1"/>
  </cols>
  <sheetData>
    <row r="1" spans="1:33">
      <c r="A1" s="20" t="s">
        <v>0</v>
      </c>
      <c r="B1" s="20" t="s">
        <v>102</v>
      </c>
      <c r="C1" s="20" t="s">
        <v>102</v>
      </c>
      <c r="D1" s="20" t="s">
        <v>102</v>
      </c>
      <c r="E1" s="20" t="s">
        <v>102</v>
      </c>
      <c r="F1" s="20" t="s">
        <v>30</v>
      </c>
      <c r="G1" s="20" t="s">
        <v>31</v>
      </c>
      <c r="Q1" s="20" t="s">
        <v>0</v>
      </c>
      <c r="R1" s="20" t="s">
        <v>32</v>
      </c>
      <c r="S1" s="20" t="s">
        <v>33</v>
      </c>
      <c r="T1" s="20" t="s">
        <v>34</v>
      </c>
      <c r="U1" s="20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20" t="s">
        <v>40</v>
      </c>
      <c r="AA1" s="20" t="s">
        <v>41</v>
      </c>
      <c r="AB1" s="20" t="s">
        <v>42</v>
      </c>
      <c r="AC1" s="20" t="s">
        <v>43</v>
      </c>
      <c r="AD1" s="2" t="s">
        <v>44</v>
      </c>
      <c r="AE1" s="2" t="s">
        <v>45</v>
      </c>
      <c r="AF1" s="2" t="s">
        <v>46</v>
      </c>
      <c r="AG1" s="2" t="s">
        <v>47</v>
      </c>
    </row>
    <row r="2" spans="1:33">
      <c r="A2" s="20">
        <f t="shared" ref="A2:A33" si="0">Q2</f>
        <v>-0.21</v>
      </c>
      <c r="B2" s="20">
        <f t="shared" ref="B2:B33" si="1">Z2</f>
        <v>0.08</v>
      </c>
      <c r="C2" s="20">
        <f t="shared" ref="C2:C33" si="2">AA2</f>
        <v>0.08</v>
      </c>
      <c r="D2" s="20">
        <f t="shared" ref="D2:D33" si="3">AB2</f>
        <v>0.08</v>
      </c>
      <c r="E2" s="20">
        <f t="shared" ref="E2:E33" si="4">AC2</f>
        <v>0.08</v>
      </c>
      <c r="F2" s="20">
        <v>0.2</v>
      </c>
      <c r="G2" s="20">
        <v>0</v>
      </c>
      <c r="Q2" s="20">
        <f>'1_Operational'!Q2</f>
        <v>-0.21</v>
      </c>
      <c r="R2" s="20">
        <f>'1_Operational'!R2</f>
        <v>1267.809</v>
      </c>
      <c r="S2" s="20">
        <f>'2_Operational'!R2</f>
        <v>1287.6099999999999</v>
      </c>
      <c r="T2" s="20">
        <f>'3_Operational'!R2</f>
        <v>1308.3219999999999</v>
      </c>
      <c r="U2" s="20">
        <f>'4_Operational'!R2</f>
        <v>1327.604</v>
      </c>
      <c r="V2" s="20">
        <f>'1_Operational'!T2</f>
        <v>1.4</v>
      </c>
      <c r="W2" s="20">
        <f>'2_Operational'!T2</f>
        <v>0.9</v>
      </c>
      <c r="X2" s="20">
        <f>'3_Operational'!T2</f>
        <v>2.4900000000000002</v>
      </c>
      <c r="Y2" s="20">
        <f>'4_Operational'!T2</f>
        <v>2.17</v>
      </c>
      <c r="Z2" s="20">
        <f>'1_Operational'!S2</f>
        <v>0.08</v>
      </c>
      <c r="AA2" s="20">
        <f>'2_Operational'!S2</f>
        <v>0.08</v>
      </c>
      <c r="AB2" s="20">
        <f>'3_Operational'!S2</f>
        <v>0.08</v>
      </c>
      <c r="AC2" s="20">
        <f>'4_Operational'!S2</f>
        <v>0.08</v>
      </c>
      <c r="AD2" s="20">
        <f>'1_Operational'!AD2</f>
        <v>124</v>
      </c>
      <c r="AE2" s="20">
        <f>'1_Operational'!AE2</f>
        <v>140</v>
      </c>
      <c r="AF2" s="20">
        <f>'3_Operational'!Z2</f>
        <v>124</v>
      </c>
      <c r="AG2" s="20">
        <f>'4_Operational'!AA2</f>
        <v>140</v>
      </c>
    </row>
    <row r="3" spans="1:33">
      <c r="A3" s="20">
        <f t="shared" si="0"/>
        <v>0.75</v>
      </c>
      <c r="B3" s="20">
        <f t="shared" si="1"/>
        <v>0.09</v>
      </c>
      <c r="C3" s="20">
        <f t="shared" si="2"/>
        <v>0.09</v>
      </c>
      <c r="D3" s="20">
        <f t="shared" si="3"/>
        <v>0.09</v>
      </c>
      <c r="E3" s="20">
        <f t="shared" si="4"/>
        <v>0.09</v>
      </c>
      <c r="F3" s="20">
        <v>0.2</v>
      </c>
      <c r="G3" s="20">
        <v>0</v>
      </c>
      <c r="Q3" s="20">
        <f>'1_Operational'!Q3</f>
        <v>0.75</v>
      </c>
      <c r="R3" s="20">
        <f>'1_Operational'!R3</f>
        <v>1267.8920000000001</v>
      </c>
      <c r="S3" s="20">
        <f>'2_Operational'!R3</f>
        <v>1287.694</v>
      </c>
      <c r="T3" s="20">
        <f>'3_Operational'!R3</f>
        <v>1308.4069999999999</v>
      </c>
      <c r="U3" s="20">
        <f>'4_Operational'!R3</f>
        <v>1327.69</v>
      </c>
      <c r="V3" s="20">
        <f>'1_Operational'!T3</f>
        <v>1.29</v>
      </c>
      <c r="W3" s="20">
        <f>'2_Operational'!T3</f>
        <v>0.86</v>
      </c>
      <c r="X3" s="20">
        <f>'3_Operational'!T3</f>
        <v>2.4900000000000002</v>
      </c>
      <c r="Y3" s="20">
        <f>'4_Operational'!T3</f>
        <v>2.11</v>
      </c>
      <c r="Z3" s="20">
        <f>'1_Operational'!S3</f>
        <v>0.09</v>
      </c>
      <c r="AA3" s="20">
        <f>'2_Operational'!S3</f>
        <v>0.09</v>
      </c>
      <c r="AB3" s="20">
        <f>'3_Operational'!S3</f>
        <v>0.09</v>
      </c>
      <c r="AC3" s="20">
        <f>'4_Operational'!S3</f>
        <v>0.09</v>
      </c>
      <c r="AD3" s="20">
        <f>'1_Operational'!AD3</f>
        <v>124</v>
      </c>
      <c r="AE3" s="20">
        <f>'1_Operational'!AE3</f>
        <v>140</v>
      </c>
      <c r="AF3" s="20">
        <f>'3_Operational'!Z3</f>
        <v>124</v>
      </c>
      <c r="AG3" s="20">
        <f>'4_Operational'!AA3</f>
        <v>140</v>
      </c>
    </row>
    <row r="4" spans="1:33">
      <c r="A4" s="20">
        <f t="shared" si="0"/>
        <v>1.76</v>
      </c>
      <c r="B4" s="20">
        <f t="shared" si="1"/>
        <v>0.08</v>
      </c>
      <c r="C4" s="20">
        <f t="shared" si="2"/>
        <v>0.09</v>
      </c>
      <c r="D4" s="20">
        <f t="shared" si="3"/>
        <v>0.09</v>
      </c>
      <c r="E4" s="20">
        <f t="shared" si="4"/>
        <v>0.09</v>
      </c>
      <c r="F4" s="20">
        <v>0.2</v>
      </c>
      <c r="G4" s="20">
        <v>0</v>
      </c>
      <c r="Q4" s="20">
        <f>'1_Operational'!Q4</f>
        <v>1.76</v>
      </c>
      <c r="R4" s="20">
        <f>'1_Operational'!R4</f>
        <v>1267.9760000000001</v>
      </c>
      <c r="S4" s="20">
        <f>'2_Operational'!R4</f>
        <v>1287.78</v>
      </c>
      <c r="T4" s="20">
        <f>'3_Operational'!R4</f>
        <v>1308.4949999999999</v>
      </c>
      <c r="U4" s="20">
        <f>'4_Operational'!R4</f>
        <v>1327.778</v>
      </c>
      <c r="V4" s="20">
        <f>'1_Operational'!T4</f>
        <v>1.31</v>
      </c>
      <c r="W4" s="20">
        <f>'2_Operational'!T4</f>
        <v>0.89</v>
      </c>
      <c r="X4" s="20">
        <f>'3_Operational'!T4</f>
        <v>2.41</v>
      </c>
      <c r="Y4" s="20">
        <f>'4_Operational'!T4</f>
        <v>2.08</v>
      </c>
      <c r="Z4" s="20">
        <f>'1_Operational'!S4</f>
        <v>0.08</v>
      </c>
      <c r="AA4" s="20">
        <f>'2_Operational'!S4</f>
        <v>0.09</v>
      </c>
      <c r="AB4" s="20">
        <f>'3_Operational'!S4</f>
        <v>0.09</v>
      </c>
      <c r="AC4" s="20">
        <f>'4_Operational'!S4</f>
        <v>0.09</v>
      </c>
      <c r="AD4" s="20">
        <f>'1_Operational'!AD4</f>
        <v>125</v>
      </c>
      <c r="AE4" s="20">
        <f>'1_Operational'!AE4</f>
        <v>140</v>
      </c>
      <c r="AF4" s="20">
        <f>'3_Operational'!Z4</f>
        <v>125</v>
      </c>
      <c r="AG4" s="20">
        <f>'4_Operational'!AA4</f>
        <v>140</v>
      </c>
    </row>
    <row r="5" spans="1:33">
      <c r="A5" s="20">
        <f t="shared" si="0"/>
        <v>2.7</v>
      </c>
      <c r="B5" s="20">
        <f t="shared" si="1"/>
        <v>0.09</v>
      </c>
      <c r="C5" s="20">
        <f t="shared" si="2"/>
        <v>0.09</v>
      </c>
      <c r="D5" s="20">
        <f t="shared" si="3"/>
        <v>0.09</v>
      </c>
      <c r="E5" s="20">
        <f t="shared" si="4"/>
        <v>0.09</v>
      </c>
      <c r="F5" s="20">
        <v>0.2</v>
      </c>
      <c r="G5" s="20">
        <v>0</v>
      </c>
      <c r="Q5" s="20">
        <f>'1_Operational'!Q5</f>
        <v>2.7</v>
      </c>
      <c r="R5" s="20">
        <f>'1_Operational'!R5</f>
        <v>1268.0609999999999</v>
      </c>
      <c r="S5" s="20">
        <f>'2_Operational'!R5</f>
        <v>1287.8679999999999</v>
      </c>
      <c r="T5" s="20">
        <f>'3_Operational'!R5</f>
        <v>1308.5830000000001</v>
      </c>
      <c r="U5" s="20">
        <f>'4_Operational'!R5</f>
        <v>1327.866</v>
      </c>
      <c r="V5" s="20">
        <f>'1_Operational'!T5</f>
        <v>1.36</v>
      </c>
      <c r="W5" s="20">
        <f>'2_Operational'!T5</f>
        <v>0.94</v>
      </c>
      <c r="X5" s="20">
        <f>'3_Operational'!T5</f>
        <v>2.46</v>
      </c>
      <c r="Y5" s="20">
        <f>'4_Operational'!T5</f>
        <v>2.09</v>
      </c>
      <c r="Z5" s="20">
        <f>'1_Operational'!S5</f>
        <v>0.09</v>
      </c>
      <c r="AA5" s="20">
        <f>'2_Operational'!S5</f>
        <v>0.09</v>
      </c>
      <c r="AB5" s="20">
        <f>'3_Operational'!S5</f>
        <v>0.09</v>
      </c>
      <c r="AC5" s="20">
        <f>'4_Operational'!S5</f>
        <v>0.09</v>
      </c>
      <c r="AD5" s="20">
        <f>'1_Operational'!AD5</f>
        <v>126</v>
      </c>
      <c r="AE5" s="20">
        <f>'1_Operational'!AE5</f>
        <v>140</v>
      </c>
      <c r="AF5" s="20">
        <f>'3_Operational'!Z5</f>
        <v>126</v>
      </c>
      <c r="AG5" s="20">
        <f>'4_Operational'!AA5</f>
        <v>140</v>
      </c>
    </row>
    <row r="6" spans="1:33">
      <c r="A6" s="20">
        <f t="shared" si="0"/>
        <v>3.69</v>
      </c>
      <c r="B6" s="20">
        <f t="shared" si="1"/>
        <v>0.09</v>
      </c>
      <c r="C6" s="20">
        <f t="shared" si="2"/>
        <v>0.09</v>
      </c>
      <c r="D6" s="20">
        <f t="shared" si="3"/>
        <v>0.09</v>
      </c>
      <c r="E6" s="20">
        <f t="shared" si="4"/>
        <v>0.09</v>
      </c>
      <c r="F6" s="20">
        <v>0.2</v>
      </c>
      <c r="G6" s="20">
        <v>0</v>
      </c>
      <c r="Q6" s="20">
        <f>'1_Operational'!Q6</f>
        <v>3.69</v>
      </c>
      <c r="R6" s="20">
        <f>'1_Operational'!R6</f>
        <v>1268.1479999999999</v>
      </c>
      <c r="S6" s="20">
        <f>'2_Operational'!R6</f>
        <v>1287.9570000000001</v>
      </c>
      <c r="T6" s="20">
        <f>'3_Operational'!R6</f>
        <v>1308.671</v>
      </c>
      <c r="U6" s="20">
        <f>'4_Operational'!R6</f>
        <v>1327.9559999999999</v>
      </c>
      <c r="V6" s="20">
        <f>'1_Operational'!T6</f>
        <v>1.41</v>
      </c>
      <c r="W6" s="20">
        <f>'2_Operational'!T6</f>
        <v>0.96</v>
      </c>
      <c r="X6" s="20">
        <f>'3_Operational'!T6</f>
        <v>2.48</v>
      </c>
      <c r="Y6" s="20">
        <f>'4_Operational'!T6</f>
        <v>2.14</v>
      </c>
      <c r="Z6" s="20">
        <f>'1_Operational'!S6</f>
        <v>0.09</v>
      </c>
      <c r="AA6" s="20">
        <f>'2_Operational'!S6</f>
        <v>0.09</v>
      </c>
      <c r="AB6" s="20">
        <f>'3_Operational'!S6</f>
        <v>0.09</v>
      </c>
      <c r="AC6" s="20">
        <f>'4_Operational'!S6</f>
        <v>0.09</v>
      </c>
      <c r="AD6" s="20">
        <f>'1_Operational'!AD6</f>
        <v>127</v>
      </c>
      <c r="AE6" s="20">
        <f>'1_Operational'!AE6</f>
        <v>140</v>
      </c>
      <c r="AF6" s="20">
        <f>'3_Operational'!Z6</f>
        <v>127</v>
      </c>
      <c r="AG6" s="20">
        <f>'4_Operational'!AA6</f>
        <v>140</v>
      </c>
    </row>
    <row r="7" spans="1:33">
      <c r="A7" s="20">
        <f t="shared" si="0"/>
        <v>4.67</v>
      </c>
      <c r="B7" s="20">
        <f t="shared" si="1"/>
        <v>0.09</v>
      </c>
      <c r="C7" s="20">
        <f t="shared" si="2"/>
        <v>0.09</v>
      </c>
      <c r="D7" s="20">
        <f t="shared" si="3"/>
        <v>0.09</v>
      </c>
      <c r="E7" s="20">
        <f t="shared" si="4"/>
        <v>0.09</v>
      </c>
      <c r="F7" s="20">
        <v>0.2</v>
      </c>
      <c r="G7" s="20">
        <v>0</v>
      </c>
      <c r="Q7" s="20">
        <f>'1_Operational'!Q7</f>
        <v>4.67</v>
      </c>
      <c r="R7" s="20">
        <f>'1_Operational'!R7</f>
        <v>1268.2329999999999</v>
      </c>
      <c r="S7" s="20">
        <f>'2_Operational'!R7</f>
        <v>1288.0440000000001</v>
      </c>
      <c r="T7" s="20">
        <f>'3_Operational'!R7</f>
        <v>1308.758</v>
      </c>
      <c r="U7" s="20">
        <f>'4_Operational'!R7</f>
        <v>1328.0450000000001</v>
      </c>
      <c r="V7" s="20">
        <f>'1_Operational'!T7</f>
        <v>1.35</v>
      </c>
      <c r="W7" s="20">
        <f>'2_Operational'!T7</f>
        <v>1.02</v>
      </c>
      <c r="X7" s="20">
        <f>'3_Operational'!T7</f>
        <v>2.48</v>
      </c>
      <c r="Y7" s="20">
        <f>'4_Operational'!T7</f>
        <v>2.09</v>
      </c>
      <c r="Z7" s="20">
        <f>'1_Operational'!S7</f>
        <v>0.09</v>
      </c>
      <c r="AA7" s="20">
        <f>'2_Operational'!S7</f>
        <v>0.09</v>
      </c>
      <c r="AB7" s="20">
        <f>'3_Operational'!S7</f>
        <v>0.09</v>
      </c>
      <c r="AC7" s="20">
        <f>'4_Operational'!S7</f>
        <v>0.09</v>
      </c>
      <c r="AD7" s="20">
        <f>'1_Operational'!AD7</f>
        <v>127</v>
      </c>
      <c r="AE7" s="20">
        <f>'1_Operational'!AE7</f>
        <v>140</v>
      </c>
      <c r="AF7" s="20">
        <f>'3_Operational'!Z7</f>
        <v>127</v>
      </c>
      <c r="AG7" s="20">
        <f>'4_Operational'!AA7</f>
        <v>140</v>
      </c>
    </row>
    <row r="8" spans="1:33">
      <c r="A8" s="20">
        <f t="shared" si="0"/>
        <v>5.61</v>
      </c>
      <c r="B8" s="20">
        <f t="shared" si="1"/>
        <v>0.09</v>
      </c>
      <c r="C8" s="20">
        <f t="shared" si="2"/>
        <v>0.09</v>
      </c>
      <c r="D8" s="20">
        <f t="shared" si="3"/>
        <v>0.09</v>
      </c>
      <c r="E8" s="20">
        <f t="shared" si="4"/>
        <v>0.09</v>
      </c>
      <c r="F8" s="20">
        <v>0.2</v>
      </c>
      <c r="G8" s="20">
        <v>0</v>
      </c>
      <c r="Q8" s="20">
        <f>'1_Operational'!Q8</f>
        <v>5.61</v>
      </c>
      <c r="R8" s="20">
        <f>'1_Operational'!R8</f>
        <v>1268.316</v>
      </c>
      <c r="S8" s="20">
        <f>'2_Operational'!R8</f>
        <v>1288.1300000000001</v>
      </c>
      <c r="T8" s="20">
        <f>'3_Operational'!R8</f>
        <v>1308.8420000000001</v>
      </c>
      <c r="U8" s="20">
        <f>'4_Operational'!R8</f>
        <v>1328.1320000000001</v>
      </c>
      <c r="V8" s="20">
        <f>'1_Operational'!T8</f>
        <v>1.38</v>
      </c>
      <c r="W8" s="20">
        <f>'2_Operational'!T8</f>
        <v>1.03</v>
      </c>
      <c r="X8" s="20">
        <f>'3_Operational'!T8</f>
        <v>2.4500000000000002</v>
      </c>
      <c r="Y8" s="20">
        <f>'4_Operational'!T8</f>
        <v>2.09</v>
      </c>
      <c r="Z8" s="20">
        <f>'1_Operational'!S8</f>
        <v>0.09</v>
      </c>
      <c r="AA8" s="20">
        <f>'2_Operational'!S8</f>
        <v>0.09</v>
      </c>
      <c r="AB8" s="20">
        <f>'3_Operational'!S8</f>
        <v>0.09</v>
      </c>
      <c r="AC8" s="20">
        <f>'4_Operational'!S8</f>
        <v>0.09</v>
      </c>
      <c r="AD8" s="20">
        <f>'1_Operational'!AD8</f>
        <v>128</v>
      </c>
      <c r="AE8" s="20">
        <f>'1_Operational'!AE8</f>
        <v>140</v>
      </c>
      <c r="AF8" s="20">
        <f>'3_Operational'!Z8</f>
        <v>128</v>
      </c>
      <c r="AG8" s="20">
        <f>'4_Operational'!AA8</f>
        <v>140</v>
      </c>
    </row>
    <row r="9" spans="1:33">
      <c r="A9" s="20">
        <f t="shared" si="0"/>
        <v>6.5</v>
      </c>
      <c r="B9" s="20">
        <f t="shared" si="1"/>
        <v>0.09</v>
      </c>
      <c r="C9" s="20">
        <f t="shared" si="2"/>
        <v>0.09</v>
      </c>
      <c r="D9" s="20">
        <f t="shared" si="3"/>
        <v>0.09</v>
      </c>
      <c r="E9" s="20">
        <f t="shared" si="4"/>
        <v>0.1</v>
      </c>
      <c r="F9" s="20">
        <v>0.2</v>
      </c>
      <c r="G9" s="20">
        <v>0</v>
      </c>
      <c r="Q9" s="20">
        <f>'1_Operational'!Q9</f>
        <v>6.5</v>
      </c>
      <c r="R9" s="20">
        <f>'1_Operational'!R9</f>
        <v>1268.3979999999999</v>
      </c>
      <c r="S9" s="20">
        <f>'2_Operational'!R9</f>
        <v>1288.2139999999999</v>
      </c>
      <c r="T9" s="20">
        <f>'3_Operational'!R9</f>
        <v>1308.925</v>
      </c>
      <c r="U9" s="20">
        <f>'4_Operational'!R9</f>
        <v>1328.2180000000001</v>
      </c>
      <c r="V9" s="20">
        <f>'1_Operational'!T9</f>
        <v>1.36</v>
      </c>
      <c r="W9" s="20">
        <f>'2_Operational'!T9</f>
        <v>1.01</v>
      </c>
      <c r="X9" s="20">
        <f>'3_Operational'!T9</f>
        <v>2.46</v>
      </c>
      <c r="Y9" s="20">
        <f>'4_Operational'!T9</f>
        <v>2.0699999999999998</v>
      </c>
      <c r="Z9" s="20">
        <f>'1_Operational'!S9</f>
        <v>0.09</v>
      </c>
      <c r="AA9" s="20">
        <f>'2_Operational'!S9</f>
        <v>0.09</v>
      </c>
      <c r="AB9" s="20">
        <f>'3_Operational'!S9</f>
        <v>0.09</v>
      </c>
      <c r="AC9" s="20">
        <f>'4_Operational'!S9</f>
        <v>0.1</v>
      </c>
      <c r="AD9" s="20">
        <f>'1_Operational'!AD9</f>
        <v>129</v>
      </c>
      <c r="AE9" s="20">
        <f>'1_Operational'!AE9</f>
        <v>140</v>
      </c>
      <c r="AF9" s="20">
        <f>'3_Operational'!Z9</f>
        <v>129</v>
      </c>
      <c r="AG9" s="20">
        <f>'4_Operational'!AA9</f>
        <v>140</v>
      </c>
    </row>
    <row r="10" spans="1:33">
      <c r="A10" s="20">
        <f t="shared" si="0"/>
        <v>7.41</v>
      </c>
      <c r="B10" s="20">
        <f t="shared" si="1"/>
        <v>0.09</v>
      </c>
      <c r="C10" s="20">
        <f t="shared" si="2"/>
        <v>0.09</v>
      </c>
      <c r="D10" s="20">
        <f t="shared" si="3"/>
        <v>0.09</v>
      </c>
      <c r="E10" s="20">
        <f t="shared" si="4"/>
        <v>0.09</v>
      </c>
      <c r="F10" s="20">
        <v>0.2</v>
      </c>
      <c r="G10" s="20">
        <v>0</v>
      </c>
      <c r="Q10" s="20">
        <f>'1_Operational'!Q10</f>
        <v>7.41</v>
      </c>
      <c r="R10" s="20">
        <f>'1_Operational'!R10</f>
        <v>1268.48</v>
      </c>
      <c r="S10" s="20">
        <f>'2_Operational'!R10</f>
        <v>1288.298</v>
      </c>
      <c r="T10" s="20">
        <f>'3_Operational'!R10</f>
        <v>1309.008</v>
      </c>
      <c r="U10" s="20">
        <f>'4_Operational'!R10</f>
        <v>1328.3030000000001</v>
      </c>
      <c r="V10" s="20">
        <f>'1_Operational'!T10</f>
        <v>1.36</v>
      </c>
      <c r="W10" s="20">
        <f>'2_Operational'!T10</f>
        <v>1.04</v>
      </c>
      <c r="X10" s="20">
        <f>'3_Operational'!T10</f>
        <v>2.4900000000000002</v>
      </c>
      <c r="Y10" s="20">
        <f>'4_Operational'!T10</f>
        <v>2.08</v>
      </c>
      <c r="Z10" s="20">
        <f>'1_Operational'!S10</f>
        <v>0.09</v>
      </c>
      <c r="AA10" s="20">
        <f>'2_Operational'!S10</f>
        <v>0.09</v>
      </c>
      <c r="AB10" s="20">
        <f>'3_Operational'!S10</f>
        <v>0.09</v>
      </c>
      <c r="AC10" s="20">
        <f>'4_Operational'!S10</f>
        <v>0.09</v>
      </c>
      <c r="AD10" s="20">
        <f>'1_Operational'!AD10</f>
        <v>129</v>
      </c>
      <c r="AE10" s="20">
        <f>'1_Operational'!AE10</f>
        <v>140</v>
      </c>
      <c r="AF10" s="20">
        <f>'3_Operational'!Z10</f>
        <v>129</v>
      </c>
      <c r="AG10" s="20">
        <f>'4_Operational'!AA10</f>
        <v>140</v>
      </c>
    </row>
    <row r="11" spans="1:33">
      <c r="A11" s="20">
        <f t="shared" si="0"/>
        <v>8.3000000000000007</v>
      </c>
      <c r="B11" s="20">
        <f t="shared" si="1"/>
        <v>0.09</v>
      </c>
      <c r="C11" s="20">
        <f t="shared" si="2"/>
        <v>0.09</v>
      </c>
      <c r="D11" s="20">
        <f t="shared" si="3"/>
        <v>0.09</v>
      </c>
      <c r="E11" s="20">
        <f t="shared" si="4"/>
        <v>0.1</v>
      </c>
      <c r="F11" s="20">
        <v>0.2</v>
      </c>
      <c r="G11" s="20">
        <v>0</v>
      </c>
      <c r="Q11" s="20">
        <f>'1_Operational'!Q11</f>
        <v>8.3000000000000007</v>
      </c>
      <c r="R11" s="20">
        <f>'1_Operational'!R11</f>
        <v>1268.559</v>
      </c>
      <c r="S11" s="20">
        <f>'2_Operational'!R11</f>
        <v>1288.3789999999999</v>
      </c>
      <c r="T11" s="20">
        <f>'3_Operational'!R11</f>
        <v>1309.088</v>
      </c>
      <c r="U11" s="20">
        <f>'4_Operational'!R11</f>
        <v>1328.3879999999999</v>
      </c>
      <c r="V11" s="20">
        <f>'1_Operational'!T11</f>
        <v>1.35</v>
      </c>
      <c r="W11" s="20">
        <f>'2_Operational'!T11</f>
        <v>1.04</v>
      </c>
      <c r="X11" s="20">
        <f>'3_Operational'!T11</f>
        <v>2.48</v>
      </c>
      <c r="Y11" s="20">
        <f>'4_Operational'!T11</f>
        <v>2.13</v>
      </c>
      <c r="Z11" s="20">
        <f>'1_Operational'!S11</f>
        <v>0.09</v>
      </c>
      <c r="AA11" s="20">
        <f>'2_Operational'!S11</f>
        <v>0.09</v>
      </c>
      <c r="AB11" s="20">
        <f>'3_Operational'!S11</f>
        <v>0.09</v>
      </c>
      <c r="AC11" s="20">
        <f>'4_Operational'!S11</f>
        <v>0.1</v>
      </c>
      <c r="AD11" s="20">
        <f>'1_Operational'!AD11</f>
        <v>130</v>
      </c>
      <c r="AE11" s="20">
        <f>'1_Operational'!AE11</f>
        <v>141</v>
      </c>
      <c r="AF11" s="20">
        <f>'3_Operational'!Z11</f>
        <v>130</v>
      </c>
      <c r="AG11" s="20">
        <f>'4_Operational'!AA11</f>
        <v>141</v>
      </c>
    </row>
    <row r="12" spans="1:33">
      <c r="A12" s="20">
        <f t="shared" si="0"/>
        <v>9.17</v>
      </c>
      <c r="B12" s="20">
        <f t="shared" si="1"/>
        <v>0.09</v>
      </c>
      <c r="C12" s="20">
        <f t="shared" si="2"/>
        <v>0.09</v>
      </c>
      <c r="D12" s="20">
        <f t="shared" si="3"/>
        <v>0.09</v>
      </c>
      <c r="E12" s="20">
        <f t="shared" si="4"/>
        <v>0.1</v>
      </c>
      <c r="F12" s="20">
        <v>0.2</v>
      </c>
      <c r="G12" s="20">
        <v>0</v>
      </c>
      <c r="Q12" s="20">
        <f>'1_Operational'!Q12</f>
        <v>9.17</v>
      </c>
      <c r="R12" s="20">
        <f>'1_Operational'!R12</f>
        <v>1268.6400000000001</v>
      </c>
      <c r="S12" s="20">
        <f>'2_Operational'!R12</f>
        <v>1288.461</v>
      </c>
      <c r="T12" s="20">
        <f>'3_Operational'!R12</f>
        <v>1309.17</v>
      </c>
      <c r="U12" s="20">
        <f>'4_Operational'!R12</f>
        <v>1328.472</v>
      </c>
      <c r="V12" s="20">
        <f>'1_Operational'!T12</f>
        <v>1.33</v>
      </c>
      <c r="W12" s="20">
        <f>'2_Operational'!T12</f>
        <v>1.06</v>
      </c>
      <c r="X12" s="20">
        <f>'3_Operational'!T12</f>
        <v>2.5099999999999998</v>
      </c>
      <c r="Y12" s="20">
        <f>'4_Operational'!T12</f>
        <v>2.13</v>
      </c>
      <c r="Z12" s="20">
        <f>'1_Operational'!S12</f>
        <v>0.09</v>
      </c>
      <c r="AA12" s="20">
        <f>'2_Operational'!S12</f>
        <v>0.09</v>
      </c>
      <c r="AB12" s="20">
        <f>'3_Operational'!S12</f>
        <v>0.09</v>
      </c>
      <c r="AC12" s="20">
        <f>'4_Operational'!S12</f>
        <v>0.1</v>
      </c>
      <c r="AD12" s="20">
        <f>'1_Operational'!AD12</f>
        <v>131</v>
      </c>
      <c r="AE12" s="20">
        <f>'1_Operational'!AE12</f>
        <v>141</v>
      </c>
      <c r="AF12" s="20">
        <f>'3_Operational'!Z12</f>
        <v>131</v>
      </c>
      <c r="AG12" s="20">
        <f>'4_Operational'!AA12</f>
        <v>141</v>
      </c>
    </row>
    <row r="13" spans="1:33">
      <c r="A13" s="20">
        <f t="shared" si="0"/>
        <v>10.050000000000001</v>
      </c>
      <c r="B13" s="20">
        <f t="shared" si="1"/>
        <v>0.09</v>
      </c>
      <c r="C13" s="20">
        <f t="shared" si="2"/>
        <v>0.09</v>
      </c>
      <c r="D13" s="20">
        <f t="shared" si="3"/>
        <v>0.09</v>
      </c>
      <c r="E13" s="20">
        <f t="shared" si="4"/>
        <v>0.09</v>
      </c>
      <c r="F13" s="20">
        <v>0.2</v>
      </c>
      <c r="G13" s="20">
        <v>0</v>
      </c>
      <c r="Q13" s="20">
        <f>'1_Operational'!Q13</f>
        <v>10.050000000000001</v>
      </c>
      <c r="R13" s="20">
        <f>'1_Operational'!R13</f>
        <v>1268.7180000000001</v>
      </c>
      <c r="S13" s="20">
        <f>'2_Operational'!R13</f>
        <v>1288.54</v>
      </c>
      <c r="T13" s="20">
        <f>'3_Operational'!R13</f>
        <v>1309.249</v>
      </c>
      <c r="U13" s="20">
        <f>'4_Operational'!R13</f>
        <v>1328.5530000000001</v>
      </c>
      <c r="V13" s="20">
        <f>'1_Operational'!T13</f>
        <v>1.32</v>
      </c>
      <c r="W13" s="20">
        <f>'2_Operational'!T13</f>
        <v>1.08</v>
      </c>
      <c r="X13" s="20">
        <f>'3_Operational'!T13</f>
        <v>2.5099999999999998</v>
      </c>
      <c r="Y13" s="20">
        <f>'4_Operational'!T13</f>
        <v>2.0699999999999998</v>
      </c>
      <c r="Z13" s="20">
        <f>'1_Operational'!S13</f>
        <v>0.09</v>
      </c>
      <c r="AA13" s="20">
        <f>'2_Operational'!S13</f>
        <v>0.09</v>
      </c>
      <c r="AB13" s="20">
        <f>'3_Operational'!S13</f>
        <v>0.09</v>
      </c>
      <c r="AC13" s="20">
        <f>'4_Operational'!S13</f>
        <v>0.09</v>
      </c>
      <c r="AD13" s="20">
        <f>'1_Operational'!AD13</f>
        <v>132</v>
      </c>
      <c r="AE13" s="20">
        <f>'1_Operational'!AE13</f>
        <v>141</v>
      </c>
      <c r="AF13" s="20">
        <f>'3_Operational'!Z13</f>
        <v>132</v>
      </c>
      <c r="AG13" s="20">
        <f>'4_Operational'!AA13</f>
        <v>141</v>
      </c>
    </row>
    <row r="14" spans="1:33">
      <c r="A14" s="20">
        <f t="shared" si="0"/>
        <v>10.95</v>
      </c>
      <c r="B14" s="20">
        <f t="shared" si="1"/>
        <v>0.09</v>
      </c>
      <c r="C14" s="20">
        <f t="shared" si="2"/>
        <v>0.09</v>
      </c>
      <c r="D14" s="20">
        <f t="shared" si="3"/>
        <v>0.09</v>
      </c>
      <c r="E14" s="20">
        <f t="shared" si="4"/>
        <v>0.09</v>
      </c>
      <c r="F14" s="20">
        <v>0.2</v>
      </c>
      <c r="G14" s="20">
        <v>0</v>
      </c>
      <c r="Q14" s="20">
        <f>'1_Operational'!Q14</f>
        <v>10.95</v>
      </c>
      <c r="R14" s="20">
        <f>'1_Operational'!R14</f>
        <v>1268.7950000000001</v>
      </c>
      <c r="S14" s="20">
        <f>'2_Operational'!R14</f>
        <v>1288.6189999999999</v>
      </c>
      <c r="T14" s="20">
        <f>'3_Operational'!R14</f>
        <v>1309.329</v>
      </c>
      <c r="U14" s="20">
        <f>'4_Operational'!R14</f>
        <v>1328.634</v>
      </c>
      <c r="V14" s="20">
        <f>'1_Operational'!T14</f>
        <v>1.31</v>
      </c>
      <c r="W14" s="20">
        <f>'2_Operational'!T14</f>
        <v>1.1200000000000001</v>
      </c>
      <c r="X14" s="20">
        <f>'3_Operational'!T14</f>
        <v>2.56</v>
      </c>
      <c r="Y14" s="20">
        <f>'4_Operational'!T14</f>
        <v>2.0299999999999998</v>
      </c>
      <c r="Z14" s="20">
        <f>'1_Operational'!S14</f>
        <v>0.09</v>
      </c>
      <c r="AA14" s="20">
        <f>'2_Operational'!S14</f>
        <v>0.09</v>
      </c>
      <c r="AB14" s="20">
        <f>'3_Operational'!S14</f>
        <v>0.09</v>
      </c>
      <c r="AC14" s="20">
        <f>'4_Operational'!S14</f>
        <v>0.09</v>
      </c>
      <c r="AD14" s="20">
        <f>'1_Operational'!AD14</f>
        <v>133</v>
      </c>
      <c r="AE14" s="20">
        <f>'1_Operational'!AE14</f>
        <v>141</v>
      </c>
      <c r="AF14" s="20">
        <f>'3_Operational'!Z14</f>
        <v>133</v>
      </c>
      <c r="AG14" s="20">
        <f>'4_Operational'!AA14</f>
        <v>141</v>
      </c>
    </row>
    <row r="15" spans="1:33">
      <c r="A15" s="20">
        <f t="shared" si="0"/>
        <v>11.82</v>
      </c>
      <c r="B15" s="20">
        <f t="shared" si="1"/>
        <v>0.09</v>
      </c>
      <c r="C15" s="20">
        <f t="shared" si="2"/>
        <v>0.09</v>
      </c>
      <c r="D15" s="20">
        <f t="shared" si="3"/>
        <v>0.09</v>
      </c>
      <c r="E15" s="20">
        <f t="shared" si="4"/>
        <v>0.09</v>
      </c>
      <c r="F15" s="20">
        <v>0.2</v>
      </c>
      <c r="G15" s="20">
        <v>0</v>
      </c>
      <c r="Q15" s="20">
        <f>'1_Operational'!Q15</f>
        <v>11.82</v>
      </c>
      <c r="R15" s="20">
        <f>'1_Operational'!R15</f>
        <v>1268.875</v>
      </c>
      <c r="S15" s="20">
        <f>'2_Operational'!R15</f>
        <v>1288.6990000000001</v>
      </c>
      <c r="T15" s="20">
        <f>'3_Operational'!R15</f>
        <v>1309.4090000000001</v>
      </c>
      <c r="U15" s="20">
        <f>'4_Operational'!R15</f>
        <v>1328.7149999999999</v>
      </c>
      <c r="V15" s="20">
        <f>'1_Operational'!T15</f>
        <v>1.33</v>
      </c>
      <c r="W15" s="20">
        <f>'2_Operational'!T15</f>
        <v>1.06</v>
      </c>
      <c r="X15" s="20">
        <f>'3_Operational'!T15</f>
        <v>2.62</v>
      </c>
      <c r="Y15" s="20">
        <f>'4_Operational'!T15</f>
        <v>2.08</v>
      </c>
      <c r="Z15" s="20">
        <f>'1_Operational'!S15</f>
        <v>0.09</v>
      </c>
      <c r="AA15" s="20">
        <f>'2_Operational'!S15</f>
        <v>0.09</v>
      </c>
      <c r="AB15" s="20">
        <f>'3_Operational'!S15</f>
        <v>0.09</v>
      </c>
      <c r="AC15" s="20">
        <f>'4_Operational'!S15</f>
        <v>0.09</v>
      </c>
      <c r="AD15" s="20">
        <f>'1_Operational'!AD15</f>
        <v>134</v>
      </c>
      <c r="AE15" s="20">
        <f>'1_Operational'!AE15</f>
        <v>141</v>
      </c>
      <c r="AF15" s="20">
        <f>'3_Operational'!Z15</f>
        <v>134</v>
      </c>
      <c r="AG15" s="20">
        <f>'4_Operational'!AA15</f>
        <v>141</v>
      </c>
    </row>
    <row r="16" spans="1:33">
      <c r="A16" s="20">
        <f t="shared" si="0"/>
        <v>12.69</v>
      </c>
      <c r="B16" s="20">
        <f t="shared" si="1"/>
        <v>0.09</v>
      </c>
      <c r="C16" s="20">
        <f t="shared" si="2"/>
        <v>0.09</v>
      </c>
      <c r="D16" s="20">
        <f t="shared" si="3"/>
        <v>0.09</v>
      </c>
      <c r="E16" s="20">
        <f t="shared" si="4"/>
        <v>0.09</v>
      </c>
      <c r="F16" s="20">
        <v>0.2</v>
      </c>
      <c r="G16" s="20">
        <v>0</v>
      </c>
      <c r="Q16" s="20">
        <f>'1_Operational'!Q16</f>
        <v>12.69</v>
      </c>
      <c r="R16" s="20">
        <f>'1_Operational'!R16</f>
        <v>1268.9549999999999</v>
      </c>
      <c r="S16" s="20">
        <f>'2_Operational'!R16</f>
        <v>1288.78</v>
      </c>
      <c r="T16" s="20">
        <f>'3_Operational'!R16</f>
        <v>1309.49</v>
      </c>
      <c r="U16" s="20">
        <f>'4_Operational'!R16</f>
        <v>1328.797</v>
      </c>
      <c r="V16" s="20">
        <f>'1_Operational'!T16</f>
        <v>1.38</v>
      </c>
      <c r="W16" s="20">
        <f>'2_Operational'!T16</f>
        <v>1.05</v>
      </c>
      <c r="X16" s="20">
        <f>'3_Operational'!T16</f>
        <v>2.6</v>
      </c>
      <c r="Y16" s="20">
        <f>'4_Operational'!T16</f>
        <v>2.0099999999999998</v>
      </c>
      <c r="Z16" s="20">
        <f>'1_Operational'!S16</f>
        <v>0.09</v>
      </c>
      <c r="AA16" s="20">
        <f>'2_Operational'!S16</f>
        <v>0.09</v>
      </c>
      <c r="AB16" s="20">
        <f>'3_Operational'!S16</f>
        <v>0.09</v>
      </c>
      <c r="AC16" s="20">
        <f>'4_Operational'!S16</f>
        <v>0.09</v>
      </c>
      <c r="AD16" s="20">
        <f>'1_Operational'!AD16</f>
        <v>135</v>
      </c>
      <c r="AE16" s="20">
        <f>'1_Operational'!AE16</f>
        <v>141</v>
      </c>
      <c r="AF16" s="20">
        <f>'3_Operational'!Z16</f>
        <v>135</v>
      </c>
      <c r="AG16" s="20">
        <f>'4_Operational'!AA16</f>
        <v>141</v>
      </c>
    </row>
    <row r="17" spans="1:33">
      <c r="A17" s="20">
        <f t="shared" si="0"/>
        <v>13.56</v>
      </c>
      <c r="B17" s="20">
        <f t="shared" si="1"/>
        <v>0.09</v>
      </c>
      <c r="C17" s="20">
        <f t="shared" si="2"/>
        <v>0.09</v>
      </c>
      <c r="D17" s="20">
        <f t="shared" si="3"/>
        <v>0.1</v>
      </c>
      <c r="E17" s="20">
        <f t="shared" si="4"/>
        <v>0.1</v>
      </c>
      <c r="F17" s="20">
        <v>0.2</v>
      </c>
      <c r="G17" s="20">
        <v>0</v>
      </c>
      <c r="Q17" s="20">
        <f>'1_Operational'!Q17</f>
        <v>13.56</v>
      </c>
      <c r="R17" s="20">
        <f>'1_Operational'!R17</f>
        <v>1269.0350000000001</v>
      </c>
      <c r="S17" s="20">
        <f>'2_Operational'!R17</f>
        <v>1288.8599999999999</v>
      </c>
      <c r="T17" s="20">
        <f>'3_Operational'!R17</f>
        <v>1309.5730000000001</v>
      </c>
      <c r="U17" s="20">
        <f>'4_Operational'!R17</f>
        <v>1328.88</v>
      </c>
      <c r="V17" s="20">
        <f>'1_Operational'!T17</f>
        <v>1.42</v>
      </c>
      <c r="W17" s="20">
        <f>'2_Operational'!T17</f>
        <v>1.08</v>
      </c>
      <c r="X17" s="20">
        <f>'3_Operational'!T17</f>
        <v>2.59</v>
      </c>
      <c r="Y17" s="20">
        <f>'4_Operational'!T17</f>
        <v>2.02</v>
      </c>
      <c r="Z17" s="20">
        <f>'1_Operational'!S17</f>
        <v>0.09</v>
      </c>
      <c r="AA17" s="20">
        <f>'2_Operational'!S17</f>
        <v>0.09</v>
      </c>
      <c r="AB17" s="20">
        <f>'3_Operational'!S17</f>
        <v>0.1</v>
      </c>
      <c r="AC17" s="20">
        <f>'4_Operational'!S17</f>
        <v>0.1</v>
      </c>
      <c r="AD17" s="20">
        <f>'1_Operational'!AD17</f>
        <v>136</v>
      </c>
      <c r="AE17" s="20">
        <f>'1_Operational'!AE17</f>
        <v>141</v>
      </c>
      <c r="AF17" s="20">
        <f>'3_Operational'!Z17</f>
        <v>136</v>
      </c>
      <c r="AG17" s="20">
        <f>'4_Operational'!AA17</f>
        <v>141</v>
      </c>
    </row>
    <row r="18" spans="1:33">
      <c r="A18" s="20">
        <f t="shared" si="0"/>
        <v>14.41</v>
      </c>
      <c r="B18" s="20">
        <f t="shared" si="1"/>
        <v>0.09</v>
      </c>
      <c r="C18" s="20">
        <f t="shared" si="2"/>
        <v>0.09</v>
      </c>
      <c r="D18" s="20">
        <f t="shared" si="3"/>
        <v>0.1</v>
      </c>
      <c r="E18" s="20">
        <f t="shared" si="4"/>
        <v>0.1</v>
      </c>
      <c r="F18" s="20">
        <v>0.2</v>
      </c>
      <c r="G18" s="20">
        <v>0</v>
      </c>
      <c r="Q18" s="20">
        <f>'1_Operational'!Q18</f>
        <v>14.41</v>
      </c>
      <c r="R18" s="20">
        <f>'1_Operational'!R18</f>
        <v>1269.114</v>
      </c>
      <c r="S18" s="20">
        <f>'2_Operational'!R18</f>
        <v>1288.9390000000001</v>
      </c>
      <c r="T18" s="20">
        <f>'3_Operational'!R18</f>
        <v>1309.654</v>
      </c>
      <c r="U18" s="20">
        <f>'4_Operational'!R18</f>
        <v>1328.961</v>
      </c>
      <c r="V18" s="20">
        <f>'1_Operational'!T18</f>
        <v>1.45</v>
      </c>
      <c r="W18" s="20">
        <f>'2_Operational'!T18</f>
        <v>1.04</v>
      </c>
      <c r="X18" s="20">
        <f>'3_Operational'!T18</f>
        <v>2.66</v>
      </c>
      <c r="Y18" s="20">
        <f>'4_Operational'!T18</f>
        <v>2.06</v>
      </c>
      <c r="Z18" s="20">
        <f>'1_Operational'!S18</f>
        <v>0.09</v>
      </c>
      <c r="AA18" s="20">
        <f>'2_Operational'!S18</f>
        <v>0.09</v>
      </c>
      <c r="AB18" s="20">
        <f>'3_Operational'!S18</f>
        <v>0.1</v>
      </c>
      <c r="AC18" s="20">
        <f>'4_Operational'!S18</f>
        <v>0.1</v>
      </c>
      <c r="AD18" s="20">
        <f>'1_Operational'!AD18</f>
        <v>137</v>
      </c>
      <c r="AE18" s="20">
        <f>'1_Operational'!AE18</f>
        <v>142</v>
      </c>
      <c r="AF18" s="20">
        <f>'3_Operational'!Z18</f>
        <v>137</v>
      </c>
      <c r="AG18" s="20">
        <f>'4_Operational'!AA18</f>
        <v>142</v>
      </c>
    </row>
    <row r="19" spans="1:33">
      <c r="A19" s="20">
        <f t="shared" si="0"/>
        <v>15.26</v>
      </c>
      <c r="B19" s="20">
        <f t="shared" si="1"/>
        <v>0.09</v>
      </c>
      <c r="C19" s="20">
        <f t="shared" si="2"/>
        <v>0.1</v>
      </c>
      <c r="D19" s="20">
        <f t="shared" si="3"/>
        <v>0.1</v>
      </c>
      <c r="E19" s="20">
        <f t="shared" si="4"/>
        <v>0.09</v>
      </c>
      <c r="F19" s="20">
        <v>0.2</v>
      </c>
      <c r="G19" s="20">
        <v>0</v>
      </c>
      <c r="Q19" s="20">
        <f>'1_Operational'!Q19</f>
        <v>15.26</v>
      </c>
      <c r="R19" s="20">
        <f>'1_Operational'!R19</f>
        <v>1269.193</v>
      </c>
      <c r="S19" s="20">
        <f>'2_Operational'!R19</f>
        <v>1289.02</v>
      </c>
      <c r="T19" s="20">
        <f>'3_Operational'!R19</f>
        <v>1309.7349999999999</v>
      </c>
      <c r="U19" s="20">
        <f>'4_Operational'!R19</f>
        <v>1329.0409999999999</v>
      </c>
      <c r="V19" s="20">
        <f>'1_Operational'!T19</f>
        <v>1.39</v>
      </c>
      <c r="W19" s="20">
        <f>'2_Operational'!T19</f>
        <v>1.07</v>
      </c>
      <c r="X19" s="20">
        <f>'3_Operational'!T19</f>
        <v>2.66</v>
      </c>
      <c r="Y19" s="20">
        <f>'4_Operational'!T19</f>
        <v>2.0099999999999998</v>
      </c>
      <c r="Z19" s="20">
        <f>'1_Operational'!S19</f>
        <v>0.09</v>
      </c>
      <c r="AA19" s="20">
        <f>'2_Operational'!S19</f>
        <v>0.1</v>
      </c>
      <c r="AB19" s="20">
        <f>'3_Operational'!S19</f>
        <v>0.1</v>
      </c>
      <c r="AC19" s="20">
        <f>'4_Operational'!S19</f>
        <v>0.09</v>
      </c>
      <c r="AD19" s="20">
        <f>'1_Operational'!AD19</f>
        <v>138</v>
      </c>
      <c r="AE19" s="20">
        <f>'1_Operational'!AE19</f>
        <v>142</v>
      </c>
      <c r="AF19" s="20">
        <f>'3_Operational'!Z19</f>
        <v>138</v>
      </c>
      <c r="AG19" s="20">
        <f>'4_Operational'!AA19</f>
        <v>142</v>
      </c>
    </row>
    <row r="20" spans="1:33">
      <c r="A20" s="20">
        <f t="shared" si="0"/>
        <v>16.12</v>
      </c>
      <c r="B20" s="20">
        <f t="shared" si="1"/>
        <v>0.09</v>
      </c>
      <c r="C20" s="20">
        <f t="shared" si="2"/>
        <v>0.09</v>
      </c>
      <c r="D20" s="20">
        <f t="shared" si="3"/>
        <v>0.09</v>
      </c>
      <c r="E20" s="20">
        <f t="shared" si="4"/>
        <v>0.09</v>
      </c>
      <c r="F20" s="20">
        <v>0.2</v>
      </c>
      <c r="G20" s="20">
        <v>0</v>
      </c>
      <c r="Q20" s="20">
        <f>'1_Operational'!Q20</f>
        <v>16.12</v>
      </c>
      <c r="R20" s="20">
        <f>'1_Operational'!R20</f>
        <v>1269.27</v>
      </c>
      <c r="S20" s="20">
        <f>'2_Operational'!R20</f>
        <v>1289.098</v>
      </c>
      <c r="T20" s="20">
        <f>'3_Operational'!R20</f>
        <v>1309.8140000000001</v>
      </c>
      <c r="U20" s="20">
        <f>'4_Operational'!R20</f>
        <v>1329.12</v>
      </c>
      <c r="V20" s="20">
        <f>'1_Operational'!T20</f>
        <v>1.29</v>
      </c>
      <c r="W20" s="20">
        <f>'2_Operational'!T20</f>
        <v>1.07</v>
      </c>
      <c r="X20" s="20">
        <f>'3_Operational'!T20</f>
        <v>2.61</v>
      </c>
      <c r="Y20" s="20">
        <f>'4_Operational'!T20</f>
        <v>1.97</v>
      </c>
      <c r="Z20" s="20">
        <f>'1_Operational'!S20</f>
        <v>0.09</v>
      </c>
      <c r="AA20" s="20">
        <f>'2_Operational'!S20</f>
        <v>0.09</v>
      </c>
      <c r="AB20" s="20">
        <f>'3_Operational'!S20</f>
        <v>0.09</v>
      </c>
      <c r="AC20" s="20">
        <f>'4_Operational'!S20</f>
        <v>0.09</v>
      </c>
      <c r="AD20" s="20">
        <f>'1_Operational'!AD20</f>
        <v>138</v>
      </c>
      <c r="AE20" s="20">
        <f>'1_Operational'!AE20</f>
        <v>142</v>
      </c>
      <c r="AF20" s="20">
        <f>'3_Operational'!Z20</f>
        <v>138</v>
      </c>
      <c r="AG20" s="20">
        <f>'4_Operational'!AA20</f>
        <v>142</v>
      </c>
    </row>
    <row r="21" spans="1:33">
      <c r="A21" s="20">
        <f t="shared" si="0"/>
        <v>16.989999999999998</v>
      </c>
      <c r="B21" s="20">
        <f t="shared" si="1"/>
        <v>0.09</v>
      </c>
      <c r="C21" s="20">
        <f t="shared" si="2"/>
        <v>0.09</v>
      </c>
      <c r="D21" s="20">
        <f t="shared" si="3"/>
        <v>0.09</v>
      </c>
      <c r="E21" s="20">
        <f t="shared" si="4"/>
        <v>0.09</v>
      </c>
      <c r="F21" s="20">
        <v>0.2</v>
      </c>
      <c r="G21" s="20">
        <v>0</v>
      </c>
      <c r="Q21" s="20">
        <f>'1_Operational'!Q21</f>
        <v>16.989999999999998</v>
      </c>
      <c r="R21" s="20">
        <f>'1_Operational'!R21</f>
        <v>1269.348</v>
      </c>
      <c r="S21" s="20">
        <f>'2_Operational'!R21</f>
        <v>1289.1769999999999</v>
      </c>
      <c r="T21" s="20">
        <f>'3_Operational'!R21</f>
        <v>1309.893</v>
      </c>
      <c r="U21" s="20">
        <f>'4_Operational'!R21</f>
        <v>1329.201</v>
      </c>
      <c r="V21" s="20">
        <f>'1_Operational'!T21</f>
        <v>1.24</v>
      </c>
      <c r="W21" s="20">
        <f>'2_Operational'!T21</f>
        <v>1.04</v>
      </c>
      <c r="X21" s="20">
        <f>'3_Operational'!T21</f>
        <v>2.63</v>
      </c>
      <c r="Y21" s="20">
        <f>'4_Operational'!T21</f>
        <v>2.0499999999999998</v>
      </c>
      <c r="Z21" s="20">
        <f>'1_Operational'!S21</f>
        <v>0.09</v>
      </c>
      <c r="AA21" s="20">
        <f>'2_Operational'!S21</f>
        <v>0.09</v>
      </c>
      <c r="AB21" s="20">
        <f>'3_Operational'!S21</f>
        <v>0.09</v>
      </c>
      <c r="AC21" s="20">
        <f>'4_Operational'!S21</f>
        <v>0.09</v>
      </c>
      <c r="AD21" s="20">
        <f>'1_Operational'!AD21</f>
        <v>138</v>
      </c>
      <c r="AE21" s="20">
        <f>'1_Operational'!AE21</f>
        <v>142</v>
      </c>
      <c r="AF21" s="20">
        <f>'3_Operational'!Z21</f>
        <v>138</v>
      </c>
      <c r="AG21" s="20">
        <f>'4_Operational'!AA21</f>
        <v>142</v>
      </c>
    </row>
    <row r="22" spans="1:33">
      <c r="A22" s="20">
        <f t="shared" si="0"/>
        <v>17.829999999999998</v>
      </c>
      <c r="B22" s="20">
        <f t="shared" si="1"/>
        <v>0.09</v>
      </c>
      <c r="C22" s="20">
        <f t="shared" si="2"/>
        <v>0.09</v>
      </c>
      <c r="D22" s="20">
        <f t="shared" si="3"/>
        <v>0.09</v>
      </c>
      <c r="E22" s="20">
        <f t="shared" si="4"/>
        <v>0.1</v>
      </c>
      <c r="F22" s="20">
        <v>0.2</v>
      </c>
      <c r="G22" s="20">
        <v>0</v>
      </c>
      <c r="Q22" s="20">
        <f>'1_Operational'!Q22</f>
        <v>17.829999999999998</v>
      </c>
      <c r="R22" s="20">
        <f>'1_Operational'!R22</f>
        <v>1269.424</v>
      </c>
      <c r="S22" s="20">
        <f>'2_Operational'!R22</f>
        <v>1289.2539999999999</v>
      </c>
      <c r="T22" s="20">
        <f>'3_Operational'!R22</f>
        <v>1309.97</v>
      </c>
      <c r="U22" s="20">
        <f>'4_Operational'!R22</f>
        <v>1329.2809999999999</v>
      </c>
      <c r="V22" s="20">
        <f>'1_Operational'!T22</f>
        <v>1.28</v>
      </c>
      <c r="W22" s="20">
        <f>'2_Operational'!T22</f>
        <v>1.06</v>
      </c>
      <c r="X22" s="20">
        <f>'3_Operational'!T22</f>
        <v>2.63</v>
      </c>
      <c r="Y22" s="20">
        <f>'4_Operational'!T22</f>
        <v>2.04</v>
      </c>
      <c r="Z22" s="20">
        <f>'1_Operational'!S22</f>
        <v>0.09</v>
      </c>
      <c r="AA22" s="20">
        <f>'2_Operational'!S22</f>
        <v>0.09</v>
      </c>
      <c r="AB22" s="20">
        <f>'3_Operational'!S22</f>
        <v>0.09</v>
      </c>
      <c r="AC22" s="20">
        <f>'4_Operational'!S22</f>
        <v>0.1</v>
      </c>
      <c r="AD22" s="20">
        <f>'1_Operational'!AD22</f>
        <v>138</v>
      </c>
      <c r="AE22" s="20">
        <f>'1_Operational'!AE22</f>
        <v>143</v>
      </c>
      <c r="AF22" s="20">
        <f>'3_Operational'!Z22</f>
        <v>138</v>
      </c>
      <c r="AG22" s="20">
        <f>'4_Operational'!AA22</f>
        <v>143</v>
      </c>
    </row>
    <row r="23" spans="1:33">
      <c r="A23" s="20">
        <f t="shared" si="0"/>
        <v>18.68</v>
      </c>
      <c r="B23" s="20">
        <f t="shared" si="1"/>
        <v>0.09</v>
      </c>
      <c r="C23" s="20">
        <f t="shared" si="2"/>
        <v>0.09</v>
      </c>
      <c r="D23" s="20">
        <f t="shared" si="3"/>
        <v>0.09</v>
      </c>
      <c r="E23" s="20">
        <f t="shared" si="4"/>
        <v>0.09</v>
      </c>
      <c r="F23" s="20">
        <v>0.2</v>
      </c>
      <c r="G23" s="20">
        <v>0</v>
      </c>
      <c r="Q23" s="20">
        <f>'1_Operational'!Q23</f>
        <v>18.68</v>
      </c>
      <c r="R23" s="20">
        <f>'1_Operational'!R23</f>
        <v>1269.5</v>
      </c>
      <c r="S23" s="20">
        <f>'2_Operational'!R23</f>
        <v>1289.3309999999999</v>
      </c>
      <c r="T23" s="20">
        <f>'3_Operational'!R23</f>
        <v>1310.047</v>
      </c>
      <c r="U23" s="20">
        <f>'4_Operational'!R23</f>
        <v>1329.3589999999999</v>
      </c>
      <c r="V23" s="20">
        <f>'1_Operational'!T23</f>
        <v>1.32</v>
      </c>
      <c r="W23" s="20">
        <f>'2_Operational'!T23</f>
        <v>1.03</v>
      </c>
      <c r="X23" s="20">
        <f>'3_Operational'!T23</f>
        <v>2.57</v>
      </c>
      <c r="Y23" s="20">
        <f>'4_Operational'!T23</f>
        <v>1.99</v>
      </c>
      <c r="Z23" s="20">
        <f>'1_Operational'!S23</f>
        <v>0.09</v>
      </c>
      <c r="AA23" s="20">
        <f>'2_Operational'!S23</f>
        <v>0.09</v>
      </c>
      <c r="AB23" s="20">
        <f>'3_Operational'!S23</f>
        <v>0.09</v>
      </c>
      <c r="AC23" s="20">
        <f>'4_Operational'!S23</f>
        <v>0.09</v>
      </c>
      <c r="AD23" s="20">
        <f>'1_Operational'!AD23</f>
        <v>138</v>
      </c>
      <c r="AE23" s="20">
        <f>'1_Operational'!AE23</f>
        <v>143</v>
      </c>
      <c r="AF23" s="20">
        <f>'3_Operational'!Z23</f>
        <v>138</v>
      </c>
      <c r="AG23" s="20">
        <f>'4_Operational'!AA23</f>
        <v>143</v>
      </c>
    </row>
    <row r="24" spans="1:33">
      <c r="A24" s="20">
        <f t="shared" si="0"/>
        <v>19.5</v>
      </c>
      <c r="B24" s="20">
        <f t="shared" si="1"/>
        <v>0.09</v>
      </c>
      <c r="C24" s="20">
        <f t="shared" si="2"/>
        <v>0.1</v>
      </c>
      <c r="D24" s="20">
        <f t="shared" si="3"/>
        <v>0.09</v>
      </c>
      <c r="E24" s="20">
        <f t="shared" si="4"/>
        <v>0.1</v>
      </c>
      <c r="F24" s="20">
        <v>0.2</v>
      </c>
      <c r="G24" s="20">
        <v>0</v>
      </c>
      <c r="Q24" s="20">
        <f>'1_Operational'!Q24</f>
        <v>19.5</v>
      </c>
      <c r="R24" s="20">
        <f>'1_Operational'!R24</f>
        <v>1269.577</v>
      </c>
      <c r="S24" s="20">
        <f>'2_Operational'!R24</f>
        <v>1289.4090000000001</v>
      </c>
      <c r="T24" s="20">
        <f>'3_Operational'!R24</f>
        <v>1310.124</v>
      </c>
      <c r="U24" s="20">
        <f>'4_Operational'!R24</f>
        <v>1329.4369999999999</v>
      </c>
      <c r="V24" s="20">
        <f>'1_Operational'!T24</f>
        <v>1.35</v>
      </c>
      <c r="W24" s="20">
        <f>'2_Operational'!T24</f>
        <v>1.07</v>
      </c>
      <c r="X24" s="20">
        <f>'3_Operational'!T24</f>
        <v>2.54</v>
      </c>
      <c r="Y24" s="20">
        <f>'4_Operational'!T24</f>
        <v>2.0099999999999998</v>
      </c>
      <c r="Z24" s="20">
        <f>'1_Operational'!S24</f>
        <v>0.09</v>
      </c>
      <c r="AA24" s="20">
        <f>'2_Operational'!S24</f>
        <v>0.1</v>
      </c>
      <c r="AB24" s="20">
        <f>'3_Operational'!S24</f>
        <v>0.09</v>
      </c>
      <c r="AC24" s="20">
        <f>'4_Operational'!S24</f>
        <v>0.1</v>
      </c>
      <c r="AD24" s="20">
        <f>'1_Operational'!AD24</f>
        <v>139</v>
      </c>
      <c r="AE24" s="20">
        <f>'1_Operational'!AE24</f>
        <v>143</v>
      </c>
      <c r="AF24" s="20">
        <f>'3_Operational'!Z24</f>
        <v>139</v>
      </c>
      <c r="AG24" s="20">
        <f>'4_Operational'!AA24</f>
        <v>143</v>
      </c>
    </row>
    <row r="25" spans="1:33">
      <c r="A25" s="20">
        <f t="shared" si="0"/>
        <v>20.36</v>
      </c>
      <c r="B25" s="20">
        <f t="shared" si="1"/>
        <v>0.09</v>
      </c>
      <c r="C25" s="20">
        <f t="shared" si="2"/>
        <v>0.09</v>
      </c>
      <c r="D25" s="20">
        <f t="shared" si="3"/>
        <v>0.09</v>
      </c>
      <c r="E25" s="20">
        <f t="shared" si="4"/>
        <v>0.09</v>
      </c>
      <c r="F25" s="20">
        <v>0.2</v>
      </c>
      <c r="G25" s="20">
        <v>0</v>
      </c>
      <c r="Q25" s="20">
        <f>'1_Operational'!Q25</f>
        <v>20.36</v>
      </c>
      <c r="R25" s="20">
        <f>'1_Operational'!R25</f>
        <v>1269.652</v>
      </c>
      <c r="S25" s="20">
        <f>'2_Operational'!R25</f>
        <v>1289.4860000000001</v>
      </c>
      <c r="T25" s="20">
        <f>'3_Operational'!R25</f>
        <v>1310.2</v>
      </c>
      <c r="U25" s="20">
        <f>'4_Operational'!R25</f>
        <v>1329.5160000000001</v>
      </c>
      <c r="V25" s="20">
        <f>'1_Operational'!T25</f>
        <v>1.34</v>
      </c>
      <c r="W25" s="20">
        <f>'2_Operational'!T25</f>
        <v>1.07</v>
      </c>
      <c r="X25" s="20">
        <f>'3_Operational'!T25</f>
        <v>2.5299999999999998</v>
      </c>
      <c r="Y25" s="20">
        <f>'4_Operational'!T25</f>
        <v>2</v>
      </c>
      <c r="Z25" s="20">
        <f>'1_Operational'!S25</f>
        <v>0.09</v>
      </c>
      <c r="AA25" s="20">
        <f>'2_Operational'!S25</f>
        <v>0.09</v>
      </c>
      <c r="AB25" s="20">
        <f>'3_Operational'!S25</f>
        <v>0.09</v>
      </c>
      <c r="AC25" s="20">
        <f>'4_Operational'!S25</f>
        <v>0.09</v>
      </c>
      <c r="AD25" s="20">
        <f>'1_Operational'!AD25</f>
        <v>139</v>
      </c>
      <c r="AE25" s="20">
        <f>'1_Operational'!AE25</f>
        <v>144</v>
      </c>
      <c r="AF25" s="20">
        <f>'3_Operational'!Z25</f>
        <v>139</v>
      </c>
      <c r="AG25" s="20">
        <f>'4_Operational'!AA25</f>
        <v>144</v>
      </c>
    </row>
    <row r="26" spans="1:33">
      <c r="A26" s="20">
        <f t="shared" si="0"/>
        <v>21.21</v>
      </c>
      <c r="B26" s="20">
        <f t="shared" si="1"/>
        <v>0.09</v>
      </c>
      <c r="C26" s="20">
        <f t="shared" si="2"/>
        <v>0.09</v>
      </c>
      <c r="D26" s="20">
        <f t="shared" si="3"/>
        <v>0.09</v>
      </c>
      <c r="E26" s="20">
        <f t="shared" si="4"/>
        <v>0.09</v>
      </c>
      <c r="F26" s="20">
        <v>0.2</v>
      </c>
      <c r="G26" s="20">
        <v>0</v>
      </c>
      <c r="Q26" s="20">
        <f>'1_Operational'!Q26</f>
        <v>21.21</v>
      </c>
      <c r="R26" s="20">
        <f>'1_Operational'!R26</f>
        <v>1269.7260000000001</v>
      </c>
      <c r="S26" s="20">
        <f>'2_Operational'!R26</f>
        <v>1289.5619999999999</v>
      </c>
      <c r="T26" s="20">
        <f>'3_Operational'!R26</f>
        <v>1310.2739999999999</v>
      </c>
      <c r="U26" s="20">
        <f>'4_Operational'!R26</f>
        <v>1329.5920000000001</v>
      </c>
      <c r="V26" s="20">
        <f>'1_Operational'!T26</f>
        <v>1.36</v>
      </c>
      <c r="W26" s="20">
        <f>'2_Operational'!T26</f>
        <v>1.01</v>
      </c>
      <c r="X26" s="20">
        <f>'3_Operational'!T26</f>
        <v>2.5099999999999998</v>
      </c>
      <c r="Y26" s="20">
        <f>'4_Operational'!T26</f>
        <v>2.02</v>
      </c>
      <c r="Z26" s="20">
        <f>'1_Operational'!S26</f>
        <v>0.09</v>
      </c>
      <c r="AA26" s="20">
        <f>'2_Operational'!S26</f>
        <v>0.09</v>
      </c>
      <c r="AB26" s="20">
        <f>'3_Operational'!S26</f>
        <v>0.09</v>
      </c>
      <c r="AC26" s="20">
        <f>'4_Operational'!S26</f>
        <v>0.09</v>
      </c>
      <c r="AD26" s="20">
        <f>'1_Operational'!AD26</f>
        <v>140</v>
      </c>
      <c r="AE26" s="20">
        <f>'1_Operational'!AE26</f>
        <v>144</v>
      </c>
      <c r="AF26" s="20">
        <f>'3_Operational'!Z26</f>
        <v>140</v>
      </c>
      <c r="AG26" s="20">
        <f>'4_Operational'!AA26</f>
        <v>144</v>
      </c>
    </row>
    <row r="27" spans="1:33">
      <c r="A27" s="20">
        <f t="shared" si="0"/>
        <v>22.08</v>
      </c>
      <c r="B27" s="20">
        <f t="shared" si="1"/>
        <v>0.09</v>
      </c>
      <c r="C27" s="20">
        <f t="shared" si="2"/>
        <v>0.09</v>
      </c>
      <c r="D27" s="20">
        <f t="shared" si="3"/>
        <v>0.09</v>
      </c>
      <c r="E27" s="20">
        <f t="shared" si="4"/>
        <v>0.09</v>
      </c>
      <c r="F27" s="20">
        <v>0.2</v>
      </c>
      <c r="G27" s="20">
        <v>0</v>
      </c>
      <c r="Q27" s="20">
        <f>'1_Operational'!Q27</f>
        <v>22.08</v>
      </c>
      <c r="R27" s="20">
        <f>'1_Operational'!R27</f>
        <v>1269.8009999999999</v>
      </c>
      <c r="S27" s="20">
        <f>'2_Operational'!R27</f>
        <v>1289.6389999999999</v>
      </c>
      <c r="T27" s="20">
        <f>'3_Operational'!R27</f>
        <v>1310.3510000000001</v>
      </c>
      <c r="U27" s="20">
        <f>'4_Operational'!R27</f>
        <v>1329.671</v>
      </c>
      <c r="V27" s="20">
        <f>'1_Operational'!T27</f>
        <v>1.4</v>
      </c>
      <c r="W27" s="20">
        <f>'2_Operational'!T27</f>
        <v>0.92</v>
      </c>
      <c r="X27" s="20">
        <f>'3_Operational'!T27</f>
        <v>2.5499999999999998</v>
      </c>
      <c r="Y27" s="20">
        <f>'4_Operational'!T27</f>
        <v>2.0499999999999998</v>
      </c>
      <c r="Z27" s="20">
        <f>'1_Operational'!S27</f>
        <v>0.09</v>
      </c>
      <c r="AA27" s="20">
        <f>'2_Operational'!S27</f>
        <v>0.09</v>
      </c>
      <c r="AB27" s="20">
        <f>'3_Operational'!S27</f>
        <v>0.09</v>
      </c>
      <c r="AC27" s="20">
        <f>'4_Operational'!S27</f>
        <v>0.09</v>
      </c>
      <c r="AD27" s="20">
        <f>'1_Operational'!AD27</f>
        <v>140</v>
      </c>
      <c r="AE27" s="20">
        <f>'1_Operational'!AE27</f>
        <v>144</v>
      </c>
      <c r="AF27" s="20">
        <f>'3_Operational'!Z27</f>
        <v>140</v>
      </c>
      <c r="AG27" s="20">
        <f>'4_Operational'!AA27</f>
        <v>144</v>
      </c>
    </row>
    <row r="28" spans="1:33">
      <c r="A28" s="20">
        <f t="shared" si="0"/>
        <v>22.97</v>
      </c>
      <c r="B28" s="20">
        <f t="shared" si="1"/>
        <v>0.09</v>
      </c>
      <c r="C28" s="20">
        <f t="shared" si="2"/>
        <v>0.09</v>
      </c>
      <c r="D28" s="20">
        <f t="shared" si="3"/>
        <v>0.09</v>
      </c>
      <c r="E28" s="20">
        <f t="shared" si="4"/>
        <v>0.09</v>
      </c>
      <c r="F28" s="20">
        <v>0.2</v>
      </c>
      <c r="G28" s="20">
        <v>0</v>
      </c>
      <c r="Q28" s="20">
        <f>'1_Operational'!Q28</f>
        <v>22.97</v>
      </c>
      <c r="R28" s="20">
        <f>'1_Operational'!R28</f>
        <v>1269.8779999999999</v>
      </c>
      <c r="S28" s="20">
        <f>'2_Operational'!R28</f>
        <v>1289.7159999999999</v>
      </c>
      <c r="T28" s="20">
        <f>'3_Operational'!R28</f>
        <v>1310.4280000000001</v>
      </c>
      <c r="U28" s="20">
        <f>'4_Operational'!R28</f>
        <v>1329.751</v>
      </c>
      <c r="V28" s="20">
        <f>'1_Operational'!T28</f>
        <v>1.4</v>
      </c>
      <c r="W28" s="20">
        <f>'2_Operational'!T28</f>
        <v>0.93</v>
      </c>
      <c r="X28" s="20">
        <f>'3_Operational'!T28</f>
        <v>2.5299999999999998</v>
      </c>
      <c r="Y28" s="20">
        <f>'4_Operational'!T28</f>
        <v>2.04</v>
      </c>
      <c r="Z28" s="20">
        <f>'1_Operational'!S28</f>
        <v>0.09</v>
      </c>
      <c r="AA28" s="20">
        <f>'2_Operational'!S28</f>
        <v>0.09</v>
      </c>
      <c r="AB28" s="20">
        <f>'3_Operational'!S28</f>
        <v>0.09</v>
      </c>
      <c r="AC28" s="20">
        <f>'4_Operational'!S28</f>
        <v>0.09</v>
      </c>
      <c r="AD28" s="20">
        <f>'1_Operational'!AD28</f>
        <v>141</v>
      </c>
      <c r="AE28" s="20">
        <f>'1_Operational'!AE28</f>
        <v>145</v>
      </c>
      <c r="AF28" s="20">
        <f>'3_Operational'!Z28</f>
        <v>141</v>
      </c>
      <c r="AG28" s="20">
        <f>'4_Operational'!AA28</f>
        <v>145</v>
      </c>
    </row>
    <row r="29" spans="1:33">
      <c r="A29" s="20">
        <f t="shared" si="0"/>
        <v>23.82</v>
      </c>
      <c r="B29" s="20">
        <f t="shared" si="1"/>
        <v>0.09</v>
      </c>
      <c r="C29" s="20">
        <f t="shared" si="2"/>
        <v>0.09</v>
      </c>
      <c r="D29" s="20">
        <f t="shared" si="3"/>
        <v>0.1</v>
      </c>
      <c r="E29" s="20">
        <f t="shared" si="4"/>
        <v>0.1</v>
      </c>
      <c r="F29" s="20">
        <v>0.2</v>
      </c>
      <c r="G29" s="20">
        <v>0</v>
      </c>
      <c r="Q29" s="20">
        <f>'1_Operational'!Q29</f>
        <v>23.82</v>
      </c>
      <c r="R29" s="20">
        <f>'1_Operational'!R29</f>
        <v>1269.9580000000001</v>
      </c>
      <c r="S29" s="20">
        <f>'2_Operational'!R29</f>
        <v>1289.7950000000001</v>
      </c>
      <c r="T29" s="20">
        <f>'3_Operational'!R29</f>
        <v>1310.509</v>
      </c>
      <c r="U29" s="20">
        <f>'4_Operational'!R29</f>
        <v>1329.8330000000001</v>
      </c>
      <c r="V29" s="20">
        <f>'1_Operational'!T29</f>
        <v>1.4</v>
      </c>
      <c r="W29" s="20">
        <f>'2_Operational'!T29</f>
        <v>0.97</v>
      </c>
      <c r="X29" s="20">
        <f>'3_Operational'!T29</f>
        <v>2.5099999999999998</v>
      </c>
      <c r="Y29" s="20">
        <f>'4_Operational'!T29</f>
        <v>2</v>
      </c>
      <c r="Z29" s="20">
        <f>'1_Operational'!S29</f>
        <v>0.09</v>
      </c>
      <c r="AA29" s="20">
        <f>'2_Operational'!S29</f>
        <v>0.09</v>
      </c>
      <c r="AB29" s="20">
        <f>'3_Operational'!S29</f>
        <v>0.1</v>
      </c>
      <c r="AC29" s="20">
        <f>'4_Operational'!S29</f>
        <v>0.1</v>
      </c>
      <c r="AD29" s="20">
        <f>'1_Operational'!AD29</f>
        <v>142</v>
      </c>
      <c r="AE29" s="20">
        <f>'1_Operational'!AE29</f>
        <v>145</v>
      </c>
      <c r="AF29" s="20">
        <f>'3_Operational'!Z29</f>
        <v>142</v>
      </c>
      <c r="AG29" s="20">
        <f>'4_Operational'!AA29</f>
        <v>145</v>
      </c>
    </row>
    <row r="30" spans="1:33">
      <c r="A30" s="20">
        <f t="shared" si="0"/>
        <v>24.62</v>
      </c>
      <c r="B30" s="20">
        <f t="shared" si="1"/>
        <v>0.1</v>
      </c>
      <c r="C30" s="20">
        <f t="shared" si="2"/>
        <v>0.1</v>
      </c>
      <c r="D30" s="20">
        <f t="shared" si="3"/>
        <v>0.1</v>
      </c>
      <c r="E30" s="20">
        <f t="shared" si="4"/>
        <v>0.1</v>
      </c>
      <c r="F30" s="20">
        <v>0.2</v>
      </c>
      <c r="G30" s="20">
        <v>0</v>
      </c>
      <c r="Q30" s="20">
        <f>'1_Operational'!Q30</f>
        <v>24.62</v>
      </c>
      <c r="R30" s="20">
        <f>'1_Operational'!R30</f>
        <v>1270.0350000000001</v>
      </c>
      <c r="S30" s="20">
        <f>'2_Operational'!R30</f>
        <v>1289.873</v>
      </c>
      <c r="T30" s="20">
        <f>'3_Operational'!R30</f>
        <v>1310.588</v>
      </c>
      <c r="U30" s="20">
        <f>'4_Operational'!R30</f>
        <v>1329.913</v>
      </c>
      <c r="V30" s="20">
        <f>'1_Operational'!T30</f>
        <v>1.32</v>
      </c>
      <c r="W30" s="20">
        <f>'2_Operational'!T30</f>
        <v>0.97</v>
      </c>
      <c r="X30" s="20">
        <f>'3_Operational'!T30</f>
        <v>2.5499999999999998</v>
      </c>
      <c r="Y30" s="20">
        <f>'4_Operational'!T30</f>
        <v>1.99</v>
      </c>
      <c r="Z30" s="20">
        <f>'1_Operational'!S30</f>
        <v>0.1</v>
      </c>
      <c r="AA30" s="20">
        <f>'2_Operational'!S30</f>
        <v>0.1</v>
      </c>
      <c r="AB30" s="20">
        <f>'3_Operational'!S30</f>
        <v>0.1</v>
      </c>
      <c r="AC30" s="20">
        <f>'4_Operational'!S30</f>
        <v>0.1</v>
      </c>
      <c r="AD30" s="20">
        <f>'1_Operational'!AD30</f>
        <v>142</v>
      </c>
      <c r="AE30" s="20">
        <f>'1_Operational'!AE30</f>
        <v>145</v>
      </c>
      <c r="AF30" s="20">
        <f>'3_Operational'!Z30</f>
        <v>142</v>
      </c>
      <c r="AG30" s="20">
        <f>'4_Operational'!AA30</f>
        <v>145</v>
      </c>
    </row>
    <row r="31" spans="1:33">
      <c r="A31" s="20">
        <f t="shared" si="0"/>
        <v>25.45</v>
      </c>
      <c r="B31" s="20">
        <f t="shared" si="1"/>
        <v>0.09</v>
      </c>
      <c r="C31" s="20">
        <f t="shared" si="2"/>
        <v>0.09</v>
      </c>
      <c r="D31" s="20">
        <f t="shared" si="3"/>
        <v>0.09</v>
      </c>
      <c r="E31" s="20">
        <f t="shared" si="4"/>
        <v>0.09</v>
      </c>
      <c r="F31" s="20">
        <v>0.2</v>
      </c>
      <c r="G31" s="20">
        <v>0</v>
      </c>
      <c r="Q31" s="20">
        <f>'1_Operational'!Q31</f>
        <v>25.45</v>
      </c>
      <c r="R31" s="20">
        <f>'1_Operational'!R31</f>
        <v>1270.1089999999999</v>
      </c>
      <c r="S31" s="20">
        <f>'2_Operational'!R31</f>
        <v>1289.9490000000001</v>
      </c>
      <c r="T31" s="20">
        <f>'3_Operational'!R31</f>
        <v>1310.664</v>
      </c>
      <c r="U31" s="20">
        <f>'4_Operational'!R31</f>
        <v>1329.989</v>
      </c>
      <c r="V31" s="20">
        <f>'1_Operational'!T31</f>
        <v>1.3</v>
      </c>
      <c r="W31" s="20">
        <f>'2_Operational'!T31</f>
        <v>1</v>
      </c>
      <c r="X31" s="20">
        <f>'3_Operational'!T31</f>
        <v>2.52</v>
      </c>
      <c r="Y31" s="20">
        <f>'4_Operational'!T31</f>
        <v>1.98</v>
      </c>
      <c r="Z31" s="20">
        <f>'1_Operational'!S31</f>
        <v>0.09</v>
      </c>
      <c r="AA31" s="20">
        <f>'2_Operational'!S31</f>
        <v>0.09</v>
      </c>
      <c r="AB31" s="20">
        <f>'3_Operational'!S31</f>
        <v>0.09</v>
      </c>
      <c r="AC31" s="20">
        <f>'4_Operational'!S31</f>
        <v>0.09</v>
      </c>
      <c r="AD31" s="20">
        <f>'1_Operational'!AD31</f>
        <v>143</v>
      </c>
      <c r="AE31" s="20">
        <f>'1_Operational'!AE31</f>
        <v>146</v>
      </c>
      <c r="AF31" s="20">
        <f>'3_Operational'!Z31</f>
        <v>143</v>
      </c>
      <c r="AG31" s="20">
        <f>'4_Operational'!AA31</f>
        <v>146</v>
      </c>
    </row>
    <row r="32" spans="1:33">
      <c r="A32" s="20">
        <f t="shared" si="0"/>
        <v>26.29</v>
      </c>
      <c r="B32" s="20">
        <f t="shared" si="1"/>
        <v>0.09</v>
      </c>
      <c r="C32" s="20">
        <f t="shared" si="2"/>
        <v>0.09</v>
      </c>
      <c r="D32" s="20">
        <f t="shared" si="3"/>
        <v>0.09</v>
      </c>
      <c r="E32" s="20">
        <f t="shared" si="4"/>
        <v>0.09</v>
      </c>
      <c r="F32" s="20">
        <v>0.2</v>
      </c>
      <c r="G32" s="20">
        <v>0</v>
      </c>
      <c r="Q32" s="20">
        <f>'1_Operational'!Q32</f>
        <v>26.29</v>
      </c>
      <c r="R32" s="20">
        <f>'1_Operational'!R32</f>
        <v>1270.183</v>
      </c>
      <c r="S32" s="20">
        <f>'2_Operational'!R32</f>
        <v>1290.0219999999999</v>
      </c>
      <c r="T32" s="20">
        <f>'3_Operational'!R32</f>
        <v>1310.7380000000001</v>
      </c>
      <c r="U32" s="20">
        <f>'4_Operational'!R32</f>
        <v>1330.0640000000001</v>
      </c>
      <c r="V32" s="20">
        <f>'1_Operational'!T32</f>
        <v>1.32</v>
      </c>
      <c r="W32" s="20">
        <f>'2_Operational'!T32</f>
        <v>0.99</v>
      </c>
      <c r="X32" s="20">
        <f>'3_Operational'!T32</f>
        <v>2.5099999999999998</v>
      </c>
      <c r="Y32" s="20">
        <f>'4_Operational'!T32</f>
        <v>1.97</v>
      </c>
      <c r="Z32" s="20">
        <f>'1_Operational'!S32</f>
        <v>0.09</v>
      </c>
      <c r="AA32" s="20">
        <f>'2_Operational'!S32</f>
        <v>0.09</v>
      </c>
      <c r="AB32" s="20">
        <f>'3_Operational'!S32</f>
        <v>0.09</v>
      </c>
      <c r="AC32" s="20">
        <f>'4_Operational'!S32</f>
        <v>0.09</v>
      </c>
      <c r="AD32" s="20">
        <f>'1_Operational'!AD32</f>
        <v>143</v>
      </c>
      <c r="AE32" s="20">
        <f>'1_Operational'!AE32</f>
        <v>146</v>
      </c>
      <c r="AF32" s="20">
        <f>'3_Operational'!Z32</f>
        <v>143</v>
      </c>
      <c r="AG32" s="20">
        <f>'4_Operational'!AA32</f>
        <v>146</v>
      </c>
    </row>
    <row r="33" spans="1:33">
      <c r="A33" s="20">
        <f t="shared" si="0"/>
        <v>27.11</v>
      </c>
      <c r="B33" s="20">
        <f t="shared" si="1"/>
        <v>0.09</v>
      </c>
      <c r="C33" s="20">
        <f t="shared" si="2"/>
        <v>0.09</v>
      </c>
      <c r="D33" s="20">
        <f t="shared" si="3"/>
        <v>0.09</v>
      </c>
      <c r="E33" s="20">
        <f t="shared" si="4"/>
        <v>0.09</v>
      </c>
      <c r="F33" s="20">
        <v>0.2</v>
      </c>
      <c r="G33" s="20">
        <v>0</v>
      </c>
      <c r="Q33" s="20">
        <f>'1_Operational'!Q33</f>
        <v>27.11</v>
      </c>
      <c r="R33" s="20">
        <f>'1_Operational'!R33</f>
        <v>1270.259</v>
      </c>
      <c r="S33" s="20">
        <f>'2_Operational'!R33</f>
        <v>1290.097</v>
      </c>
      <c r="T33" s="20">
        <f>'3_Operational'!R33</f>
        <v>1310.8150000000001</v>
      </c>
      <c r="U33" s="20">
        <f>'4_Operational'!R33</f>
        <v>1330.14</v>
      </c>
      <c r="V33" s="20">
        <f>'1_Operational'!T33</f>
        <v>1.28</v>
      </c>
      <c r="W33" s="20">
        <f>'2_Operational'!T33</f>
        <v>0.99</v>
      </c>
      <c r="X33" s="20">
        <f>'3_Operational'!T33</f>
        <v>2.54</v>
      </c>
      <c r="Y33" s="20">
        <f>'4_Operational'!T33</f>
        <v>1.97</v>
      </c>
      <c r="Z33" s="20">
        <f>'1_Operational'!S33</f>
        <v>0.09</v>
      </c>
      <c r="AA33" s="20">
        <f>'2_Operational'!S33</f>
        <v>0.09</v>
      </c>
      <c r="AB33" s="20">
        <f>'3_Operational'!S33</f>
        <v>0.09</v>
      </c>
      <c r="AC33" s="20">
        <f>'4_Operational'!S33</f>
        <v>0.09</v>
      </c>
      <c r="AD33" s="20">
        <f>'1_Operational'!AD33</f>
        <v>144</v>
      </c>
      <c r="AE33" s="20">
        <f>'1_Operational'!AE33</f>
        <v>147</v>
      </c>
      <c r="AF33" s="20">
        <f>'3_Operational'!Z33</f>
        <v>144</v>
      </c>
      <c r="AG33" s="20">
        <f>'4_Operational'!AA33</f>
        <v>147</v>
      </c>
    </row>
    <row r="34" spans="1:33">
      <c r="A34" s="20">
        <f t="shared" ref="A34:A65" si="5">Q34</f>
        <v>27.99</v>
      </c>
      <c r="B34" s="20">
        <f t="shared" ref="B34:B65" si="6">Z34</f>
        <v>0.09</v>
      </c>
      <c r="C34" s="20">
        <f t="shared" ref="C34:C65" si="7">AA34</f>
        <v>0.09</v>
      </c>
      <c r="D34" s="20">
        <f t="shared" ref="D34:D65" si="8">AB34</f>
        <v>0.09</v>
      </c>
      <c r="E34" s="20">
        <f t="shared" ref="E34:E65" si="9">AC34</f>
        <v>0.09</v>
      </c>
      <c r="F34" s="20">
        <v>0.2</v>
      </c>
      <c r="G34" s="20">
        <v>0</v>
      </c>
      <c r="Q34" s="20">
        <f>'1_Operational'!Q34</f>
        <v>27.99</v>
      </c>
      <c r="R34" s="20">
        <f>'1_Operational'!R34</f>
        <v>1270.336</v>
      </c>
      <c r="S34" s="20">
        <f>'2_Operational'!R34</f>
        <v>1290.174</v>
      </c>
      <c r="T34" s="20">
        <f>'3_Operational'!R34</f>
        <v>1310.8910000000001</v>
      </c>
      <c r="U34" s="20">
        <f>'4_Operational'!R34</f>
        <v>1330.2180000000001</v>
      </c>
      <c r="V34" s="20">
        <f>'1_Operational'!T34</f>
        <v>1.36</v>
      </c>
      <c r="W34" s="20">
        <f>'2_Operational'!T34</f>
        <v>0.99</v>
      </c>
      <c r="X34" s="20">
        <f>'3_Operational'!T34</f>
        <v>2.54</v>
      </c>
      <c r="Y34" s="20">
        <f>'4_Operational'!T34</f>
        <v>1.95</v>
      </c>
      <c r="Z34" s="20">
        <f>'1_Operational'!S34</f>
        <v>0.09</v>
      </c>
      <c r="AA34" s="20">
        <f>'2_Operational'!S34</f>
        <v>0.09</v>
      </c>
      <c r="AB34" s="20">
        <f>'3_Operational'!S34</f>
        <v>0.09</v>
      </c>
      <c r="AC34" s="20">
        <f>'4_Operational'!S34</f>
        <v>0.09</v>
      </c>
      <c r="AD34" s="20">
        <f>'1_Operational'!AD34</f>
        <v>145</v>
      </c>
      <c r="AE34" s="20">
        <f>'1_Operational'!AE34</f>
        <v>148</v>
      </c>
      <c r="AF34" s="20">
        <f>'3_Operational'!Z34</f>
        <v>145</v>
      </c>
      <c r="AG34" s="20">
        <f>'4_Operational'!AA34</f>
        <v>148</v>
      </c>
    </row>
    <row r="35" spans="1:33">
      <c r="A35" s="20">
        <f t="shared" si="5"/>
        <v>28.8</v>
      </c>
      <c r="B35" s="20">
        <f t="shared" si="6"/>
        <v>0.1</v>
      </c>
      <c r="C35" s="20">
        <f t="shared" si="7"/>
        <v>0.09</v>
      </c>
      <c r="D35" s="20">
        <f t="shared" si="8"/>
        <v>0.1</v>
      </c>
      <c r="E35" s="20">
        <f t="shared" si="9"/>
        <v>0.1</v>
      </c>
      <c r="F35" s="20">
        <v>0.2</v>
      </c>
      <c r="G35" s="20">
        <v>0</v>
      </c>
      <c r="Q35" s="20">
        <f>'1_Operational'!Q35</f>
        <v>28.8</v>
      </c>
      <c r="R35" s="20">
        <f>'1_Operational'!R35</f>
        <v>1270.414</v>
      </c>
      <c r="S35" s="20">
        <f>'2_Operational'!R35</f>
        <v>1290.249</v>
      </c>
      <c r="T35" s="20">
        <f>'3_Operational'!R35</f>
        <v>1310.9690000000001</v>
      </c>
      <c r="U35" s="20">
        <f>'4_Operational'!R35</f>
        <v>1330.2950000000001</v>
      </c>
      <c r="V35" s="20">
        <f>'1_Operational'!T35</f>
        <v>1.38</v>
      </c>
      <c r="W35" s="20">
        <f>'2_Operational'!T35</f>
        <v>1</v>
      </c>
      <c r="X35" s="20">
        <f>'3_Operational'!T35</f>
        <v>2.57</v>
      </c>
      <c r="Y35" s="20">
        <f>'4_Operational'!T35</f>
        <v>1.87</v>
      </c>
      <c r="Z35" s="20">
        <f>'1_Operational'!S35</f>
        <v>0.1</v>
      </c>
      <c r="AA35" s="20">
        <f>'2_Operational'!S35</f>
        <v>0.09</v>
      </c>
      <c r="AB35" s="20">
        <f>'3_Operational'!S35</f>
        <v>0.1</v>
      </c>
      <c r="AC35" s="20">
        <f>'4_Operational'!S35</f>
        <v>0.1</v>
      </c>
      <c r="AD35" s="20">
        <f>'1_Operational'!AD35</f>
        <v>145</v>
      </c>
      <c r="AE35" s="20">
        <f>'1_Operational'!AE35</f>
        <v>148</v>
      </c>
      <c r="AF35" s="20">
        <f>'3_Operational'!Z35</f>
        <v>145</v>
      </c>
      <c r="AG35" s="20">
        <f>'4_Operational'!AA35</f>
        <v>148</v>
      </c>
    </row>
    <row r="36" spans="1:33">
      <c r="A36" s="20">
        <f t="shared" si="5"/>
        <v>29.64</v>
      </c>
      <c r="B36" s="20">
        <f t="shared" si="6"/>
        <v>0.09</v>
      </c>
      <c r="C36" s="20">
        <f t="shared" si="7"/>
        <v>0.09</v>
      </c>
      <c r="D36" s="20">
        <f t="shared" si="8"/>
        <v>0.09</v>
      </c>
      <c r="E36" s="20">
        <f t="shared" si="9"/>
        <v>0.09</v>
      </c>
      <c r="F36" s="20">
        <v>0.2</v>
      </c>
      <c r="G36" s="20">
        <v>0</v>
      </c>
      <c r="Q36" s="20">
        <f>'1_Operational'!Q36</f>
        <v>29.64</v>
      </c>
      <c r="R36" s="20">
        <f>'1_Operational'!R36</f>
        <v>1270.49</v>
      </c>
      <c r="S36" s="20">
        <f>'2_Operational'!R36</f>
        <v>1290.325</v>
      </c>
      <c r="T36" s="20">
        <f>'3_Operational'!R36</f>
        <v>1311.046</v>
      </c>
      <c r="U36" s="20">
        <f>'4_Operational'!R36</f>
        <v>1330.3710000000001</v>
      </c>
      <c r="V36" s="20">
        <f>'1_Operational'!T36</f>
        <v>1.39</v>
      </c>
      <c r="W36" s="20">
        <f>'2_Operational'!T36</f>
        <v>1.07</v>
      </c>
      <c r="X36" s="20">
        <f>'3_Operational'!T36</f>
        <v>2.54</v>
      </c>
      <c r="Y36" s="20">
        <f>'4_Operational'!T36</f>
        <v>1.95</v>
      </c>
      <c r="Z36" s="20">
        <f>'1_Operational'!S36</f>
        <v>0.09</v>
      </c>
      <c r="AA36" s="20">
        <f>'2_Operational'!S36</f>
        <v>0.09</v>
      </c>
      <c r="AB36" s="20">
        <f>'3_Operational'!S36</f>
        <v>0.09</v>
      </c>
      <c r="AC36" s="20">
        <f>'4_Operational'!S36</f>
        <v>0.09</v>
      </c>
      <c r="AD36" s="20">
        <f>'1_Operational'!AD36</f>
        <v>146</v>
      </c>
      <c r="AE36" s="20">
        <f>'1_Operational'!AE36</f>
        <v>148</v>
      </c>
      <c r="AF36" s="20">
        <f>'3_Operational'!Z36</f>
        <v>146</v>
      </c>
      <c r="AG36" s="20">
        <f>'4_Operational'!AA36</f>
        <v>148</v>
      </c>
    </row>
    <row r="37" spans="1:33">
      <c r="A37" s="20">
        <f t="shared" si="5"/>
        <v>30.49</v>
      </c>
      <c r="B37" s="20">
        <f t="shared" si="6"/>
        <v>0.09</v>
      </c>
      <c r="C37" s="20">
        <f t="shared" si="7"/>
        <v>0.09</v>
      </c>
      <c r="D37" s="20">
        <f t="shared" si="8"/>
        <v>0.09</v>
      </c>
      <c r="E37" s="20">
        <f t="shared" si="9"/>
        <v>0.09</v>
      </c>
      <c r="F37" s="20">
        <v>0.2</v>
      </c>
      <c r="G37" s="20">
        <v>0</v>
      </c>
      <c r="Q37" s="20">
        <f>'1_Operational'!Q37</f>
        <v>30.49</v>
      </c>
      <c r="R37" s="20">
        <f>'1_Operational'!R37</f>
        <v>1270.566</v>
      </c>
      <c r="S37" s="20">
        <f>'2_Operational'!R37</f>
        <v>1290.403</v>
      </c>
      <c r="T37" s="20">
        <f>'3_Operational'!R37</f>
        <v>1311.124</v>
      </c>
      <c r="U37" s="20">
        <f>'4_Operational'!R37</f>
        <v>1330.4480000000001</v>
      </c>
      <c r="V37" s="20">
        <f>'1_Operational'!T37</f>
        <v>1.34</v>
      </c>
      <c r="W37" s="20">
        <f>'2_Operational'!T37</f>
        <v>1.08</v>
      </c>
      <c r="X37" s="20">
        <f>'3_Operational'!T37</f>
        <v>2.59</v>
      </c>
      <c r="Y37" s="20">
        <f>'4_Operational'!T37</f>
        <v>1.96</v>
      </c>
      <c r="Z37" s="20">
        <f>'1_Operational'!S37</f>
        <v>0.09</v>
      </c>
      <c r="AA37" s="20">
        <f>'2_Operational'!S37</f>
        <v>0.09</v>
      </c>
      <c r="AB37" s="20">
        <f>'3_Operational'!S37</f>
        <v>0.09</v>
      </c>
      <c r="AC37" s="20">
        <f>'4_Operational'!S37</f>
        <v>0.09</v>
      </c>
      <c r="AD37" s="20">
        <f>'1_Operational'!AD37</f>
        <v>146</v>
      </c>
      <c r="AE37" s="20">
        <f>'1_Operational'!AE37</f>
        <v>149</v>
      </c>
      <c r="AF37" s="20">
        <f>'3_Operational'!Z37</f>
        <v>146</v>
      </c>
      <c r="AG37" s="20">
        <f>'4_Operational'!AA37</f>
        <v>149</v>
      </c>
    </row>
    <row r="38" spans="1:33">
      <c r="A38" s="20">
        <f t="shared" si="5"/>
        <v>31.32</v>
      </c>
      <c r="B38" s="20">
        <f t="shared" si="6"/>
        <v>0.09</v>
      </c>
      <c r="C38" s="20">
        <f t="shared" si="7"/>
        <v>0.09</v>
      </c>
      <c r="D38" s="20">
        <f t="shared" si="8"/>
        <v>0.09</v>
      </c>
      <c r="E38" s="20">
        <f t="shared" si="9"/>
        <v>0.09</v>
      </c>
      <c r="F38" s="20">
        <v>0.2</v>
      </c>
      <c r="G38" s="20">
        <v>0</v>
      </c>
      <c r="Q38" s="20">
        <f>'1_Operational'!Q38</f>
        <v>31.32</v>
      </c>
      <c r="R38" s="20">
        <f>'1_Operational'!R38</f>
        <v>1270.6410000000001</v>
      </c>
      <c r="S38" s="20">
        <f>'2_Operational'!R38</f>
        <v>1290.479</v>
      </c>
      <c r="T38" s="20">
        <f>'3_Operational'!R38</f>
        <v>1311.2</v>
      </c>
      <c r="U38" s="20">
        <f>'4_Operational'!R38</f>
        <v>1330.5239999999999</v>
      </c>
      <c r="V38" s="20">
        <f>'1_Operational'!T38</f>
        <v>1.3</v>
      </c>
      <c r="W38" s="20">
        <f>'2_Operational'!T38</f>
        <v>1.05</v>
      </c>
      <c r="X38" s="20">
        <f>'3_Operational'!T38</f>
        <v>2.52</v>
      </c>
      <c r="Y38" s="20">
        <f>'4_Operational'!T38</f>
        <v>1.94</v>
      </c>
      <c r="Z38" s="20">
        <f>'1_Operational'!S38</f>
        <v>0.09</v>
      </c>
      <c r="AA38" s="20">
        <f>'2_Operational'!S38</f>
        <v>0.09</v>
      </c>
      <c r="AB38" s="20">
        <f>'3_Operational'!S38</f>
        <v>0.09</v>
      </c>
      <c r="AC38" s="20">
        <f>'4_Operational'!S38</f>
        <v>0.09</v>
      </c>
      <c r="AD38" s="20">
        <f>'1_Operational'!AD38</f>
        <v>147</v>
      </c>
      <c r="AE38" s="20">
        <f>'1_Operational'!AE38</f>
        <v>149</v>
      </c>
      <c r="AF38" s="20">
        <f>'3_Operational'!Z38</f>
        <v>147</v>
      </c>
      <c r="AG38" s="20">
        <f>'4_Operational'!AA38</f>
        <v>149</v>
      </c>
    </row>
    <row r="39" spans="1:33">
      <c r="A39" s="20">
        <f t="shared" si="5"/>
        <v>32.159999999999997</v>
      </c>
      <c r="B39" s="20">
        <f t="shared" si="6"/>
        <v>0.09</v>
      </c>
      <c r="C39" s="20">
        <f t="shared" si="7"/>
        <v>0.09</v>
      </c>
      <c r="D39" s="20">
        <f t="shared" si="8"/>
        <v>0.09</v>
      </c>
      <c r="E39" s="20">
        <f t="shared" si="9"/>
        <v>0.09</v>
      </c>
      <c r="F39" s="20">
        <v>0.2</v>
      </c>
      <c r="G39" s="20">
        <v>0</v>
      </c>
      <c r="Q39" s="20">
        <f>'1_Operational'!Q39</f>
        <v>32.159999999999997</v>
      </c>
      <c r="R39" s="20">
        <f>'1_Operational'!R39</f>
        <v>1270.7180000000001</v>
      </c>
      <c r="S39" s="20">
        <f>'2_Operational'!R39</f>
        <v>1290.557</v>
      </c>
      <c r="T39" s="20">
        <f>'3_Operational'!R39</f>
        <v>1311.277</v>
      </c>
      <c r="U39" s="20">
        <f>'4_Operational'!R39</f>
        <v>1330.6030000000001</v>
      </c>
      <c r="V39" s="20">
        <f>'1_Operational'!T39</f>
        <v>1.27</v>
      </c>
      <c r="W39" s="20">
        <f>'2_Operational'!T39</f>
        <v>1.05</v>
      </c>
      <c r="X39" s="20">
        <f>'3_Operational'!T39</f>
        <v>2.46</v>
      </c>
      <c r="Y39" s="20">
        <f>'4_Operational'!T39</f>
        <v>1.93</v>
      </c>
      <c r="Z39" s="20">
        <f>'1_Operational'!S39</f>
        <v>0.09</v>
      </c>
      <c r="AA39" s="20">
        <f>'2_Operational'!S39</f>
        <v>0.09</v>
      </c>
      <c r="AB39" s="20">
        <f>'3_Operational'!S39</f>
        <v>0.09</v>
      </c>
      <c r="AC39" s="20">
        <f>'4_Operational'!S39</f>
        <v>0.09</v>
      </c>
      <c r="AD39" s="20">
        <f>'1_Operational'!AD39</f>
        <v>147</v>
      </c>
      <c r="AE39" s="20">
        <f>'1_Operational'!AE39</f>
        <v>150</v>
      </c>
      <c r="AF39" s="20">
        <f>'3_Operational'!Z39</f>
        <v>147</v>
      </c>
      <c r="AG39" s="20">
        <f>'4_Operational'!AA39</f>
        <v>150</v>
      </c>
    </row>
    <row r="40" spans="1:33">
      <c r="A40" s="20">
        <f t="shared" si="5"/>
        <v>33.01</v>
      </c>
      <c r="B40" s="20">
        <f t="shared" si="6"/>
        <v>0.09</v>
      </c>
      <c r="C40" s="20">
        <f t="shared" si="7"/>
        <v>0.09</v>
      </c>
      <c r="D40" s="20">
        <f t="shared" si="8"/>
        <v>0.09</v>
      </c>
      <c r="E40" s="20">
        <f t="shared" si="9"/>
        <v>0.09</v>
      </c>
      <c r="F40" s="20">
        <v>0.2</v>
      </c>
      <c r="G40" s="20">
        <v>0</v>
      </c>
      <c r="Q40" s="20">
        <f>'1_Operational'!Q40</f>
        <v>33.01</v>
      </c>
      <c r="R40" s="20">
        <f>'1_Operational'!R40</f>
        <v>1270.7919999999999</v>
      </c>
      <c r="S40" s="20">
        <f>'2_Operational'!R40</f>
        <v>1290.634</v>
      </c>
      <c r="T40" s="20">
        <f>'3_Operational'!R40</f>
        <v>1311.3520000000001</v>
      </c>
      <c r="U40" s="20">
        <f>'4_Operational'!R40</f>
        <v>1330.681</v>
      </c>
      <c r="V40" s="20">
        <f>'1_Operational'!T40</f>
        <v>1.24</v>
      </c>
      <c r="W40" s="20">
        <f>'2_Operational'!T40</f>
        <v>1.1200000000000001</v>
      </c>
      <c r="X40" s="20">
        <f>'3_Operational'!T40</f>
        <v>2.5099999999999998</v>
      </c>
      <c r="Y40" s="20">
        <f>'4_Operational'!T40</f>
        <v>1.95</v>
      </c>
      <c r="Z40" s="20">
        <f>'1_Operational'!S40</f>
        <v>0.09</v>
      </c>
      <c r="AA40" s="20">
        <f>'2_Operational'!S40</f>
        <v>0.09</v>
      </c>
      <c r="AB40" s="20">
        <f>'3_Operational'!S40</f>
        <v>0.09</v>
      </c>
      <c r="AC40" s="20">
        <f>'4_Operational'!S40</f>
        <v>0.09</v>
      </c>
      <c r="AD40" s="20">
        <f>'1_Operational'!AD40</f>
        <v>148</v>
      </c>
      <c r="AE40" s="20">
        <f>'1_Operational'!AE40</f>
        <v>151</v>
      </c>
      <c r="AF40" s="20">
        <f>'3_Operational'!Z40</f>
        <v>148</v>
      </c>
      <c r="AG40" s="20">
        <f>'4_Operational'!AA40</f>
        <v>151</v>
      </c>
    </row>
    <row r="41" spans="1:33">
      <c r="A41" s="20">
        <f t="shared" si="5"/>
        <v>33.840000000000003</v>
      </c>
      <c r="B41" s="20">
        <f t="shared" si="6"/>
        <v>0.09</v>
      </c>
      <c r="C41" s="20">
        <f t="shared" si="7"/>
        <v>0.09</v>
      </c>
      <c r="D41" s="20">
        <f t="shared" si="8"/>
        <v>0.09</v>
      </c>
      <c r="E41" s="20">
        <f t="shared" si="9"/>
        <v>0.09</v>
      </c>
      <c r="F41" s="20">
        <v>0.2</v>
      </c>
      <c r="G41" s="20">
        <v>0</v>
      </c>
      <c r="Q41" s="20">
        <f>'1_Operational'!Q41</f>
        <v>33.840000000000003</v>
      </c>
      <c r="R41" s="20">
        <f>'1_Operational'!R41</f>
        <v>1270.8689999999999</v>
      </c>
      <c r="S41" s="20">
        <f>'2_Operational'!R41</f>
        <v>1290.711</v>
      </c>
      <c r="T41" s="20">
        <f>'3_Operational'!R41</f>
        <v>1311.4280000000001</v>
      </c>
      <c r="U41" s="20">
        <f>'4_Operational'!R41</f>
        <v>1330.758</v>
      </c>
      <c r="V41" s="20">
        <f>'1_Operational'!T41</f>
        <v>1.26</v>
      </c>
      <c r="W41" s="20">
        <f>'2_Operational'!T41</f>
        <v>1.1499999999999999</v>
      </c>
      <c r="X41" s="20">
        <f>'3_Operational'!T41</f>
        <v>2.48</v>
      </c>
      <c r="Y41" s="20">
        <f>'4_Operational'!T41</f>
        <v>1.95</v>
      </c>
      <c r="Z41" s="20">
        <f>'1_Operational'!S41</f>
        <v>0.09</v>
      </c>
      <c r="AA41" s="20">
        <f>'2_Operational'!S41</f>
        <v>0.09</v>
      </c>
      <c r="AB41" s="20">
        <f>'3_Operational'!S41</f>
        <v>0.09</v>
      </c>
      <c r="AC41" s="20">
        <f>'4_Operational'!S41</f>
        <v>0.09</v>
      </c>
      <c r="AD41" s="20">
        <f>'1_Operational'!AD41</f>
        <v>148</v>
      </c>
      <c r="AE41" s="20">
        <f>'1_Operational'!AE41</f>
        <v>151</v>
      </c>
      <c r="AF41" s="20">
        <f>'3_Operational'!Z41</f>
        <v>148</v>
      </c>
      <c r="AG41" s="20">
        <f>'4_Operational'!AA41</f>
        <v>151</v>
      </c>
    </row>
    <row r="42" spans="1:33">
      <c r="A42" s="20">
        <f t="shared" si="5"/>
        <v>34.68</v>
      </c>
      <c r="B42" s="20">
        <f t="shared" si="6"/>
        <v>0.09</v>
      </c>
      <c r="C42" s="20">
        <f t="shared" si="7"/>
        <v>0.09</v>
      </c>
      <c r="D42" s="20">
        <f t="shared" si="8"/>
        <v>0.09</v>
      </c>
      <c r="E42" s="20">
        <f t="shared" si="9"/>
        <v>0.09</v>
      </c>
      <c r="F42" s="20">
        <v>0.2</v>
      </c>
      <c r="G42" s="20">
        <v>0</v>
      </c>
      <c r="Q42" s="20">
        <f>'1_Operational'!Q42</f>
        <v>34.68</v>
      </c>
      <c r="R42" s="20">
        <f>'1_Operational'!R42</f>
        <v>1270.944</v>
      </c>
      <c r="S42" s="20">
        <f>'2_Operational'!R42</f>
        <v>1290.788</v>
      </c>
      <c r="T42" s="20">
        <f>'3_Operational'!R42</f>
        <v>1311.5039999999999</v>
      </c>
      <c r="U42" s="20">
        <f>'4_Operational'!R42</f>
        <v>1330.836</v>
      </c>
      <c r="V42" s="20">
        <f>'1_Operational'!T42</f>
        <v>1.17</v>
      </c>
      <c r="W42" s="20">
        <f>'2_Operational'!T42</f>
        <v>1.1100000000000001</v>
      </c>
      <c r="X42" s="20">
        <f>'3_Operational'!T42</f>
        <v>2.4700000000000002</v>
      </c>
      <c r="Y42" s="20">
        <f>'4_Operational'!T42</f>
        <v>1.97</v>
      </c>
      <c r="Z42" s="20">
        <f>'1_Operational'!S42</f>
        <v>0.09</v>
      </c>
      <c r="AA42" s="20">
        <f>'2_Operational'!S42</f>
        <v>0.09</v>
      </c>
      <c r="AB42" s="20">
        <f>'3_Operational'!S42</f>
        <v>0.09</v>
      </c>
      <c r="AC42" s="20">
        <f>'4_Operational'!S42</f>
        <v>0.09</v>
      </c>
      <c r="AD42" s="20">
        <f>'1_Operational'!AD42</f>
        <v>149</v>
      </c>
      <c r="AE42" s="20">
        <f>'1_Operational'!AE42</f>
        <v>152</v>
      </c>
      <c r="AF42" s="20">
        <f>'3_Operational'!Z42</f>
        <v>149</v>
      </c>
      <c r="AG42" s="20">
        <f>'4_Operational'!AA42</f>
        <v>152</v>
      </c>
    </row>
    <row r="43" spans="1:33">
      <c r="A43" s="20">
        <f t="shared" si="5"/>
        <v>35.54</v>
      </c>
      <c r="B43" s="20">
        <f t="shared" si="6"/>
        <v>0.09</v>
      </c>
      <c r="C43" s="20">
        <f t="shared" si="7"/>
        <v>0.09</v>
      </c>
      <c r="D43" s="20">
        <f t="shared" si="8"/>
        <v>0.09</v>
      </c>
      <c r="E43" s="20">
        <f t="shared" si="9"/>
        <v>0.09</v>
      </c>
      <c r="F43" s="20">
        <v>0.2</v>
      </c>
      <c r="G43" s="20">
        <v>0</v>
      </c>
      <c r="Q43" s="20">
        <f>'1_Operational'!Q43</f>
        <v>35.54</v>
      </c>
      <c r="R43" s="20">
        <f>'1_Operational'!R43</f>
        <v>1271.019</v>
      </c>
      <c r="S43" s="20">
        <f>'2_Operational'!R43</f>
        <v>1290.867</v>
      </c>
      <c r="T43" s="20">
        <f>'3_Operational'!R43</f>
        <v>1311.58</v>
      </c>
      <c r="U43" s="20">
        <f>'4_Operational'!R43</f>
        <v>1330.915</v>
      </c>
      <c r="V43" s="20">
        <f>'1_Operational'!T43</f>
        <v>1.18</v>
      </c>
      <c r="W43" s="20">
        <f>'2_Operational'!T43</f>
        <v>1.17</v>
      </c>
      <c r="X43" s="20">
        <f>'3_Operational'!T43</f>
        <v>2.4500000000000002</v>
      </c>
      <c r="Y43" s="20">
        <f>'4_Operational'!T43</f>
        <v>1.99</v>
      </c>
      <c r="Z43" s="20">
        <f>'1_Operational'!S43</f>
        <v>0.09</v>
      </c>
      <c r="AA43" s="20">
        <f>'2_Operational'!S43</f>
        <v>0.09</v>
      </c>
      <c r="AB43" s="20">
        <f>'3_Operational'!S43</f>
        <v>0.09</v>
      </c>
      <c r="AC43" s="20">
        <f>'4_Operational'!S43</f>
        <v>0.09</v>
      </c>
      <c r="AD43" s="20">
        <f>'1_Operational'!AD43</f>
        <v>150</v>
      </c>
      <c r="AE43" s="20">
        <f>'1_Operational'!AE43</f>
        <v>153</v>
      </c>
      <c r="AF43" s="20">
        <f>'3_Operational'!Z43</f>
        <v>150</v>
      </c>
      <c r="AG43" s="20">
        <f>'4_Operational'!AA43</f>
        <v>153</v>
      </c>
    </row>
    <row r="44" spans="1:33">
      <c r="A44" s="20">
        <f t="shared" si="5"/>
        <v>36.369999999999997</v>
      </c>
      <c r="B44" s="20">
        <f t="shared" si="6"/>
        <v>0.09</v>
      </c>
      <c r="C44" s="20">
        <f t="shared" si="7"/>
        <v>0.09</v>
      </c>
      <c r="D44" s="20">
        <f t="shared" si="8"/>
        <v>0.09</v>
      </c>
      <c r="E44" s="20">
        <f t="shared" si="9"/>
        <v>0.1</v>
      </c>
      <c r="F44" s="20">
        <v>0.2</v>
      </c>
      <c r="G44" s="20">
        <v>0</v>
      </c>
      <c r="Q44" s="20">
        <f>'1_Operational'!Q44</f>
        <v>36.369999999999997</v>
      </c>
      <c r="R44" s="20">
        <f>'1_Operational'!R44</f>
        <v>1271.095</v>
      </c>
      <c r="S44" s="20">
        <f>'2_Operational'!R44</f>
        <v>1290.9449999999999</v>
      </c>
      <c r="T44" s="20">
        <f>'3_Operational'!R44</f>
        <v>1311.655</v>
      </c>
      <c r="U44" s="20">
        <f>'4_Operational'!R44</f>
        <v>1330.9939999999999</v>
      </c>
      <c r="V44" s="20">
        <f>'1_Operational'!T44</f>
        <v>1.18</v>
      </c>
      <c r="W44" s="20">
        <f>'2_Operational'!T44</f>
        <v>1.07</v>
      </c>
      <c r="X44" s="20">
        <f>'3_Operational'!T44</f>
        <v>2.48</v>
      </c>
      <c r="Y44" s="20">
        <f>'4_Operational'!T44</f>
        <v>1.97</v>
      </c>
      <c r="Z44" s="20">
        <f>'1_Operational'!S44</f>
        <v>0.09</v>
      </c>
      <c r="AA44" s="20">
        <f>'2_Operational'!S44</f>
        <v>0.09</v>
      </c>
      <c r="AB44" s="20">
        <f>'3_Operational'!S44</f>
        <v>0.09</v>
      </c>
      <c r="AC44" s="20">
        <f>'4_Operational'!S44</f>
        <v>0.1</v>
      </c>
      <c r="AD44" s="20">
        <f>'1_Operational'!AD44</f>
        <v>150</v>
      </c>
      <c r="AE44" s="20">
        <f>'1_Operational'!AE44</f>
        <v>154</v>
      </c>
      <c r="AF44" s="20">
        <f>'3_Operational'!Z44</f>
        <v>150</v>
      </c>
      <c r="AG44" s="20">
        <f>'4_Operational'!AA44</f>
        <v>154</v>
      </c>
    </row>
    <row r="45" spans="1:33">
      <c r="A45" s="20">
        <f t="shared" si="5"/>
        <v>37.21</v>
      </c>
      <c r="B45" s="20">
        <f t="shared" si="6"/>
        <v>0.09</v>
      </c>
      <c r="C45" s="20">
        <f t="shared" si="7"/>
        <v>0.09</v>
      </c>
      <c r="D45" s="20">
        <f t="shared" si="8"/>
        <v>0.09</v>
      </c>
      <c r="E45" s="20">
        <f t="shared" si="9"/>
        <v>0.09</v>
      </c>
      <c r="F45" s="20">
        <v>0.2</v>
      </c>
      <c r="G45" s="20">
        <v>0</v>
      </c>
      <c r="Q45" s="20">
        <f>'1_Operational'!Q45</f>
        <v>37.21</v>
      </c>
      <c r="R45" s="20">
        <f>'1_Operational'!R45</f>
        <v>1271.17</v>
      </c>
      <c r="S45" s="20">
        <f>'2_Operational'!R45</f>
        <v>1291.0239999999999</v>
      </c>
      <c r="T45" s="20">
        <f>'3_Operational'!R45</f>
        <v>1311.7329999999999</v>
      </c>
      <c r="U45" s="20">
        <f>'4_Operational'!R45</f>
        <v>1331.0730000000001</v>
      </c>
      <c r="V45" s="20">
        <f>'1_Operational'!T45</f>
        <v>1.24</v>
      </c>
      <c r="W45" s="20">
        <f>'2_Operational'!T45</f>
        <v>0.98</v>
      </c>
      <c r="X45" s="20">
        <f>'3_Operational'!T45</f>
        <v>2.4700000000000002</v>
      </c>
      <c r="Y45" s="20">
        <f>'4_Operational'!T45</f>
        <v>2.0099999999999998</v>
      </c>
      <c r="Z45" s="20">
        <f>'1_Operational'!S45</f>
        <v>0.09</v>
      </c>
      <c r="AA45" s="20">
        <f>'2_Operational'!S45</f>
        <v>0.09</v>
      </c>
      <c r="AB45" s="20">
        <f>'3_Operational'!S45</f>
        <v>0.09</v>
      </c>
      <c r="AC45" s="20">
        <f>'4_Operational'!S45</f>
        <v>0.09</v>
      </c>
      <c r="AD45" s="20">
        <f>'1_Operational'!AD45</f>
        <v>151</v>
      </c>
      <c r="AE45" s="20">
        <f>'1_Operational'!AE45</f>
        <v>154</v>
      </c>
      <c r="AF45" s="20">
        <f>'3_Operational'!Z45</f>
        <v>151</v>
      </c>
      <c r="AG45" s="20">
        <f>'4_Operational'!AA45</f>
        <v>154</v>
      </c>
    </row>
    <row r="46" spans="1:33">
      <c r="A46" s="20">
        <f t="shared" si="5"/>
        <v>38.04</v>
      </c>
      <c r="B46" s="20">
        <f t="shared" si="6"/>
        <v>0.09</v>
      </c>
      <c r="C46" s="20">
        <f t="shared" si="7"/>
        <v>0.09</v>
      </c>
      <c r="D46" s="20">
        <f t="shared" si="8"/>
        <v>0.09</v>
      </c>
      <c r="E46" s="20">
        <f t="shared" si="9"/>
        <v>0.1</v>
      </c>
      <c r="F46" s="20">
        <v>0.2</v>
      </c>
      <c r="G46" s="20">
        <v>0</v>
      </c>
      <c r="Q46" s="20">
        <f>'1_Operational'!Q46</f>
        <v>38.04</v>
      </c>
      <c r="R46" s="20">
        <f>'1_Operational'!R46</f>
        <v>1271.2470000000001</v>
      </c>
      <c r="S46" s="20">
        <f>'2_Operational'!R46</f>
        <v>1291.1010000000001</v>
      </c>
      <c r="T46" s="20">
        <f>'3_Operational'!R46</f>
        <v>1311.809</v>
      </c>
      <c r="U46" s="20">
        <f>'4_Operational'!R46</f>
        <v>1331.153</v>
      </c>
      <c r="V46" s="20">
        <f>'1_Operational'!T46</f>
        <v>1.28</v>
      </c>
      <c r="W46" s="20">
        <f>'2_Operational'!T46</f>
        <v>1.04</v>
      </c>
      <c r="X46" s="20">
        <f>'3_Operational'!T46</f>
        <v>2.48</v>
      </c>
      <c r="Y46" s="20">
        <f>'4_Operational'!T46</f>
        <v>1.99</v>
      </c>
      <c r="Z46" s="20">
        <f>'1_Operational'!S46</f>
        <v>0.09</v>
      </c>
      <c r="AA46" s="20">
        <f>'2_Operational'!S46</f>
        <v>0.09</v>
      </c>
      <c r="AB46" s="20">
        <f>'3_Operational'!S46</f>
        <v>0.09</v>
      </c>
      <c r="AC46" s="20">
        <f>'4_Operational'!S46</f>
        <v>0.1</v>
      </c>
      <c r="AD46" s="20">
        <f>'1_Operational'!AD46</f>
        <v>152</v>
      </c>
      <c r="AE46" s="20">
        <f>'1_Operational'!AE46</f>
        <v>155</v>
      </c>
      <c r="AF46" s="20">
        <f>'3_Operational'!Z46</f>
        <v>152</v>
      </c>
      <c r="AG46" s="20">
        <f>'4_Operational'!AA46</f>
        <v>155</v>
      </c>
    </row>
    <row r="47" spans="1:33">
      <c r="A47" s="20">
        <f t="shared" si="5"/>
        <v>38.9</v>
      </c>
      <c r="B47" s="20">
        <f t="shared" si="6"/>
        <v>0.09</v>
      </c>
      <c r="C47" s="20">
        <f t="shared" si="7"/>
        <v>0.09</v>
      </c>
      <c r="D47" s="20">
        <f t="shared" si="8"/>
        <v>0.09</v>
      </c>
      <c r="E47" s="20">
        <f t="shared" si="9"/>
        <v>0.1</v>
      </c>
      <c r="F47" s="20">
        <v>0.2</v>
      </c>
      <c r="G47" s="20">
        <v>0</v>
      </c>
      <c r="Q47" s="20">
        <f>'1_Operational'!Q47</f>
        <v>38.9</v>
      </c>
      <c r="R47" s="20">
        <f>'1_Operational'!R47</f>
        <v>1271.325</v>
      </c>
      <c r="S47" s="20">
        <f>'2_Operational'!R47</f>
        <v>1291.181</v>
      </c>
      <c r="T47" s="20">
        <f>'3_Operational'!R47</f>
        <v>1311.8879999999999</v>
      </c>
      <c r="U47" s="20">
        <f>'4_Operational'!R47</f>
        <v>1331.2349999999999</v>
      </c>
      <c r="V47" s="20">
        <f>'1_Operational'!T47</f>
        <v>1.29</v>
      </c>
      <c r="W47" s="20">
        <f>'2_Operational'!T47</f>
        <v>0.99</v>
      </c>
      <c r="X47" s="20">
        <f>'3_Operational'!T47</f>
        <v>2.5299999999999998</v>
      </c>
      <c r="Y47" s="20">
        <f>'4_Operational'!T47</f>
        <v>1.95</v>
      </c>
      <c r="Z47" s="20">
        <f>'1_Operational'!S47</f>
        <v>0.09</v>
      </c>
      <c r="AA47" s="20">
        <f>'2_Operational'!S47</f>
        <v>0.09</v>
      </c>
      <c r="AB47" s="20">
        <f>'3_Operational'!S47</f>
        <v>0.09</v>
      </c>
      <c r="AC47" s="20">
        <f>'4_Operational'!S47</f>
        <v>0.1</v>
      </c>
      <c r="AD47" s="20">
        <f>'1_Operational'!AD47</f>
        <v>153</v>
      </c>
      <c r="AE47" s="20">
        <f>'1_Operational'!AE47</f>
        <v>156</v>
      </c>
      <c r="AF47" s="20">
        <f>'3_Operational'!Z47</f>
        <v>153</v>
      </c>
      <c r="AG47" s="20">
        <f>'4_Operational'!AA47</f>
        <v>156</v>
      </c>
    </row>
    <row r="48" spans="1:33">
      <c r="A48" s="20">
        <f t="shared" si="5"/>
        <v>39.75</v>
      </c>
      <c r="B48" s="20">
        <f t="shared" si="6"/>
        <v>0.09</v>
      </c>
      <c r="C48" s="20">
        <f t="shared" si="7"/>
        <v>0.09</v>
      </c>
      <c r="D48" s="20">
        <f t="shared" si="8"/>
        <v>0.09</v>
      </c>
      <c r="E48" s="20">
        <f t="shared" si="9"/>
        <v>0.09</v>
      </c>
      <c r="F48" s="20">
        <v>0.2</v>
      </c>
      <c r="G48" s="20">
        <v>0</v>
      </c>
      <c r="Q48" s="20">
        <f>'1_Operational'!Q48</f>
        <v>39.75</v>
      </c>
      <c r="R48" s="20">
        <f>'1_Operational'!R48</f>
        <v>1271.4010000000001</v>
      </c>
      <c r="S48" s="20">
        <f>'2_Operational'!R48</f>
        <v>1291.258</v>
      </c>
      <c r="T48" s="20">
        <f>'3_Operational'!R48</f>
        <v>1311.9649999999999</v>
      </c>
      <c r="U48" s="20">
        <f>'4_Operational'!R48</f>
        <v>1331.3140000000001</v>
      </c>
      <c r="V48" s="20">
        <f>'1_Operational'!T48</f>
        <v>1.31</v>
      </c>
      <c r="W48" s="20">
        <f>'2_Operational'!T48</f>
        <v>0.93</v>
      </c>
      <c r="X48" s="20">
        <f>'3_Operational'!T48</f>
        <v>2.57</v>
      </c>
      <c r="Y48" s="20">
        <f>'4_Operational'!T48</f>
        <v>1.93</v>
      </c>
      <c r="Z48" s="20">
        <f>'1_Operational'!S48</f>
        <v>0.09</v>
      </c>
      <c r="AA48" s="20">
        <f>'2_Operational'!S48</f>
        <v>0.09</v>
      </c>
      <c r="AB48" s="20">
        <f>'3_Operational'!S48</f>
        <v>0.09</v>
      </c>
      <c r="AC48" s="20">
        <f>'4_Operational'!S48</f>
        <v>0.09</v>
      </c>
      <c r="AD48" s="20">
        <f>'1_Operational'!AD48</f>
        <v>155</v>
      </c>
      <c r="AE48" s="20">
        <f>'1_Operational'!AE48</f>
        <v>156</v>
      </c>
      <c r="AF48" s="20">
        <f>'3_Operational'!Z48</f>
        <v>155</v>
      </c>
      <c r="AG48" s="20">
        <f>'4_Operational'!AA48</f>
        <v>156</v>
      </c>
    </row>
    <row r="49" spans="1:33">
      <c r="A49" s="20">
        <f t="shared" si="5"/>
        <v>40.58</v>
      </c>
      <c r="B49" s="20">
        <f t="shared" si="6"/>
        <v>0.09</v>
      </c>
      <c r="C49" s="20">
        <f t="shared" si="7"/>
        <v>0.1</v>
      </c>
      <c r="D49" s="20">
        <f t="shared" si="8"/>
        <v>0.1</v>
      </c>
      <c r="E49" s="20">
        <f t="shared" si="9"/>
        <v>0.1</v>
      </c>
      <c r="F49" s="20">
        <v>0.2</v>
      </c>
      <c r="G49" s="20">
        <v>0</v>
      </c>
      <c r="Q49" s="20">
        <f>'1_Operational'!Q49</f>
        <v>40.58</v>
      </c>
      <c r="R49" s="20">
        <f>'1_Operational'!R49</f>
        <v>1271.479</v>
      </c>
      <c r="S49" s="20">
        <f>'2_Operational'!R49</f>
        <v>1291.338</v>
      </c>
      <c r="T49" s="20">
        <f>'3_Operational'!R49</f>
        <v>1312.0450000000001</v>
      </c>
      <c r="U49" s="20">
        <f>'4_Operational'!R49</f>
        <v>1331.393</v>
      </c>
      <c r="V49" s="20">
        <f>'1_Operational'!T49</f>
        <v>1.29</v>
      </c>
      <c r="W49" s="20">
        <f>'2_Operational'!T49</f>
        <v>0.97</v>
      </c>
      <c r="X49" s="20">
        <f>'3_Operational'!T49</f>
        <v>2.58</v>
      </c>
      <c r="Y49" s="20">
        <f>'4_Operational'!T49</f>
        <v>1.93</v>
      </c>
      <c r="Z49" s="20">
        <f>'1_Operational'!S49</f>
        <v>0.09</v>
      </c>
      <c r="AA49" s="20">
        <f>'2_Operational'!S49</f>
        <v>0.1</v>
      </c>
      <c r="AB49" s="20">
        <f>'3_Operational'!S49</f>
        <v>0.1</v>
      </c>
      <c r="AC49" s="20">
        <f>'4_Operational'!S49</f>
        <v>0.1</v>
      </c>
      <c r="AD49" s="20">
        <f>'1_Operational'!AD49</f>
        <v>156</v>
      </c>
      <c r="AE49" s="20">
        <f>'1_Operational'!AE49</f>
        <v>157</v>
      </c>
      <c r="AF49" s="20">
        <f>'3_Operational'!Z49</f>
        <v>156</v>
      </c>
      <c r="AG49" s="20">
        <f>'4_Operational'!AA49</f>
        <v>157</v>
      </c>
    </row>
    <row r="50" spans="1:33">
      <c r="A50" s="20">
        <f t="shared" si="5"/>
        <v>41.42</v>
      </c>
      <c r="B50" s="20">
        <f t="shared" si="6"/>
        <v>0.09</v>
      </c>
      <c r="C50" s="20">
        <f t="shared" si="7"/>
        <v>0.09</v>
      </c>
      <c r="D50" s="20">
        <f t="shared" si="8"/>
        <v>0.09</v>
      </c>
      <c r="E50" s="20">
        <f t="shared" si="9"/>
        <v>0.09</v>
      </c>
      <c r="F50" s="20">
        <v>0.2</v>
      </c>
      <c r="G50" s="20">
        <v>0</v>
      </c>
      <c r="Q50" s="20">
        <f>'1_Operational'!Q50</f>
        <v>41.42</v>
      </c>
      <c r="R50" s="20">
        <f>'1_Operational'!R50</f>
        <v>1271.556</v>
      </c>
      <c r="S50" s="20">
        <f>'2_Operational'!R50</f>
        <v>1291.415</v>
      </c>
      <c r="T50" s="20">
        <f>'3_Operational'!R50</f>
        <v>1312.1220000000001</v>
      </c>
      <c r="U50" s="20">
        <f>'4_Operational'!R50</f>
        <v>1331.472</v>
      </c>
      <c r="V50" s="20">
        <f>'1_Operational'!T50</f>
        <v>1.19</v>
      </c>
      <c r="W50" s="20">
        <f>'2_Operational'!T50</f>
        <v>0.95</v>
      </c>
      <c r="X50" s="20">
        <f>'3_Operational'!T50</f>
        <v>2.5099999999999998</v>
      </c>
      <c r="Y50" s="20">
        <f>'4_Operational'!T50</f>
        <v>1.85</v>
      </c>
      <c r="Z50" s="20">
        <f>'1_Operational'!S50</f>
        <v>0.09</v>
      </c>
      <c r="AA50" s="20">
        <f>'2_Operational'!S50</f>
        <v>0.09</v>
      </c>
      <c r="AB50" s="20">
        <f>'3_Operational'!S50</f>
        <v>0.09</v>
      </c>
      <c r="AC50" s="20">
        <f>'4_Operational'!S50</f>
        <v>0.09</v>
      </c>
      <c r="AD50" s="20">
        <f>'1_Operational'!AD50</f>
        <v>157</v>
      </c>
      <c r="AE50" s="20">
        <f>'1_Operational'!AE50</f>
        <v>158</v>
      </c>
      <c r="AF50" s="20">
        <f>'3_Operational'!Z50</f>
        <v>157</v>
      </c>
      <c r="AG50" s="20">
        <f>'4_Operational'!AA50</f>
        <v>158</v>
      </c>
    </row>
    <row r="51" spans="1:33">
      <c r="A51" s="20">
        <f t="shared" si="5"/>
        <v>42.24</v>
      </c>
      <c r="B51" s="20">
        <f t="shared" si="6"/>
        <v>0.1</v>
      </c>
      <c r="C51" s="20">
        <f t="shared" si="7"/>
        <v>0.1</v>
      </c>
      <c r="D51" s="20">
        <f t="shared" si="8"/>
        <v>0.1</v>
      </c>
      <c r="E51" s="20">
        <f t="shared" si="9"/>
        <v>0.09</v>
      </c>
      <c r="F51" s="20">
        <v>0.2</v>
      </c>
      <c r="G51" s="20">
        <v>0</v>
      </c>
      <c r="Q51" s="20">
        <f>'1_Operational'!Q51</f>
        <v>42.24</v>
      </c>
      <c r="R51" s="20">
        <f>'1_Operational'!R51</f>
        <v>1271.634</v>
      </c>
      <c r="S51" s="20">
        <f>'2_Operational'!R51</f>
        <v>1291.4929999999999</v>
      </c>
      <c r="T51" s="20">
        <f>'3_Operational'!R51</f>
        <v>1312.2</v>
      </c>
      <c r="U51" s="20">
        <f>'4_Operational'!R51</f>
        <v>1331.549</v>
      </c>
      <c r="V51" s="20">
        <f>'1_Operational'!T51</f>
        <v>1.2</v>
      </c>
      <c r="W51" s="20">
        <f>'2_Operational'!T51</f>
        <v>0.92</v>
      </c>
      <c r="X51" s="20">
        <f>'3_Operational'!T51</f>
        <v>2.5299999999999998</v>
      </c>
      <c r="Y51" s="20">
        <f>'4_Operational'!T51</f>
        <v>1.9</v>
      </c>
      <c r="Z51" s="20">
        <f>'1_Operational'!S51</f>
        <v>0.1</v>
      </c>
      <c r="AA51" s="20">
        <f>'2_Operational'!S51</f>
        <v>0.1</v>
      </c>
      <c r="AB51" s="20">
        <f>'3_Operational'!S51</f>
        <v>0.1</v>
      </c>
      <c r="AC51" s="20">
        <f>'4_Operational'!S51</f>
        <v>0.09</v>
      </c>
      <c r="AD51" s="20">
        <f>'1_Operational'!AD51</f>
        <v>158</v>
      </c>
      <c r="AE51" s="20">
        <f>'1_Operational'!AE51</f>
        <v>159</v>
      </c>
      <c r="AF51" s="20">
        <f>'3_Operational'!Z51</f>
        <v>158</v>
      </c>
      <c r="AG51" s="20">
        <f>'4_Operational'!AA51</f>
        <v>159</v>
      </c>
    </row>
    <row r="52" spans="1:33">
      <c r="A52" s="20">
        <f t="shared" si="5"/>
        <v>43.48</v>
      </c>
      <c r="B52" s="20">
        <f t="shared" si="6"/>
        <v>0.06</v>
      </c>
      <c r="C52" s="20">
        <f t="shared" si="7"/>
        <v>0.06</v>
      </c>
      <c r="D52" s="20">
        <f t="shared" si="8"/>
        <v>0.06</v>
      </c>
      <c r="E52" s="20">
        <f t="shared" si="9"/>
        <v>0.06</v>
      </c>
      <c r="F52" s="20">
        <v>0.2</v>
      </c>
      <c r="G52" s="20">
        <v>0</v>
      </c>
      <c r="Q52" s="20">
        <f>'1_Operational'!Q52</f>
        <v>43.48</v>
      </c>
      <c r="R52" s="20">
        <f>'1_Operational'!R52</f>
        <v>1271.712</v>
      </c>
      <c r="S52" s="20">
        <f>'2_Operational'!R52</f>
        <v>1291.5709999999999</v>
      </c>
      <c r="T52" s="20">
        <f>'3_Operational'!R52</f>
        <v>1312.279</v>
      </c>
      <c r="U52" s="20">
        <f>'4_Operational'!R52</f>
        <v>1331.6289999999999</v>
      </c>
      <c r="V52" s="20">
        <f>'1_Operational'!T52</f>
        <v>1.21</v>
      </c>
      <c r="W52" s="20">
        <f>'2_Operational'!T52</f>
        <v>0.94</v>
      </c>
      <c r="X52" s="20">
        <f>'3_Operational'!T52</f>
        <v>2.5499999999999998</v>
      </c>
      <c r="Y52" s="20">
        <f>'4_Operational'!T52</f>
        <v>1.89</v>
      </c>
      <c r="Z52" s="20">
        <f>'1_Operational'!S52</f>
        <v>0.06</v>
      </c>
      <c r="AA52" s="20">
        <f>'2_Operational'!S52</f>
        <v>0.06</v>
      </c>
      <c r="AB52" s="20">
        <f>'3_Operational'!S52</f>
        <v>0.06</v>
      </c>
      <c r="AC52" s="20">
        <f>'4_Operational'!S52</f>
        <v>0.06</v>
      </c>
      <c r="AD52" s="20">
        <f>'1_Operational'!AD52</f>
        <v>159</v>
      </c>
      <c r="AE52" s="20">
        <f>'1_Operational'!AE52</f>
        <v>160</v>
      </c>
      <c r="AF52" s="20">
        <f>'3_Operational'!Z52</f>
        <v>159</v>
      </c>
      <c r="AG52" s="20">
        <f>'4_Operational'!AA52</f>
        <v>160</v>
      </c>
    </row>
    <row r="53" spans="1:33">
      <c r="A53" s="20">
        <f t="shared" si="5"/>
        <v>44.27</v>
      </c>
      <c r="B53" s="20">
        <f t="shared" si="6"/>
        <v>0.17</v>
      </c>
      <c r="C53" s="20">
        <f t="shared" si="7"/>
        <v>0.18</v>
      </c>
      <c r="D53" s="20">
        <f t="shared" si="8"/>
        <v>0.17</v>
      </c>
      <c r="E53" s="20">
        <f t="shared" si="9"/>
        <v>0.18</v>
      </c>
      <c r="F53" s="20">
        <v>0.2</v>
      </c>
      <c r="G53" s="20">
        <v>0</v>
      </c>
      <c r="Q53" s="20">
        <f>'1_Operational'!Q53</f>
        <v>44.27</v>
      </c>
      <c r="R53" s="20">
        <f>'1_Operational'!R53</f>
        <v>1271.8499999999999</v>
      </c>
      <c r="S53" s="20">
        <f>'2_Operational'!R53</f>
        <v>1291.71</v>
      </c>
      <c r="T53" s="20">
        <f>'3_Operational'!R53</f>
        <v>1312.4169999999999</v>
      </c>
      <c r="U53" s="20">
        <f>'4_Operational'!R53</f>
        <v>1331.768</v>
      </c>
      <c r="V53" s="20">
        <f>'1_Operational'!T53</f>
        <v>1.27</v>
      </c>
      <c r="W53" s="20">
        <f>'2_Operational'!T53</f>
        <v>0.92</v>
      </c>
      <c r="X53" s="20">
        <f>'3_Operational'!T53</f>
        <v>2.56</v>
      </c>
      <c r="Y53" s="20">
        <f>'4_Operational'!T53</f>
        <v>1.91</v>
      </c>
      <c r="Z53" s="20">
        <f>'1_Operational'!S53</f>
        <v>0.17</v>
      </c>
      <c r="AA53" s="20">
        <f>'2_Operational'!S53</f>
        <v>0.18</v>
      </c>
      <c r="AB53" s="20">
        <f>'3_Operational'!S53</f>
        <v>0.17</v>
      </c>
      <c r="AC53" s="20">
        <f>'4_Operational'!S53</f>
        <v>0.18</v>
      </c>
      <c r="AD53" s="20">
        <f>'1_Operational'!AD53</f>
        <v>160</v>
      </c>
      <c r="AE53" s="20">
        <f>'1_Operational'!AE53</f>
        <v>161</v>
      </c>
      <c r="AF53" s="20">
        <f>'3_Operational'!Z53</f>
        <v>160</v>
      </c>
      <c r="AG53" s="20">
        <f>'4_Operational'!AA53</f>
        <v>161</v>
      </c>
    </row>
    <row r="54" spans="1:33">
      <c r="A54" s="20">
        <f t="shared" si="5"/>
        <v>45.09</v>
      </c>
      <c r="B54" s="20">
        <f t="shared" si="6"/>
        <v>7.0000000000000007E-2</v>
      </c>
      <c r="C54" s="20">
        <f t="shared" si="7"/>
        <v>7.0000000000000007E-2</v>
      </c>
      <c r="D54" s="20">
        <f t="shared" si="8"/>
        <v>7.0000000000000007E-2</v>
      </c>
      <c r="E54" s="20">
        <f t="shared" si="9"/>
        <v>7.0000000000000007E-2</v>
      </c>
      <c r="F54" s="20">
        <v>0.2</v>
      </c>
      <c r="G54" s="20">
        <v>0</v>
      </c>
      <c r="Q54" s="20">
        <f>'1_Operational'!Q54</f>
        <v>45.09</v>
      </c>
      <c r="R54" s="20">
        <f>'1_Operational'!R54</f>
        <v>1271.9059999999999</v>
      </c>
      <c r="S54" s="20">
        <f>'2_Operational'!R54</f>
        <v>1291.7670000000001</v>
      </c>
      <c r="T54" s="20">
        <f>'3_Operational'!R54</f>
        <v>1312.4739999999999</v>
      </c>
      <c r="U54" s="20">
        <f>'4_Operational'!R54</f>
        <v>1331.8240000000001</v>
      </c>
      <c r="V54" s="20">
        <f>'1_Operational'!T54</f>
        <v>1.27</v>
      </c>
      <c r="W54" s="20">
        <f>'2_Operational'!T54</f>
        <v>0.9</v>
      </c>
      <c r="X54" s="20">
        <f>'3_Operational'!T54</f>
        <v>2.58</v>
      </c>
      <c r="Y54" s="20">
        <f>'4_Operational'!T54</f>
        <v>1.91</v>
      </c>
      <c r="Z54" s="20">
        <f>'1_Operational'!S54</f>
        <v>7.0000000000000007E-2</v>
      </c>
      <c r="AA54" s="20">
        <f>'2_Operational'!S54</f>
        <v>7.0000000000000007E-2</v>
      </c>
      <c r="AB54" s="20">
        <f>'3_Operational'!S54</f>
        <v>7.0000000000000007E-2</v>
      </c>
      <c r="AC54" s="20">
        <f>'4_Operational'!S54</f>
        <v>7.0000000000000007E-2</v>
      </c>
      <c r="AD54" s="20">
        <f>'1_Operational'!AD54</f>
        <v>161</v>
      </c>
      <c r="AE54" s="20">
        <f>'1_Operational'!AE54</f>
        <v>162</v>
      </c>
      <c r="AF54" s="20">
        <f>'3_Operational'!Z54</f>
        <v>161</v>
      </c>
      <c r="AG54" s="20">
        <f>'4_Operational'!AA54</f>
        <v>162</v>
      </c>
    </row>
    <row r="55" spans="1:33">
      <c r="A55" s="20">
        <f t="shared" si="5"/>
        <v>45.94</v>
      </c>
      <c r="B55" s="20">
        <f t="shared" si="6"/>
        <v>0.09</v>
      </c>
      <c r="C55" s="20">
        <f t="shared" si="7"/>
        <v>0.09</v>
      </c>
      <c r="D55" s="20">
        <f t="shared" si="8"/>
        <v>0.09</v>
      </c>
      <c r="E55" s="20">
        <f t="shared" si="9"/>
        <v>0.1</v>
      </c>
      <c r="F55" s="20">
        <v>0.2</v>
      </c>
      <c r="G55" s="20">
        <v>0</v>
      </c>
      <c r="Q55" s="20">
        <f>'1_Operational'!Q55</f>
        <v>45.94</v>
      </c>
      <c r="R55" s="20">
        <f>'1_Operational'!R55</f>
        <v>1271.9860000000001</v>
      </c>
      <c r="S55" s="20">
        <f>'2_Operational'!R55</f>
        <v>1291.847</v>
      </c>
      <c r="T55" s="20">
        <f>'3_Operational'!R55</f>
        <v>1312.5530000000001</v>
      </c>
      <c r="U55" s="20">
        <f>'4_Operational'!R55</f>
        <v>1331.905</v>
      </c>
      <c r="V55" s="20">
        <f>'1_Operational'!T55</f>
        <v>1.27</v>
      </c>
      <c r="W55" s="20">
        <f>'2_Operational'!T55</f>
        <v>0.86</v>
      </c>
      <c r="X55" s="20">
        <f>'3_Operational'!T55</f>
        <v>2.54</v>
      </c>
      <c r="Y55" s="20">
        <f>'4_Operational'!T55</f>
        <v>1.9</v>
      </c>
      <c r="Z55" s="20">
        <f>'1_Operational'!S55</f>
        <v>0.09</v>
      </c>
      <c r="AA55" s="20">
        <f>'2_Operational'!S55</f>
        <v>0.09</v>
      </c>
      <c r="AB55" s="20">
        <f>'3_Operational'!S55</f>
        <v>0.09</v>
      </c>
      <c r="AC55" s="20">
        <f>'4_Operational'!S55</f>
        <v>0.1</v>
      </c>
      <c r="AD55" s="20">
        <f>'1_Operational'!AD55</f>
        <v>162</v>
      </c>
      <c r="AE55" s="20">
        <f>'1_Operational'!AE55</f>
        <v>163</v>
      </c>
      <c r="AF55" s="20">
        <f>'3_Operational'!Z55</f>
        <v>162</v>
      </c>
      <c r="AG55" s="20">
        <f>'4_Operational'!AA55</f>
        <v>163</v>
      </c>
    </row>
    <row r="56" spans="1:33">
      <c r="A56" s="20">
        <f t="shared" si="5"/>
        <v>46.76</v>
      </c>
      <c r="B56" s="20">
        <f t="shared" si="6"/>
        <v>0.1</v>
      </c>
      <c r="C56" s="20">
        <f t="shared" si="7"/>
        <v>0.1</v>
      </c>
      <c r="D56" s="20">
        <f t="shared" si="8"/>
        <v>0.1</v>
      </c>
      <c r="E56" s="20">
        <f t="shared" si="9"/>
        <v>0.1</v>
      </c>
      <c r="F56" s="20">
        <v>0.2</v>
      </c>
      <c r="G56" s="20">
        <v>0</v>
      </c>
      <c r="Q56" s="20">
        <f>'1_Operational'!Q56</f>
        <v>46.76</v>
      </c>
      <c r="R56" s="20">
        <f>'1_Operational'!R56</f>
        <v>1272.066</v>
      </c>
      <c r="S56" s="20">
        <f>'2_Operational'!R56</f>
        <v>1291.9269999999999</v>
      </c>
      <c r="T56" s="20">
        <f>'3_Operational'!R56</f>
        <v>1312.6320000000001</v>
      </c>
      <c r="U56" s="20">
        <f>'4_Operational'!R56</f>
        <v>1331.9870000000001</v>
      </c>
      <c r="V56" s="20">
        <f>'1_Operational'!T56</f>
        <v>1.29</v>
      </c>
      <c r="W56" s="20">
        <f>'2_Operational'!T56</f>
        <v>0.91</v>
      </c>
      <c r="X56" s="20">
        <f>'3_Operational'!T56</f>
        <v>2.5499999999999998</v>
      </c>
      <c r="Y56" s="20">
        <f>'4_Operational'!T56</f>
        <v>1.88</v>
      </c>
      <c r="Z56" s="20">
        <f>'1_Operational'!S56</f>
        <v>0.1</v>
      </c>
      <c r="AA56" s="20">
        <f>'2_Operational'!S56</f>
        <v>0.1</v>
      </c>
      <c r="AB56" s="20">
        <f>'3_Operational'!S56</f>
        <v>0.1</v>
      </c>
      <c r="AC56" s="20">
        <f>'4_Operational'!S56</f>
        <v>0.1</v>
      </c>
      <c r="AD56" s="20">
        <f>'1_Operational'!AD56</f>
        <v>163</v>
      </c>
      <c r="AE56" s="20">
        <f>'1_Operational'!AE56</f>
        <v>165</v>
      </c>
      <c r="AF56" s="20">
        <f>'3_Operational'!Z56</f>
        <v>163</v>
      </c>
      <c r="AG56" s="20">
        <f>'4_Operational'!AA56</f>
        <v>165</v>
      </c>
    </row>
    <row r="57" spans="1:33">
      <c r="A57" s="20">
        <f t="shared" si="5"/>
        <v>47.6</v>
      </c>
      <c r="B57" s="20">
        <f t="shared" si="6"/>
        <v>0.09</v>
      </c>
      <c r="C57" s="20">
        <f t="shared" si="7"/>
        <v>0.09</v>
      </c>
      <c r="D57" s="20">
        <f t="shared" si="8"/>
        <v>0.09</v>
      </c>
      <c r="E57" s="20">
        <f t="shared" si="9"/>
        <v>0.1</v>
      </c>
      <c r="F57" s="20">
        <v>0.2</v>
      </c>
      <c r="G57" s="20">
        <v>0</v>
      </c>
      <c r="Q57" s="20">
        <f>'1_Operational'!Q57</f>
        <v>47.6</v>
      </c>
      <c r="R57" s="20">
        <f>'1_Operational'!R57</f>
        <v>1272.144</v>
      </c>
      <c r="S57" s="20">
        <f>'2_Operational'!R57</f>
        <v>1292.0039999999999</v>
      </c>
      <c r="T57" s="20">
        <f>'3_Operational'!R57</f>
        <v>1312.7090000000001</v>
      </c>
      <c r="U57" s="20">
        <f>'4_Operational'!R57</f>
        <v>1332.069</v>
      </c>
      <c r="V57" s="20">
        <f>'1_Operational'!T57</f>
        <v>1.23</v>
      </c>
      <c r="W57" s="20">
        <f>'2_Operational'!T57</f>
        <v>0.91</v>
      </c>
      <c r="X57" s="20">
        <f>'3_Operational'!T57</f>
        <v>2.52</v>
      </c>
      <c r="Y57" s="20">
        <f>'4_Operational'!T57</f>
        <v>1.82</v>
      </c>
      <c r="Z57" s="20">
        <f>'1_Operational'!S57</f>
        <v>0.09</v>
      </c>
      <c r="AA57" s="20">
        <f>'2_Operational'!S57</f>
        <v>0.09</v>
      </c>
      <c r="AB57" s="20">
        <f>'3_Operational'!S57</f>
        <v>0.09</v>
      </c>
      <c r="AC57" s="20">
        <f>'4_Operational'!S57</f>
        <v>0.1</v>
      </c>
      <c r="AD57" s="20">
        <f>'1_Operational'!AD57</f>
        <v>164</v>
      </c>
      <c r="AE57" s="20">
        <f>'1_Operational'!AE57</f>
        <v>166</v>
      </c>
      <c r="AF57" s="20">
        <f>'3_Operational'!Z57</f>
        <v>164</v>
      </c>
      <c r="AG57" s="20">
        <f>'4_Operational'!AA57</f>
        <v>166</v>
      </c>
    </row>
    <row r="58" spans="1:33">
      <c r="A58" s="20">
        <f t="shared" si="5"/>
        <v>48.45</v>
      </c>
      <c r="B58" s="20">
        <f t="shared" si="6"/>
        <v>0.09</v>
      </c>
      <c r="C58" s="20">
        <f t="shared" si="7"/>
        <v>0.09</v>
      </c>
      <c r="D58" s="20">
        <f t="shared" si="8"/>
        <v>0.09</v>
      </c>
      <c r="E58" s="20">
        <f t="shared" si="9"/>
        <v>0.09</v>
      </c>
      <c r="F58" s="20">
        <v>0.2</v>
      </c>
      <c r="G58" s="20">
        <v>0</v>
      </c>
      <c r="Q58" s="20">
        <f>'1_Operational'!Q58</f>
        <v>48.45</v>
      </c>
      <c r="R58" s="20">
        <f>'1_Operational'!R58</f>
        <v>1272.222</v>
      </c>
      <c r="S58" s="20">
        <f>'2_Operational'!R58</f>
        <v>1292.0840000000001</v>
      </c>
      <c r="T58" s="20">
        <f>'3_Operational'!R58</f>
        <v>1312.788</v>
      </c>
      <c r="U58" s="20">
        <f>'4_Operational'!R58</f>
        <v>1332.1469999999999</v>
      </c>
      <c r="V58" s="20">
        <f>'1_Operational'!T58</f>
        <v>1.17</v>
      </c>
      <c r="W58" s="20">
        <f>'2_Operational'!T58</f>
        <v>0.94</v>
      </c>
      <c r="X58" s="20">
        <f>'3_Operational'!T58</f>
        <v>2.5299999999999998</v>
      </c>
      <c r="Y58" s="20">
        <f>'4_Operational'!T58</f>
        <v>1.82</v>
      </c>
      <c r="Z58" s="20">
        <f>'1_Operational'!S58</f>
        <v>0.09</v>
      </c>
      <c r="AA58" s="20">
        <f>'2_Operational'!S58</f>
        <v>0.09</v>
      </c>
      <c r="AB58" s="20">
        <f>'3_Operational'!S58</f>
        <v>0.09</v>
      </c>
      <c r="AC58" s="20">
        <f>'4_Operational'!S58</f>
        <v>0.09</v>
      </c>
      <c r="AD58" s="20">
        <f>'1_Operational'!AD58</f>
        <v>165</v>
      </c>
      <c r="AE58" s="20">
        <f>'1_Operational'!AE58</f>
        <v>167</v>
      </c>
      <c r="AF58" s="20">
        <f>'3_Operational'!Z58</f>
        <v>165</v>
      </c>
      <c r="AG58" s="20">
        <f>'4_Operational'!AA58</f>
        <v>167</v>
      </c>
    </row>
    <row r="59" spans="1:33">
      <c r="A59" s="20">
        <f t="shared" si="5"/>
        <v>49.28</v>
      </c>
      <c r="B59" s="20">
        <f t="shared" si="6"/>
        <v>0.09</v>
      </c>
      <c r="C59" s="20">
        <f t="shared" si="7"/>
        <v>0.1</v>
      </c>
      <c r="D59" s="20">
        <f t="shared" si="8"/>
        <v>0.1</v>
      </c>
      <c r="E59" s="20">
        <f t="shared" si="9"/>
        <v>0.1</v>
      </c>
      <c r="F59" s="20">
        <v>0.2</v>
      </c>
      <c r="G59" s="20">
        <v>0</v>
      </c>
      <c r="Q59" s="20">
        <f>'1_Operational'!Q59</f>
        <v>49.28</v>
      </c>
      <c r="R59" s="20">
        <f>'1_Operational'!R59</f>
        <v>1272.3</v>
      </c>
      <c r="S59" s="20">
        <f>'2_Operational'!R59</f>
        <v>1292.164</v>
      </c>
      <c r="T59" s="20">
        <f>'3_Operational'!R59</f>
        <v>1312.8689999999999</v>
      </c>
      <c r="U59" s="20">
        <f>'4_Operational'!R59</f>
        <v>1332.2280000000001</v>
      </c>
      <c r="V59" s="20">
        <f>'1_Operational'!T59</f>
        <v>1.1299999999999999</v>
      </c>
      <c r="W59" s="20">
        <f>'2_Operational'!T59</f>
        <v>0.91</v>
      </c>
      <c r="X59" s="20">
        <f>'3_Operational'!T59</f>
        <v>2.52</v>
      </c>
      <c r="Y59" s="20">
        <f>'4_Operational'!T59</f>
        <v>1.81</v>
      </c>
      <c r="Z59" s="20">
        <f>'1_Operational'!S59</f>
        <v>0.09</v>
      </c>
      <c r="AA59" s="20">
        <f>'2_Operational'!S59</f>
        <v>0.1</v>
      </c>
      <c r="AB59" s="20">
        <f>'3_Operational'!S59</f>
        <v>0.1</v>
      </c>
      <c r="AC59" s="20">
        <f>'4_Operational'!S59</f>
        <v>0.1</v>
      </c>
      <c r="AD59" s="20">
        <f>'1_Operational'!AD59</f>
        <v>166</v>
      </c>
      <c r="AE59" s="20">
        <f>'1_Operational'!AE59</f>
        <v>168</v>
      </c>
      <c r="AF59" s="20">
        <f>'3_Operational'!Z59</f>
        <v>166</v>
      </c>
      <c r="AG59" s="20">
        <f>'4_Operational'!AA59</f>
        <v>168</v>
      </c>
    </row>
    <row r="60" spans="1:33">
      <c r="A60" s="20">
        <f t="shared" si="5"/>
        <v>50.12</v>
      </c>
      <c r="B60" s="20">
        <f t="shared" si="6"/>
        <v>0.09</v>
      </c>
      <c r="C60" s="20">
        <f t="shared" si="7"/>
        <v>0.1</v>
      </c>
      <c r="D60" s="20">
        <f t="shared" si="8"/>
        <v>0.09</v>
      </c>
      <c r="E60" s="20">
        <f t="shared" si="9"/>
        <v>0.1</v>
      </c>
      <c r="F60" s="20">
        <v>0.2</v>
      </c>
      <c r="G60" s="20">
        <v>0</v>
      </c>
      <c r="Q60" s="20">
        <f>'1_Operational'!Q60</f>
        <v>50.12</v>
      </c>
      <c r="R60" s="20">
        <f>'1_Operational'!R60</f>
        <v>1272.3789999999999</v>
      </c>
      <c r="S60" s="20">
        <f>'2_Operational'!R60</f>
        <v>1292.2439999999999</v>
      </c>
      <c r="T60" s="20">
        <f>'3_Operational'!R60</f>
        <v>1312.9480000000001</v>
      </c>
      <c r="U60" s="20">
        <f>'4_Operational'!R60</f>
        <v>1332.309</v>
      </c>
      <c r="V60" s="20">
        <f>'1_Operational'!T60</f>
        <v>1.1499999999999999</v>
      </c>
      <c r="W60" s="20">
        <f>'2_Operational'!T60</f>
        <v>0.92</v>
      </c>
      <c r="X60" s="20">
        <f>'3_Operational'!T60</f>
        <v>2.5099999999999998</v>
      </c>
      <c r="Y60" s="20">
        <f>'4_Operational'!T60</f>
        <v>1.83</v>
      </c>
      <c r="Z60" s="20">
        <f>'1_Operational'!S60</f>
        <v>0.09</v>
      </c>
      <c r="AA60" s="20">
        <f>'2_Operational'!S60</f>
        <v>0.1</v>
      </c>
      <c r="AB60" s="20">
        <f>'3_Operational'!S60</f>
        <v>0.09</v>
      </c>
      <c r="AC60" s="20">
        <f>'4_Operational'!S60</f>
        <v>0.1</v>
      </c>
      <c r="AD60" s="20">
        <f>'1_Operational'!AD60</f>
        <v>167</v>
      </c>
      <c r="AE60" s="20">
        <f>'1_Operational'!AE60</f>
        <v>169</v>
      </c>
      <c r="AF60" s="20">
        <f>'3_Operational'!Z60</f>
        <v>167</v>
      </c>
      <c r="AG60" s="20">
        <f>'4_Operational'!AA60</f>
        <v>169</v>
      </c>
    </row>
    <row r="61" spans="1:33">
      <c r="A61" s="20">
        <f t="shared" si="5"/>
        <v>50.94</v>
      </c>
      <c r="B61" s="20">
        <f t="shared" si="6"/>
        <v>0.1</v>
      </c>
      <c r="C61" s="20">
        <f t="shared" si="7"/>
        <v>0.1</v>
      </c>
      <c r="D61" s="20">
        <f t="shared" si="8"/>
        <v>0.09</v>
      </c>
      <c r="E61" s="20">
        <f t="shared" si="9"/>
        <v>0.1</v>
      </c>
      <c r="F61" s="20">
        <v>0.2</v>
      </c>
      <c r="G61" s="20">
        <v>0</v>
      </c>
      <c r="Q61" s="20">
        <f>'1_Operational'!Q61</f>
        <v>50.94</v>
      </c>
      <c r="R61" s="20">
        <f>'1_Operational'!R61</f>
        <v>1272.4570000000001</v>
      </c>
      <c r="S61" s="20">
        <f>'2_Operational'!R61</f>
        <v>1292.3230000000001</v>
      </c>
      <c r="T61" s="20">
        <f>'3_Operational'!R61</f>
        <v>1313.0239999999999</v>
      </c>
      <c r="U61" s="20">
        <f>'4_Operational'!R61</f>
        <v>1332.3879999999999</v>
      </c>
      <c r="V61" s="20">
        <f>'1_Operational'!T61</f>
        <v>1.1200000000000001</v>
      </c>
      <c r="W61" s="20">
        <f>'2_Operational'!T61</f>
        <v>0.85</v>
      </c>
      <c r="X61" s="20">
        <f>'3_Operational'!T61</f>
        <v>2.48</v>
      </c>
      <c r="Y61" s="20">
        <f>'4_Operational'!T61</f>
        <v>1.82</v>
      </c>
      <c r="Z61" s="20">
        <f>'1_Operational'!S61</f>
        <v>0.1</v>
      </c>
      <c r="AA61" s="20">
        <f>'2_Operational'!S61</f>
        <v>0.1</v>
      </c>
      <c r="AB61" s="20">
        <f>'3_Operational'!S61</f>
        <v>0.09</v>
      </c>
      <c r="AC61" s="20">
        <f>'4_Operational'!S61</f>
        <v>0.1</v>
      </c>
      <c r="AD61" s="20">
        <f>'1_Operational'!AD61</f>
        <v>169</v>
      </c>
      <c r="AE61" s="20">
        <f>'1_Operational'!AE61</f>
        <v>170</v>
      </c>
      <c r="AF61" s="20">
        <f>'3_Operational'!Z61</f>
        <v>169</v>
      </c>
      <c r="AG61" s="20">
        <f>'4_Operational'!AA61</f>
        <v>170</v>
      </c>
    </row>
    <row r="62" spans="1:33">
      <c r="A62" s="20">
        <f t="shared" si="5"/>
        <v>51.77</v>
      </c>
      <c r="B62" s="20">
        <f t="shared" si="6"/>
        <v>0.09</v>
      </c>
      <c r="C62" s="20">
        <f t="shared" si="7"/>
        <v>0.1</v>
      </c>
      <c r="D62" s="20">
        <f t="shared" si="8"/>
        <v>0.1</v>
      </c>
      <c r="E62" s="20">
        <f t="shared" si="9"/>
        <v>0.1</v>
      </c>
      <c r="F62" s="20">
        <v>0.2</v>
      </c>
      <c r="G62" s="20">
        <v>0</v>
      </c>
      <c r="Q62" s="20">
        <f>'1_Operational'!Q62</f>
        <v>51.77</v>
      </c>
      <c r="R62" s="20">
        <f>'1_Operational'!R62</f>
        <v>1272.5350000000001</v>
      </c>
      <c r="S62" s="20">
        <f>'2_Operational'!R62</f>
        <v>1292.404</v>
      </c>
      <c r="T62" s="20">
        <f>'3_Operational'!R62</f>
        <v>1313.1030000000001</v>
      </c>
      <c r="U62" s="20">
        <f>'4_Operational'!R62</f>
        <v>1332.4680000000001</v>
      </c>
      <c r="V62" s="20">
        <f>'1_Operational'!T62</f>
        <v>1.1100000000000001</v>
      </c>
      <c r="W62" s="20">
        <f>'2_Operational'!T62</f>
        <v>0.86</v>
      </c>
      <c r="X62" s="20">
        <f>'3_Operational'!T62</f>
        <v>2.38</v>
      </c>
      <c r="Y62" s="20">
        <f>'4_Operational'!T62</f>
        <v>1.78</v>
      </c>
      <c r="Z62" s="20">
        <f>'1_Operational'!S62</f>
        <v>0.09</v>
      </c>
      <c r="AA62" s="20">
        <f>'2_Operational'!S62</f>
        <v>0.1</v>
      </c>
      <c r="AB62" s="20">
        <f>'3_Operational'!S62</f>
        <v>0.1</v>
      </c>
      <c r="AC62" s="20">
        <f>'4_Operational'!S62</f>
        <v>0.1</v>
      </c>
      <c r="AD62" s="20">
        <f>'1_Operational'!AD62</f>
        <v>170</v>
      </c>
      <c r="AE62" s="20">
        <f>'1_Operational'!AE62</f>
        <v>171</v>
      </c>
      <c r="AF62" s="20">
        <f>'3_Operational'!Z62</f>
        <v>170</v>
      </c>
      <c r="AG62" s="20">
        <f>'4_Operational'!AA62</f>
        <v>171</v>
      </c>
    </row>
    <row r="63" spans="1:33">
      <c r="A63" s="20">
        <f t="shared" si="5"/>
        <v>52.62</v>
      </c>
      <c r="B63" s="20">
        <f t="shared" si="6"/>
        <v>0.09</v>
      </c>
      <c r="C63" s="20">
        <f t="shared" si="7"/>
        <v>0.09</v>
      </c>
      <c r="D63" s="20">
        <f t="shared" si="8"/>
        <v>0.09</v>
      </c>
      <c r="E63" s="20">
        <f t="shared" si="9"/>
        <v>0.1</v>
      </c>
      <c r="F63" s="20">
        <v>0.2</v>
      </c>
      <c r="G63" s="20">
        <v>0</v>
      </c>
      <c r="Q63" s="20">
        <f>'1_Operational'!Q63</f>
        <v>52.62</v>
      </c>
      <c r="R63" s="20">
        <f>'1_Operational'!R63</f>
        <v>1272.614</v>
      </c>
      <c r="S63" s="20">
        <f>'2_Operational'!R63</f>
        <v>1292.4829999999999</v>
      </c>
      <c r="T63" s="20">
        <f>'3_Operational'!R63</f>
        <v>1313.183</v>
      </c>
      <c r="U63" s="20">
        <f>'4_Operational'!R63</f>
        <v>1332.549</v>
      </c>
      <c r="V63" s="20">
        <f>'1_Operational'!T63</f>
        <v>1.1100000000000001</v>
      </c>
      <c r="W63" s="20">
        <f>'2_Operational'!T63</f>
        <v>0.86</v>
      </c>
      <c r="X63" s="20">
        <f>'3_Operational'!T63</f>
        <v>2.4900000000000002</v>
      </c>
      <c r="Y63" s="20">
        <f>'4_Operational'!T63</f>
        <v>1.77</v>
      </c>
      <c r="Z63" s="20">
        <f>'1_Operational'!S63</f>
        <v>0.09</v>
      </c>
      <c r="AA63" s="20">
        <f>'2_Operational'!S63</f>
        <v>0.09</v>
      </c>
      <c r="AB63" s="20">
        <f>'3_Operational'!S63</f>
        <v>0.09</v>
      </c>
      <c r="AC63" s="20">
        <f>'4_Operational'!S63</f>
        <v>0.1</v>
      </c>
      <c r="AD63" s="20">
        <f>'1_Operational'!AD63</f>
        <v>171</v>
      </c>
      <c r="AE63" s="20">
        <f>'1_Operational'!AE63</f>
        <v>173</v>
      </c>
      <c r="AF63" s="20">
        <f>'3_Operational'!Z63</f>
        <v>171</v>
      </c>
      <c r="AG63" s="20">
        <f>'4_Operational'!AA63</f>
        <v>173</v>
      </c>
    </row>
    <row r="64" spans="1:33">
      <c r="A64" s="20">
        <f t="shared" si="5"/>
        <v>53.45</v>
      </c>
      <c r="B64" s="20">
        <f t="shared" si="6"/>
        <v>0.1</v>
      </c>
      <c r="C64" s="20">
        <f t="shared" si="7"/>
        <v>0.1</v>
      </c>
      <c r="D64" s="20">
        <f t="shared" si="8"/>
        <v>0.1</v>
      </c>
      <c r="E64" s="20">
        <f t="shared" si="9"/>
        <v>0.1</v>
      </c>
      <c r="F64" s="20">
        <v>0.2</v>
      </c>
      <c r="G64" s="20">
        <v>0</v>
      </c>
      <c r="Q64" s="20">
        <f>'1_Operational'!Q64</f>
        <v>53.45</v>
      </c>
      <c r="R64" s="20">
        <f>'1_Operational'!R64</f>
        <v>1272.6949999999999</v>
      </c>
      <c r="S64" s="20">
        <f>'2_Operational'!R64</f>
        <v>1292.5640000000001</v>
      </c>
      <c r="T64" s="20">
        <f>'3_Operational'!R64</f>
        <v>1313.2650000000001</v>
      </c>
      <c r="U64" s="20">
        <f>'4_Operational'!R64</f>
        <v>1332.63</v>
      </c>
      <c r="V64" s="20">
        <f>'1_Operational'!T64</f>
        <v>1.1399999999999999</v>
      </c>
      <c r="W64" s="20">
        <f>'2_Operational'!T64</f>
        <v>0.92</v>
      </c>
      <c r="X64" s="20">
        <f>'3_Operational'!T64</f>
        <v>2.42</v>
      </c>
      <c r="Y64" s="20">
        <f>'4_Operational'!T64</f>
        <v>1.76</v>
      </c>
      <c r="Z64" s="20">
        <f>'1_Operational'!S64</f>
        <v>0.1</v>
      </c>
      <c r="AA64" s="20">
        <f>'2_Operational'!S64</f>
        <v>0.1</v>
      </c>
      <c r="AB64" s="20">
        <f>'3_Operational'!S64</f>
        <v>0.1</v>
      </c>
      <c r="AC64" s="20">
        <f>'4_Operational'!S64</f>
        <v>0.1</v>
      </c>
      <c r="AD64" s="20">
        <f>'1_Operational'!AD64</f>
        <v>172</v>
      </c>
      <c r="AE64" s="20">
        <f>'1_Operational'!AE64</f>
        <v>174</v>
      </c>
      <c r="AF64" s="20">
        <f>'3_Operational'!Z64</f>
        <v>172</v>
      </c>
      <c r="AG64" s="20">
        <f>'4_Operational'!AA64</f>
        <v>174</v>
      </c>
    </row>
    <row r="65" spans="1:33">
      <c r="A65" s="20">
        <f t="shared" si="5"/>
        <v>54.29</v>
      </c>
      <c r="B65" s="20">
        <f t="shared" si="6"/>
        <v>0.1</v>
      </c>
      <c r="C65" s="20">
        <f t="shared" si="7"/>
        <v>0.09</v>
      </c>
      <c r="D65" s="20">
        <f t="shared" si="8"/>
        <v>0.09</v>
      </c>
      <c r="E65" s="20">
        <f t="shared" si="9"/>
        <v>0.1</v>
      </c>
      <c r="F65" s="20">
        <v>0.2</v>
      </c>
      <c r="G65" s="20">
        <v>0</v>
      </c>
      <c r="Q65" s="20">
        <f>'1_Operational'!Q65</f>
        <v>54.29</v>
      </c>
      <c r="R65" s="20">
        <f>'1_Operational'!R65</f>
        <v>1272.7760000000001</v>
      </c>
      <c r="S65" s="20">
        <f>'2_Operational'!R65</f>
        <v>1292.643</v>
      </c>
      <c r="T65" s="20">
        <f>'3_Operational'!R65</f>
        <v>1313.3440000000001</v>
      </c>
      <c r="U65" s="20">
        <f>'4_Operational'!R65</f>
        <v>1332.71</v>
      </c>
      <c r="V65" s="20">
        <f>'1_Operational'!T65</f>
        <v>1.1299999999999999</v>
      </c>
      <c r="W65" s="20">
        <f>'2_Operational'!T65</f>
        <v>0.9</v>
      </c>
      <c r="X65" s="20">
        <f>'3_Operational'!T65</f>
        <v>2.38</v>
      </c>
      <c r="Y65" s="20">
        <f>'4_Operational'!T65</f>
        <v>1.75</v>
      </c>
      <c r="Z65" s="20">
        <f>'1_Operational'!S65</f>
        <v>0.1</v>
      </c>
      <c r="AA65" s="20">
        <f>'2_Operational'!S65</f>
        <v>0.09</v>
      </c>
      <c r="AB65" s="20">
        <f>'3_Operational'!S65</f>
        <v>0.09</v>
      </c>
      <c r="AC65" s="20">
        <f>'4_Operational'!S65</f>
        <v>0.1</v>
      </c>
      <c r="AD65" s="20">
        <f>'1_Operational'!AD65</f>
        <v>174</v>
      </c>
      <c r="AE65" s="20">
        <f>'1_Operational'!AE65</f>
        <v>175</v>
      </c>
      <c r="AF65" s="20">
        <f>'3_Operational'!Z65</f>
        <v>174</v>
      </c>
      <c r="AG65" s="20">
        <f>'4_Operational'!AA65</f>
        <v>175</v>
      </c>
    </row>
    <row r="66" spans="1:33">
      <c r="A66" s="20">
        <f t="shared" ref="A66:A84" si="10">Q66</f>
        <v>55.14</v>
      </c>
      <c r="B66" s="20">
        <f t="shared" ref="B66:B84" si="11">Z66</f>
        <v>0.09</v>
      </c>
      <c r="C66" s="20">
        <f t="shared" ref="C66:C84" si="12">AA66</f>
        <v>0.09</v>
      </c>
      <c r="D66" s="20">
        <f t="shared" ref="D66:D84" si="13">AB66</f>
        <v>0.09</v>
      </c>
      <c r="E66" s="20">
        <f t="shared" ref="E66:E84" si="14">AC66</f>
        <v>0.09</v>
      </c>
      <c r="F66" s="20">
        <v>0.2</v>
      </c>
      <c r="G66" s="20">
        <v>0</v>
      </c>
      <c r="Q66" s="20">
        <f>'1_Operational'!Q66</f>
        <v>55.14</v>
      </c>
      <c r="R66" s="20">
        <f>'1_Operational'!R66</f>
        <v>1272.856</v>
      </c>
      <c r="S66" s="20">
        <f>'2_Operational'!R66</f>
        <v>1292.722</v>
      </c>
      <c r="T66" s="20">
        <f>'3_Operational'!R66</f>
        <v>1313.422</v>
      </c>
      <c r="U66" s="20">
        <f>'4_Operational'!R66</f>
        <v>1332.79</v>
      </c>
      <c r="V66" s="20">
        <f>'1_Operational'!T66</f>
        <v>1.1399999999999999</v>
      </c>
      <c r="W66" s="20">
        <f>'2_Operational'!T66</f>
        <v>0.9</v>
      </c>
      <c r="X66" s="20">
        <f>'3_Operational'!T66</f>
        <v>2.44</v>
      </c>
      <c r="Y66" s="20">
        <f>'4_Operational'!T66</f>
        <v>1.79</v>
      </c>
      <c r="Z66" s="20">
        <f>'1_Operational'!S66</f>
        <v>0.09</v>
      </c>
      <c r="AA66" s="20">
        <f>'2_Operational'!S66</f>
        <v>0.09</v>
      </c>
      <c r="AB66" s="20">
        <f>'3_Operational'!S66</f>
        <v>0.09</v>
      </c>
      <c r="AC66" s="20">
        <f>'4_Operational'!S66</f>
        <v>0.09</v>
      </c>
      <c r="AD66" s="20">
        <f>'1_Operational'!AD66</f>
        <v>176</v>
      </c>
      <c r="AE66" s="20">
        <f>'1_Operational'!AE66</f>
        <v>177</v>
      </c>
      <c r="AF66" s="20">
        <f>'3_Operational'!Z66</f>
        <v>176</v>
      </c>
      <c r="AG66" s="20">
        <f>'4_Operational'!AA66</f>
        <v>177</v>
      </c>
    </row>
    <row r="67" spans="1:33">
      <c r="A67" s="20">
        <f t="shared" si="10"/>
        <v>55.97</v>
      </c>
      <c r="B67" s="20">
        <f t="shared" si="11"/>
        <v>0.1</v>
      </c>
      <c r="C67" s="20">
        <f t="shared" si="12"/>
        <v>0.1</v>
      </c>
      <c r="D67" s="20">
        <f t="shared" si="13"/>
        <v>0.1</v>
      </c>
      <c r="E67" s="20">
        <f t="shared" si="14"/>
        <v>0.1</v>
      </c>
      <c r="F67" s="20">
        <v>0.2</v>
      </c>
      <c r="G67" s="20">
        <v>0</v>
      </c>
      <c r="Q67" s="20">
        <f>'1_Operational'!Q67</f>
        <v>55.97</v>
      </c>
      <c r="R67" s="20">
        <f>'1_Operational'!R67</f>
        <v>1272.9359999999999</v>
      </c>
      <c r="S67" s="20">
        <f>'2_Operational'!R67</f>
        <v>1292.8019999999999</v>
      </c>
      <c r="T67" s="20">
        <f>'3_Operational'!R67</f>
        <v>1313.5029999999999</v>
      </c>
      <c r="U67" s="20">
        <f>'4_Operational'!R67</f>
        <v>1332.873</v>
      </c>
      <c r="V67" s="20">
        <f>'1_Operational'!T67</f>
        <v>1.1399999999999999</v>
      </c>
      <c r="W67" s="20">
        <f>'2_Operational'!T67</f>
        <v>0.91</v>
      </c>
      <c r="X67" s="20">
        <f>'3_Operational'!T67</f>
        <v>2.44</v>
      </c>
      <c r="Y67" s="20">
        <f>'4_Operational'!T67</f>
        <v>1.78</v>
      </c>
      <c r="Z67" s="20">
        <f>'1_Operational'!S67</f>
        <v>0.1</v>
      </c>
      <c r="AA67" s="20">
        <f>'2_Operational'!S67</f>
        <v>0.1</v>
      </c>
      <c r="AB67" s="20">
        <f>'3_Operational'!S67</f>
        <v>0.1</v>
      </c>
      <c r="AC67" s="20">
        <f>'4_Operational'!S67</f>
        <v>0.1</v>
      </c>
      <c r="AD67" s="20">
        <f>'1_Operational'!AD67</f>
        <v>178</v>
      </c>
      <c r="AE67" s="20">
        <f>'1_Operational'!AE67</f>
        <v>178</v>
      </c>
      <c r="AF67" s="20">
        <f>'3_Operational'!Z67</f>
        <v>178</v>
      </c>
      <c r="AG67" s="20">
        <f>'4_Operational'!AA67</f>
        <v>178</v>
      </c>
    </row>
    <row r="68" spans="1:33">
      <c r="A68" s="20">
        <f t="shared" si="10"/>
        <v>56.81</v>
      </c>
      <c r="B68" s="20">
        <f t="shared" si="11"/>
        <v>0.1</v>
      </c>
      <c r="C68" s="20">
        <f t="shared" si="12"/>
        <v>0.1</v>
      </c>
      <c r="D68" s="20">
        <f t="shared" si="13"/>
        <v>0.1</v>
      </c>
      <c r="E68" s="20">
        <f t="shared" si="14"/>
        <v>0.1</v>
      </c>
      <c r="F68" s="20">
        <v>0.2</v>
      </c>
      <c r="G68" s="20">
        <v>0</v>
      </c>
      <c r="Q68" s="20">
        <f>'1_Operational'!Q68</f>
        <v>56.81</v>
      </c>
      <c r="R68" s="20">
        <f>'1_Operational'!R68</f>
        <v>1273.0170000000001</v>
      </c>
      <c r="S68" s="20">
        <f>'2_Operational'!R68</f>
        <v>1292.884</v>
      </c>
      <c r="T68" s="20">
        <f>'3_Operational'!R68</f>
        <v>1313.585</v>
      </c>
      <c r="U68" s="20">
        <f>'4_Operational'!R68</f>
        <v>1332.953</v>
      </c>
      <c r="V68" s="20">
        <f>'1_Operational'!T68</f>
        <v>1.1599999999999999</v>
      </c>
      <c r="W68" s="20">
        <f>'2_Operational'!T68</f>
        <v>0.88</v>
      </c>
      <c r="X68" s="20">
        <f>'3_Operational'!T68</f>
        <v>2.38</v>
      </c>
      <c r="Y68" s="20">
        <f>'4_Operational'!T68</f>
        <v>1.77</v>
      </c>
      <c r="Z68" s="20">
        <f>'1_Operational'!S68</f>
        <v>0.1</v>
      </c>
      <c r="AA68" s="20">
        <f>'2_Operational'!S68</f>
        <v>0.1</v>
      </c>
      <c r="AB68" s="20">
        <f>'3_Operational'!S68</f>
        <v>0.1</v>
      </c>
      <c r="AC68" s="20">
        <f>'4_Operational'!S68</f>
        <v>0.1</v>
      </c>
      <c r="AD68" s="20">
        <f>'1_Operational'!AD68</f>
        <v>179</v>
      </c>
      <c r="AE68" s="20">
        <f>'1_Operational'!AE68</f>
        <v>180</v>
      </c>
      <c r="AF68" s="20">
        <f>'3_Operational'!Z68</f>
        <v>179</v>
      </c>
      <c r="AG68" s="20">
        <f>'4_Operational'!AA68</f>
        <v>180</v>
      </c>
    </row>
    <row r="69" spans="1:33">
      <c r="A69" s="20">
        <f t="shared" si="10"/>
        <v>57.67</v>
      </c>
      <c r="B69" s="20">
        <f t="shared" si="11"/>
        <v>0.09</v>
      </c>
      <c r="C69" s="20">
        <f t="shared" si="12"/>
        <v>0.09</v>
      </c>
      <c r="D69" s="20">
        <f t="shared" si="13"/>
        <v>0.09</v>
      </c>
      <c r="E69" s="20">
        <f t="shared" si="14"/>
        <v>0.09</v>
      </c>
      <c r="F69" s="20">
        <v>0.2</v>
      </c>
      <c r="G69" s="20">
        <v>0</v>
      </c>
      <c r="Q69" s="20">
        <f>'1_Operational'!Q69</f>
        <v>57.67</v>
      </c>
      <c r="R69" s="20">
        <f>'1_Operational'!R69</f>
        <v>1273.098</v>
      </c>
      <c r="S69" s="20">
        <f>'2_Operational'!R69</f>
        <v>1292.962</v>
      </c>
      <c r="T69" s="20">
        <f>'3_Operational'!R69</f>
        <v>1313.6659999999999</v>
      </c>
      <c r="U69" s="20">
        <f>'4_Operational'!R69</f>
        <v>1333.0319999999999</v>
      </c>
      <c r="V69" s="20">
        <f>'1_Operational'!T69</f>
        <v>1.1399999999999999</v>
      </c>
      <c r="W69" s="20">
        <f>'2_Operational'!T69</f>
        <v>0.92</v>
      </c>
      <c r="X69" s="20">
        <f>'3_Operational'!T69</f>
        <v>2.38</v>
      </c>
      <c r="Y69" s="20">
        <f>'4_Operational'!T69</f>
        <v>1.77</v>
      </c>
      <c r="Z69" s="20">
        <f>'1_Operational'!S69</f>
        <v>0.09</v>
      </c>
      <c r="AA69" s="20">
        <f>'2_Operational'!S69</f>
        <v>0.09</v>
      </c>
      <c r="AB69" s="20">
        <f>'3_Operational'!S69</f>
        <v>0.09</v>
      </c>
      <c r="AC69" s="20">
        <f>'4_Operational'!S69</f>
        <v>0.09</v>
      </c>
      <c r="AD69" s="20">
        <f>'1_Operational'!AD69</f>
        <v>181</v>
      </c>
      <c r="AE69" s="20">
        <f>'1_Operational'!AE69</f>
        <v>181</v>
      </c>
      <c r="AF69" s="20">
        <f>'3_Operational'!Z69</f>
        <v>181</v>
      </c>
      <c r="AG69" s="20">
        <f>'4_Operational'!AA69</f>
        <v>181</v>
      </c>
    </row>
    <row r="70" spans="1:33">
      <c r="A70" s="20">
        <f t="shared" si="10"/>
        <v>58.45</v>
      </c>
      <c r="B70" s="20">
        <f t="shared" si="11"/>
        <v>0.1</v>
      </c>
      <c r="C70" s="20">
        <f t="shared" si="12"/>
        <v>0.1</v>
      </c>
      <c r="D70" s="20">
        <f t="shared" si="13"/>
        <v>0.11</v>
      </c>
      <c r="E70" s="20">
        <f t="shared" si="14"/>
        <v>0.1</v>
      </c>
      <c r="F70" s="20">
        <v>0.2</v>
      </c>
      <c r="G70" s="20">
        <v>0</v>
      </c>
      <c r="Q70" s="20">
        <f>'1_Operational'!Q70</f>
        <v>58.45</v>
      </c>
      <c r="R70" s="20">
        <f>'1_Operational'!R70</f>
        <v>1273.1790000000001</v>
      </c>
      <c r="S70" s="20">
        <f>'2_Operational'!R70</f>
        <v>1293.0429999999999</v>
      </c>
      <c r="T70" s="20">
        <f>'3_Operational'!R70</f>
        <v>1313.748</v>
      </c>
      <c r="U70" s="20">
        <f>'4_Operational'!R70</f>
        <v>1333.1130000000001</v>
      </c>
      <c r="V70" s="20">
        <f>'1_Operational'!T70</f>
        <v>1.1000000000000001</v>
      </c>
      <c r="W70" s="20">
        <f>'2_Operational'!T70</f>
        <v>0.92</v>
      </c>
      <c r="X70" s="20">
        <f>'3_Operational'!T70</f>
        <v>2.38</v>
      </c>
      <c r="Y70" s="20">
        <f>'4_Operational'!T70</f>
        <v>1.72</v>
      </c>
      <c r="Z70" s="20">
        <f>'1_Operational'!S70</f>
        <v>0.1</v>
      </c>
      <c r="AA70" s="20">
        <f>'2_Operational'!S70</f>
        <v>0.1</v>
      </c>
      <c r="AB70" s="20">
        <f>'3_Operational'!S70</f>
        <v>0.11</v>
      </c>
      <c r="AC70" s="20">
        <f>'4_Operational'!S70</f>
        <v>0.1</v>
      </c>
      <c r="AD70" s="20">
        <f>'1_Operational'!AD70</f>
        <v>183</v>
      </c>
      <c r="AE70" s="20">
        <f>'1_Operational'!AE70</f>
        <v>183</v>
      </c>
      <c r="AF70" s="20">
        <f>'3_Operational'!Z70</f>
        <v>183</v>
      </c>
      <c r="AG70" s="20">
        <f>'4_Operational'!AA70</f>
        <v>183</v>
      </c>
    </row>
    <row r="71" spans="1:33">
      <c r="A71" s="20">
        <f t="shared" si="10"/>
        <v>59.3</v>
      </c>
      <c r="B71" s="20">
        <f t="shared" si="11"/>
        <v>0.1</v>
      </c>
      <c r="C71" s="20">
        <f t="shared" si="12"/>
        <v>0.1</v>
      </c>
      <c r="D71" s="20">
        <f t="shared" si="13"/>
        <v>0.09</v>
      </c>
      <c r="E71" s="20">
        <f t="shared" si="14"/>
        <v>0.1</v>
      </c>
      <c r="F71" s="20">
        <v>0.2</v>
      </c>
      <c r="G71" s="20">
        <v>0</v>
      </c>
      <c r="Q71" s="20">
        <f>'1_Operational'!Q71</f>
        <v>59.3</v>
      </c>
      <c r="R71" s="20">
        <f>'1_Operational'!R71</f>
        <v>1273.26</v>
      </c>
      <c r="S71" s="20">
        <f>'2_Operational'!R71</f>
        <v>1293.124</v>
      </c>
      <c r="T71" s="20">
        <f>'3_Operational'!R71</f>
        <v>1313.828</v>
      </c>
      <c r="U71" s="20">
        <f>'4_Operational'!R71</f>
        <v>1333.194</v>
      </c>
      <c r="V71" s="20">
        <f>'1_Operational'!T71</f>
        <v>1.01</v>
      </c>
      <c r="W71" s="20">
        <f>'2_Operational'!T71</f>
        <v>0.91</v>
      </c>
      <c r="X71" s="20">
        <f>'3_Operational'!T71</f>
        <v>2.35</v>
      </c>
      <c r="Y71" s="20">
        <f>'4_Operational'!T71</f>
        <v>1.71</v>
      </c>
      <c r="Z71" s="20">
        <f>'1_Operational'!S71</f>
        <v>0.1</v>
      </c>
      <c r="AA71" s="20">
        <f>'2_Operational'!S71</f>
        <v>0.1</v>
      </c>
      <c r="AB71" s="20">
        <f>'3_Operational'!S71</f>
        <v>0.09</v>
      </c>
      <c r="AC71" s="20">
        <f>'4_Operational'!S71</f>
        <v>0.1</v>
      </c>
      <c r="AD71" s="20">
        <f>'1_Operational'!AD71</f>
        <v>184</v>
      </c>
      <c r="AE71" s="20">
        <f>'1_Operational'!AE71</f>
        <v>184</v>
      </c>
      <c r="AF71" s="20">
        <f>'3_Operational'!Z71</f>
        <v>184</v>
      </c>
      <c r="AG71" s="20">
        <f>'4_Operational'!AA71</f>
        <v>184</v>
      </c>
    </row>
    <row r="72" spans="1:33">
      <c r="A72" s="20">
        <f t="shared" si="10"/>
        <v>60.16</v>
      </c>
      <c r="B72" s="20">
        <f t="shared" si="11"/>
        <v>0.1</v>
      </c>
      <c r="C72" s="20">
        <f t="shared" si="12"/>
        <v>0.09</v>
      </c>
      <c r="D72" s="20">
        <f t="shared" si="13"/>
        <v>0.09</v>
      </c>
      <c r="E72" s="20">
        <f t="shared" si="14"/>
        <v>0.09</v>
      </c>
      <c r="F72" s="20">
        <v>0.2</v>
      </c>
      <c r="G72" s="20">
        <v>0</v>
      </c>
      <c r="Q72" s="20">
        <f>'1_Operational'!Q72</f>
        <v>60.16</v>
      </c>
      <c r="R72" s="20">
        <f>'1_Operational'!R72</f>
        <v>1273.3420000000001</v>
      </c>
      <c r="S72" s="20">
        <f>'2_Operational'!R72</f>
        <v>1293.2049999999999</v>
      </c>
      <c r="T72" s="20">
        <f>'3_Operational'!R72</f>
        <v>1313.9090000000001</v>
      </c>
      <c r="U72" s="20">
        <f>'4_Operational'!R72</f>
        <v>1333.2739999999999</v>
      </c>
      <c r="V72" s="20">
        <f>'1_Operational'!T72</f>
        <v>1.02</v>
      </c>
      <c r="W72" s="20">
        <f>'2_Operational'!T72</f>
        <v>0.94</v>
      </c>
      <c r="X72" s="20">
        <f>'3_Operational'!T72</f>
        <v>2.29</v>
      </c>
      <c r="Y72" s="20">
        <f>'4_Operational'!T72</f>
        <v>1.78</v>
      </c>
      <c r="Z72" s="20">
        <f>'1_Operational'!S72</f>
        <v>0.1</v>
      </c>
      <c r="AA72" s="20">
        <f>'2_Operational'!S72</f>
        <v>0.09</v>
      </c>
      <c r="AB72" s="20">
        <f>'3_Operational'!S72</f>
        <v>0.09</v>
      </c>
      <c r="AC72" s="20">
        <f>'4_Operational'!S72</f>
        <v>0.09</v>
      </c>
      <c r="AD72" s="20">
        <f>'1_Operational'!AD72</f>
        <v>186</v>
      </c>
      <c r="AE72" s="20">
        <f>'1_Operational'!AE72</f>
        <v>186</v>
      </c>
      <c r="AF72" s="20">
        <f>'3_Operational'!Z72</f>
        <v>186</v>
      </c>
      <c r="AG72" s="20">
        <f>'4_Operational'!AA72</f>
        <v>186</v>
      </c>
    </row>
    <row r="73" spans="1:33">
      <c r="A73" s="20">
        <f t="shared" si="10"/>
        <v>60.95</v>
      </c>
      <c r="B73" s="20">
        <f t="shared" si="11"/>
        <v>0.1</v>
      </c>
      <c r="C73" s="20">
        <f t="shared" si="12"/>
        <v>0.11</v>
      </c>
      <c r="D73" s="20">
        <f t="shared" si="13"/>
        <v>0.1</v>
      </c>
      <c r="E73" s="20">
        <f t="shared" si="14"/>
        <v>0.11</v>
      </c>
      <c r="F73" s="20">
        <v>0.2</v>
      </c>
      <c r="G73" s="20">
        <v>0</v>
      </c>
      <c r="Q73" s="20">
        <f>'1_Operational'!Q73</f>
        <v>60.95</v>
      </c>
      <c r="R73" s="20">
        <f>'1_Operational'!R73</f>
        <v>1273.424</v>
      </c>
      <c r="S73" s="20">
        <f>'2_Operational'!R73</f>
        <v>1293.289</v>
      </c>
      <c r="T73" s="20">
        <f>'3_Operational'!R73</f>
        <v>1313.991</v>
      </c>
      <c r="U73" s="20">
        <f>'4_Operational'!R73</f>
        <v>1333.3610000000001</v>
      </c>
      <c r="V73" s="20">
        <f>'1_Operational'!T73</f>
        <v>1.07</v>
      </c>
      <c r="W73" s="20">
        <f>'2_Operational'!T73</f>
        <v>0.97</v>
      </c>
      <c r="X73" s="20">
        <f>'3_Operational'!T73</f>
        <v>2.3199999999999998</v>
      </c>
      <c r="Y73" s="20">
        <f>'4_Operational'!T73</f>
        <v>1.7</v>
      </c>
      <c r="Z73" s="20">
        <f>'1_Operational'!S73</f>
        <v>0.1</v>
      </c>
      <c r="AA73" s="20">
        <f>'2_Operational'!S73</f>
        <v>0.11</v>
      </c>
      <c r="AB73" s="20">
        <f>'3_Operational'!S73</f>
        <v>0.1</v>
      </c>
      <c r="AC73" s="20">
        <f>'4_Operational'!S73</f>
        <v>0.11</v>
      </c>
      <c r="AD73" s="20">
        <f>'1_Operational'!AD73</f>
        <v>187</v>
      </c>
      <c r="AE73" s="20">
        <f>'1_Operational'!AE73</f>
        <v>188</v>
      </c>
      <c r="AF73" s="20">
        <f>'3_Operational'!Z73</f>
        <v>187</v>
      </c>
      <c r="AG73" s="20">
        <f>'4_Operational'!AA73</f>
        <v>188</v>
      </c>
    </row>
    <row r="74" spans="1:33">
      <c r="A74" s="20">
        <f t="shared" si="10"/>
        <v>61.75</v>
      </c>
      <c r="B74" s="20">
        <f t="shared" si="11"/>
        <v>0.1</v>
      </c>
      <c r="C74" s="20">
        <f t="shared" si="12"/>
        <v>0.11</v>
      </c>
      <c r="D74" s="20">
        <f t="shared" si="13"/>
        <v>0.1</v>
      </c>
      <c r="E74" s="20">
        <f t="shared" si="14"/>
        <v>0.1</v>
      </c>
      <c r="F74" s="20">
        <v>0.2</v>
      </c>
      <c r="G74" s="20">
        <v>0</v>
      </c>
      <c r="Q74" s="20">
        <f>'1_Operational'!Q74</f>
        <v>61.75</v>
      </c>
      <c r="R74" s="20">
        <f>'1_Operational'!R74</f>
        <v>1273.5060000000001</v>
      </c>
      <c r="S74" s="20">
        <f>'2_Operational'!R74</f>
        <v>1293.374</v>
      </c>
      <c r="T74" s="20">
        <f>'3_Operational'!R74</f>
        <v>1314.0730000000001</v>
      </c>
      <c r="U74" s="20">
        <f>'4_Operational'!R74</f>
        <v>1333.443</v>
      </c>
      <c r="V74" s="20">
        <f>'1_Operational'!T74</f>
        <v>1.17</v>
      </c>
      <c r="W74" s="20">
        <f>'2_Operational'!T74</f>
        <v>0.96</v>
      </c>
      <c r="X74" s="20">
        <f>'3_Operational'!T74</f>
        <v>2.29</v>
      </c>
      <c r="Y74" s="20">
        <f>'4_Operational'!T74</f>
        <v>1.77</v>
      </c>
      <c r="Z74" s="20">
        <f>'1_Operational'!S74</f>
        <v>0.1</v>
      </c>
      <c r="AA74" s="20">
        <f>'2_Operational'!S74</f>
        <v>0.11</v>
      </c>
      <c r="AB74" s="20">
        <f>'3_Operational'!S74</f>
        <v>0.1</v>
      </c>
      <c r="AC74" s="20">
        <f>'4_Operational'!S74</f>
        <v>0.1</v>
      </c>
      <c r="AD74" s="20">
        <f>'1_Operational'!AD74</f>
        <v>189</v>
      </c>
      <c r="AE74" s="20">
        <f>'1_Operational'!AE74</f>
        <v>190</v>
      </c>
      <c r="AF74" s="20">
        <f>'3_Operational'!Z74</f>
        <v>189</v>
      </c>
      <c r="AG74" s="20">
        <f>'4_Operational'!AA74</f>
        <v>190</v>
      </c>
    </row>
    <row r="75" spans="1:33">
      <c r="A75" s="20">
        <f t="shared" si="10"/>
        <v>62.57</v>
      </c>
      <c r="B75" s="20">
        <f t="shared" si="11"/>
        <v>0.1</v>
      </c>
      <c r="C75" s="20">
        <f t="shared" si="12"/>
        <v>0.1</v>
      </c>
      <c r="D75" s="20">
        <f t="shared" si="13"/>
        <v>0.1</v>
      </c>
      <c r="E75" s="20">
        <f t="shared" si="14"/>
        <v>0.1</v>
      </c>
      <c r="F75" s="20">
        <v>0.2</v>
      </c>
      <c r="G75" s="20">
        <v>0</v>
      </c>
      <c r="Q75" s="20">
        <f>'1_Operational'!Q75</f>
        <v>62.57</v>
      </c>
      <c r="R75" s="20">
        <f>'1_Operational'!R75</f>
        <v>1273.5889999999999</v>
      </c>
      <c r="S75" s="20">
        <f>'2_Operational'!R75</f>
        <v>1293.4590000000001</v>
      </c>
      <c r="T75" s="20">
        <f>'3_Operational'!R75</f>
        <v>1314.154</v>
      </c>
      <c r="U75" s="20">
        <f>'4_Operational'!R75</f>
        <v>1333.528</v>
      </c>
      <c r="V75" s="20">
        <f>'1_Operational'!T75</f>
        <v>1.25</v>
      </c>
      <c r="W75" s="20">
        <f>'2_Operational'!T75</f>
        <v>0.94</v>
      </c>
      <c r="X75" s="20">
        <f>'3_Operational'!T75</f>
        <v>2.2200000000000002</v>
      </c>
      <c r="Y75" s="20">
        <f>'4_Operational'!T75</f>
        <v>1.72</v>
      </c>
      <c r="Z75" s="20">
        <f>'1_Operational'!S75</f>
        <v>0.1</v>
      </c>
      <c r="AA75" s="20">
        <f>'2_Operational'!S75</f>
        <v>0.1</v>
      </c>
      <c r="AB75" s="20">
        <f>'3_Operational'!S75</f>
        <v>0.1</v>
      </c>
      <c r="AC75" s="20">
        <f>'4_Operational'!S75</f>
        <v>0.1</v>
      </c>
      <c r="AD75" s="20">
        <f>'1_Operational'!AD75</f>
        <v>191</v>
      </c>
      <c r="AE75" s="20">
        <f>'1_Operational'!AE75</f>
        <v>191</v>
      </c>
      <c r="AF75" s="20">
        <f>'3_Operational'!Z75</f>
        <v>191</v>
      </c>
      <c r="AG75" s="20">
        <f>'4_Operational'!AA75</f>
        <v>191</v>
      </c>
    </row>
    <row r="76" spans="1:33">
      <c r="A76" s="20">
        <f t="shared" si="10"/>
        <v>63.41</v>
      </c>
      <c r="B76" s="20">
        <f t="shared" si="11"/>
        <v>0.1</v>
      </c>
      <c r="C76" s="20">
        <f t="shared" si="12"/>
        <v>0.1</v>
      </c>
      <c r="D76" s="20">
        <f t="shared" si="13"/>
        <v>0.1</v>
      </c>
      <c r="E76" s="20">
        <f t="shared" si="14"/>
        <v>0.11</v>
      </c>
      <c r="F76" s="20">
        <v>0.2</v>
      </c>
      <c r="G76" s="20">
        <v>0</v>
      </c>
      <c r="Q76" s="20">
        <f>'1_Operational'!Q76</f>
        <v>63.41</v>
      </c>
      <c r="R76" s="20">
        <f>'1_Operational'!R76</f>
        <v>1273.675</v>
      </c>
      <c r="S76" s="20">
        <f>'2_Operational'!R76</f>
        <v>1293.5450000000001</v>
      </c>
      <c r="T76" s="20">
        <f>'3_Operational'!R76</f>
        <v>1314.239</v>
      </c>
      <c r="U76" s="20">
        <f>'4_Operational'!R76</f>
        <v>1333.617</v>
      </c>
      <c r="V76" s="20">
        <f>'1_Operational'!T76</f>
        <v>1.18</v>
      </c>
      <c r="W76" s="20">
        <f>'2_Operational'!T76</f>
        <v>0.96</v>
      </c>
      <c r="X76" s="20">
        <f>'3_Operational'!T76</f>
        <v>2.27</v>
      </c>
      <c r="Y76" s="20">
        <f>'4_Operational'!T76</f>
        <v>1.81</v>
      </c>
      <c r="Z76" s="20">
        <f>'1_Operational'!S76</f>
        <v>0.1</v>
      </c>
      <c r="AA76" s="20">
        <f>'2_Operational'!S76</f>
        <v>0.1</v>
      </c>
      <c r="AB76" s="20">
        <f>'3_Operational'!S76</f>
        <v>0.1</v>
      </c>
      <c r="AC76" s="20">
        <f>'4_Operational'!S76</f>
        <v>0.11</v>
      </c>
      <c r="AD76" s="20">
        <f>'1_Operational'!AD76</f>
        <v>193</v>
      </c>
      <c r="AE76" s="20">
        <f>'1_Operational'!AE76</f>
        <v>194</v>
      </c>
      <c r="AF76" s="20">
        <f>'3_Operational'!Z76</f>
        <v>193</v>
      </c>
      <c r="AG76" s="20">
        <f>'4_Operational'!AA76</f>
        <v>194</v>
      </c>
    </row>
    <row r="77" spans="1:33">
      <c r="A77" s="20">
        <f t="shared" si="10"/>
        <v>64.27</v>
      </c>
      <c r="B77" s="20">
        <f t="shared" si="11"/>
        <v>0.1</v>
      </c>
      <c r="C77" s="20">
        <f t="shared" si="12"/>
        <v>0.1</v>
      </c>
      <c r="D77" s="20">
        <f t="shared" si="13"/>
        <v>0.1</v>
      </c>
      <c r="E77" s="20">
        <f t="shared" si="14"/>
        <v>0.1</v>
      </c>
      <c r="F77" s="20">
        <v>0.2</v>
      </c>
      <c r="G77" s="20">
        <v>0</v>
      </c>
      <c r="Q77" s="20">
        <f>'1_Operational'!Q77</f>
        <v>64.27</v>
      </c>
      <c r="R77" s="20">
        <f>'1_Operational'!R77</f>
        <v>1273.761</v>
      </c>
      <c r="S77" s="20">
        <f>'2_Operational'!R77</f>
        <v>1293.633</v>
      </c>
      <c r="T77" s="20">
        <f>'3_Operational'!R77</f>
        <v>1314.3230000000001</v>
      </c>
      <c r="U77" s="20">
        <f>'4_Operational'!R77</f>
        <v>1333.7049999999999</v>
      </c>
      <c r="V77" s="20">
        <f>'1_Operational'!T77</f>
        <v>1.1299999999999999</v>
      </c>
      <c r="W77" s="20">
        <f>'2_Operational'!T77</f>
        <v>0.9</v>
      </c>
      <c r="X77" s="20">
        <f>'3_Operational'!T77</f>
        <v>2.2599999999999998</v>
      </c>
      <c r="Y77" s="20">
        <f>'4_Operational'!T77</f>
        <v>1.82</v>
      </c>
      <c r="Z77" s="20">
        <f>'1_Operational'!S77</f>
        <v>0.1</v>
      </c>
      <c r="AA77" s="20">
        <f>'2_Operational'!S77</f>
        <v>0.1</v>
      </c>
      <c r="AB77" s="20">
        <f>'3_Operational'!S77</f>
        <v>0.1</v>
      </c>
      <c r="AC77" s="20">
        <f>'4_Operational'!S77</f>
        <v>0.1</v>
      </c>
      <c r="AD77" s="20">
        <f>'1_Operational'!AD77</f>
        <v>196</v>
      </c>
      <c r="AE77" s="20">
        <f>'1_Operational'!AE77</f>
        <v>196</v>
      </c>
      <c r="AF77" s="20">
        <f>'3_Operational'!Z77</f>
        <v>196</v>
      </c>
      <c r="AG77" s="20">
        <f>'4_Operational'!AA77</f>
        <v>196</v>
      </c>
    </row>
    <row r="78" spans="1:33">
      <c r="A78" s="20">
        <f t="shared" si="10"/>
        <v>65.099999999999994</v>
      </c>
      <c r="B78" s="20">
        <f t="shared" si="11"/>
        <v>0.1</v>
      </c>
      <c r="C78" s="20">
        <f t="shared" si="12"/>
        <v>0.11</v>
      </c>
      <c r="D78" s="20">
        <f t="shared" si="13"/>
        <v>0.1</v>
      </c>
      <c r="E78" s="20">
        <f t="shared" si="14"/>
        <v>0.1</v>
      </c>
      <c r="F78" s="20">
        <v>0.2</v>
      </c>
      <c r="G78" s="20">
        <v>0</v>
      </c>
      <c r="Q78" s="20">
        <f>'1_Operational'!Q78</f>
        <v>65.099999999999994</v>
      </c>
      <c r="R78" s="20">
        <f>'1_Operational'!R78</f>
        <v>1273.848</v>
      </c>
      <c r="S78" s="20">
        <f>'2_Operational'!R78</f>
        <v>1293.722</v>
      </c>
      <c r="T78" s="20">
        <f>'3_Operational'!R78</f>
        <v>1314.4079999999999</v>
      </c>
      <c r="U78" s="20">
        <f>'4_Operational'!R78</f>
        <v>1333.7919999999999</v>
      </c>
      <c r="V78" s="20">
        <f>'1_Operational'!T78</f>
        <v>1.1399999999999999</v>
      </c>
      <c r="W78" s="20">
        <f>'2_Operational'!T78</f>
        <v>0.87</v>
      </c>
      <c r="X78" s="20">
        <f>'3_Operational'!T78</f>
        <v>2.21</v>
      </c>
      <c r="Y78" s="20">
        <f>'4_Operational'!T78</f>
        <v>1.79</v>
      </c>
      <c r="Z78" s="20">
        <f>'1_Operational'!S78</f>
        <v>0.1</v>
      </c>
      <c r="AA78" s="20">
        <f>'2_Operational'!S78</f>
        <v>0.11</v>
      </c>
      <c r="AB78" s="20">
        <f>'3_Operational'!S78</f>
        <v>0.1</v>
      </c>
      <c r="AC78" s="20">
        <f>'4_Operational'!S78</f>
        <v>0.1</v>
      </c>
      <c r="AD78" s="20">
        <f>'1_Operational'!AD78</f>
        <v>198</v>
      </c>
      <c r="AE78" s="20">
        <f>'1_Operational'!AE78</f>
        <v>198</v>
      </c>
      <c r="AF78" s="20">
        <f>'3_Operational'!Z78</f>
        <v>198</v>
      </c>
      <c r="AG78" s="20">
        <f>'4_Operational'!AA78</f>
        <v>198</v>
      </c>
    </row>
    <row r="79" spans="1:33">
      <c r="A79" s="20">
        <f t="shared" si="10"/>
        <v>65.89</v>
      </c>
      <c r="B79" s="20">
        <f t="shared" si="11"/>
        <v>0.11</v>
      </c>
      <c r="C79" s="20">
        <f t="shared" si="12"/>
        <v>0.11</v>
      </c>
      <c r="D79" s="20">
        <f t="shared" si="13"/>
        <v>0.11</v>
      </c>
      <c r="E79" s="20">
        <f t="shared" si="14"/>
        <v>0.11</v>
      </c>
      <c r="F79" s="20">
        <v>0.2</v>
      </c>
      <c r="G79" s="20">
        <v>0</v>
      </c>
      <c r="Q79" s="20">
        <f>'1_Operational'!Q79</f>
        <v>65.89</v>
      </c>
      <c r="R79" s="20">
        <f>'1_Operational'!R79</f>
        <v>1273.9349999999999</v>
      </c>
      <c r="S79" s="20">
        <f>'2_Operational'!R79</f>
        <v>1293.8109999999999</v>
      </c>
      <c r="T79" s="20">
        <f>'3_Operational'!R79</f>
        <v>1314.4929999999999</v>
      </c>
      <c r="U79" s="20">
        <f>'4_Operational'!R79</f>
        <v>1333.8820000000001</v>
      </c>
      <c r="V79" s="20">
        <f>'1_Operational'!T79</f>
        <v>1.06</v>
      </c>
      <c r="W79" s="20">
        <f>'2_Operational'!T79</f>
        <v>0.89</v>
      </c>
      <c r="X79" s="20">
        <f>'3_Operational'!T79</f>
        <v>2.2200000000000002</v>
      </c>
      <c r="Y79" s="20">
        <f>'4_Operational'!T79</f>
        <v>1.72</v>
      </c>
      <c r="Z79" s="20">
        <f>'1_Operational'!S79</f>
        <v>0.11</v>
      </c>
      <c r="AA79" s="20">
        <f>'2_Operational'!S79</f>
        <v>0.11</v>
      </c>
      <c r="AB79" s="20">
        <f>'3_Operational'!S79</f>
        <v>0.11</v>
      </c>
      <c r="AC79" s="20">
        <f>'4_Operational'!S79</f>
        <v>0.11</v>
      </c>
      <c r="AD79" s="20">
        <f>'1_Operational'!AD79</f>
        <v>200</v>
      </c>
      <c r="AE79" s="20">
        <f>'1_Operational'!AE79</f>
        <v>200</v>
      </c>
      <c r="AF79" s="20">
        <f>'3_Operational'!Z79</f>
        <v>200</v>
      </c>
      <c r="AG79" s="20">
        <f>'4_Operational'!AA79</f>
        <v>200</v>
      </c>
    </row>
    <row r="80" spans="1:33">
      <c r="A80" s="20">
        <f t="shared" si="10"/>
        <v>66.75</v>
      </c>
      <c r="B80" s="20">
        <f t="shared" si="11"/>
        <v>0.1</v>
      </c>
      <c r="C80" s="20">
        <f t="shared" si="12"/>
        <v>0.1</v>
      </c>
      <c r="D80" s="20">
        <f t="shared" si="13"/>
        <v>0.1</v>
      </c>
      <c r="E80" s="20">
        <f t="shared" si="14"/>
        <v>0.1</v>
      </c>
      <c r="F80" s="20">
        <v>0.2</v>
      </c>
      <c r="G80" s="20">
        <v>0</v>
      </c>
      <c r="Q80" s="20">
        <f>'1_Operational'!Q80</f>
        <v>66.75</v>
      </c>
      <c r="R80" s="20">
        <f>'1_Operational'!R80</f>
        <v>1274.0229999999999</v>
      </c>
      <c r="S80" s="20">
        <f>'2_Operational'!R80</f>
        <v>1293.9010000000001</v>
      </c>
      <c r="T80" s="20">
        <f>'3_Operational'!R80</f>
        <v>1314.579</v>
      </c>
      <c r="U80" s="20">
        <f>'4_Operational'!R80</f>
        <v>1333.9680000000001</v>
      </c>
      <c r="V80" s="20">
        <f>'1_Operational'!T80</f>
        <v>1</v>
      </c>
      <c r="W80" s="20">
        <f>'2_Operational'!T80</f>
        <v>0.82</v>
      </c>
      <c r="X80" s="20">
        <f>'3_Operational'!T80</f>
        <v>2.2400000000000002</v>
      </c>
      <c r="Y80" s="20">
        <f>'4_Operational'!T80</f>
        <v>1.7</v>
      </c>
      <c r="Z80" s="20">
        <f>'1_Operational'!S80</f>
        <v>0.1</v>
      </c>
      <c r="AA80" s="20">
        <f>'2_Operational'!S80</f>
        <v>0.1</v>
      </c>
      <c r="AB80" s="20">
        <f>'3_Operational'!S80</f>
        <v>0.1</v>
      </c>
      <c r="AC80" s="20">
        <f>'4_Operational'!S80</f>
        <v>0.1</v>
      </c>
      <c r="AD80" s="20">
        <f>'1_Operational'!AD80</f>
        <v>202</v>
      </c>
      <c r="AE80" s="20">
        <f>'1_Operational'!AE80</f>
        <v>203</v>
      </c>
      <c r="AF80" s="20">
        <f>'3_Operational'!Z80</f>
        <v>202</v>
      </c>
      <c r="AG80" s="20">
        <f>'4_Operational'!AA80</f>
        <v>203</v>
      </c>
    </row>
    <row r="81" spans="1:33">
      <c r="A81" s="20">
        <f t="shared" si="10"/>
        <v>67.569999999999993</v>
      </c>
      <c r="B81" s="20">
        <f t="shared" si="11"/>
        <v>0.11</v>
      </c>
      <c r="C81" s="20">
        <f t="shared" si="12"/>
        <v>0.11</v>
      </c>
      <c r="D81" s="20">
        <f t="shared" si="13"/>
        <v>0.11</v>
      </c>
      <c r="E81" s="20">
        <f t="shared" si="14"/>
        <v>0.11</v>
      </c>
      <c r="F81" s="20">
        <v>0.2</v>
      </c>
      <c r="G81" s="20">
        <v>0</v>
      </c>
      <c r="Q81" s="20">
        <f>'1_Operational'!Q81</f>
        <v>67.569999999999993</v>
      </c>
      <c r="R81" s="20">
        <f>'1_Operational'!R81</f>
        <v>1274.115</v>
      </c>
      <c r="S81" s="20">
        <f>'2_Operational'!R81</f>
        <v>1293.99</v>
      </c>
      <c r="T81" s="20">
        <f>'3_Operational'!R81</f>
        <v>1314.6679999999999</v>
      </c>
      <c r="U81" s="20">
        <f>'4_Operational'!R81</f>
        <v>1334.059</v>
      </c>
      <c r="V81" s="20">
        <f>'1_Operational'!T81</f>
        <v>1.01</v>
      </c>
      <c r="W81" s="20">
        <f>'2_Operational'!T81</f>
        <v>0.81</v>
      </c>
      <c r="X81" s="20">
        <f>'3_Operational'!T81</f>
        <v>2.2799999999999998</v>
      </c>
      <c r="Y81" s="20">
        <f>'4_Operational'!T81</f>
        <v>1.69</v>
      </c>
      <c r="Z81" s="20">
        <f>'1_Operational'!S81</f>
        <v>0.11</v>
      </c>
      <c r="AA81" s="20">
        <f>'2_Operational'!S81</f>
        <v>0.11</v>
      </c>
      <c r="AB81" s="20">
        <f>'3_Operational'!S81</f>
        <v>0.11</v>
      </c>
      <c r="AC81" s="20">
        <f>'4_Operational'!S81</f>
        <v>0.11</v>
      </c>
      <c r="AD81" s="20">
        <f>'1_Operational'!AD81</f>
        <v>205</v>
      </c>
      <c r="AE81" s="20">
        <f>'1_Operational'!AE81</f>
        <v>205</v>
      </c>
      <c r="AF81" s="20">
        <f>'3_Operational'!Z81</f>
        <v>205</v>
      </c>
      <c r="AG81" s="20">
        <f>'4_Operational'!AA81</f>
        <v>205</v>
      </c>
    </row>
    <row r="82" spans="1:33">
      <c r="A82" s="20">
        <f t="shared" si="10"/>
        <v>68.42</v>
      </c>
      <c r="B82" s="20">
        <f t="shared" si="11"/>
        <v>0.11</v>
      </c>
      <c r="C82" s="20">
        <f t="shared" si="12"/>
        <v>0.11</v>
      </c>
      <c r="D82" s="20">
        <f t="shared" si="13"/>
        <v>0.11</v>
      </c>
      <c r="E82" s="20">
        <f t="shared" si="14"/>
        <v>0.11</v>
      </c>
      <c r="F82" s="20">
        <v>0.2</v>
      </c>
      <c r="G82" s="20">
        <v>0</v>
      </c>
      <c r="Q82" s="20">
        <f>'1_Operational'!Q82</f>
        <v>68.42</v>
      </c>
      <c r="R82" s="20">
        <f>'1_Operational'!R82</f>
        <v>1274.2059999999999</v>
      </c>
      <c r="S82" s="20">
        <f>'2_Operational'!R82</f>
        <v>1294.0820000000001</v>
      </c>
      <c r="T82" s="20">
        <f>'3_Operational'!R82</f>
        <v>1314.759</v>
      </c>
      <c r="U82" s="20">
        <f>'4_Operational'!R82</f>
        <v>1334.1510000000001</v>
      </c>
      <c r="V82" s="20">
        <f>'1_Operational'!T82</f>
        <v>0.97</v>
      </c>
      <c r="W82" s="20">
        <f>'2_Operational'!T82</f>
        <v>0.84</v>
      </c>
      <c r="X82" s="20">
        <f>'3_Operational'!T82</f>
        <v>2.33</v>
      </c>
      <c r="Y82" s="20">
        <f>'4_Operational'!T82</f>
        <v>1.69</v>
      </c>
      <c r="Z82" s="20">
        <f>'1_Operational'!S82</f>
        <v>0.11</v>
      </c>
      <c r="AA82" s="20">
        <f>'2_Operational'!S82</f>
        <v>0.11</v>
      </c>
      <c r="AB82" s="20">
        <f>'3_Operational'!S82</f>
        <v>0.11</v>
      </c>
      <c r="AC82" s="20">
        <f>'4_Operational'!S82</f>
        <v>0.11</v>
      </c>
      <c r="AD82" s="20">
        <f>'1_Operational'!AD82</f>
        <v>208</v>
      </c>
      <c r="AE82" s="20">
        <f>'1_Operational'!AE82</f>
        <v>208</v>
      </c>
      <c r="AF82" s="20">
        <f>'3_Operational'!Z82</f>
        <v>208</v>
      </c>
      <c r="AG82" s="20">
        <f>'4_Operational'!AA82</f>
        <v>208</v>
      </c>
    </row>
    <row r="83" spans="1:33">
      <c r="A83" s="20">
        <f t="shared" si="10"/>
        <v>69.28</v>
      </c>
      <c r="B83" s="20">
        <f t="shared" si="11"/>
        <v>0.1</v>
      </c>
      <c r="C83" s="20">
        <f t="shared" si="12"/>
        <v>0.11</v>
      </c>
      <c r="D83" s="20">
        <f t="shared" si="13"/>
        <v>0.1</v>
      </c>
      <c r="E83" s="20">
        <f t="shared" si="14"/>
        <v>0.11</v>
      </c>
      <c r="F83" s="20">
        <v>0.2</v>
      </c>
      <c r="G83" s="20">
        <v>0</v>
      </c>
      <c r="Q83" s="20">
        <f>'1_Operational'!Q83</f>
        <v>69.28</v>
      </c>
      <c r="R83" s="20">
        <f>'1_Operational'!R83</f>
        <v>1274.296</v>
      </c>
      <c r="S83" s="20">
        <f>'2_Operational'!R83</f>
        <v>1294.173</v>
      </c>
      <c r="T83" s="20">
        <f>'3_Operational'!R83</f>
        <v>1314.847</v>
      </c>
      <c r="U83" s="20">
        <f>'4_Operational'!R83</f>
        <v>1334.242</v>
      </c>
      <c r="V83" s="20">
        <f>'1_Operational'!T83</f>
        <v>1.04</v>
      </c>
      <c r="W83" s="20">
        <f>'2_Operational'!T83</f>
        <v>0.79</v>
      </c>
      <c r="X83" s="20">
        <f>'3_Operational'!T83</f>
        <v>2.31</v>
      </c>
      <c r="Y83" s="20">
        <f>'4_Operational'!T83</f>
        <v>1.77</v>
      </c>
      <c r="Z83" s="20">
        <f>'1_Operational'!S83</f>
        <v>0.1</v>
      </c>
      <c r="AA83" s="20">
        <f>'2_Operational'!S83</f>
        <v>0.11</v>
      </c>
      <c r="AB83" s="20">
        <f>'3_Operational'!S83</f>
        <v>0.1</v>
      </c>
      <c r="AC83" s="20">
        <f>'4_Operational'!S83</f>
        <v>0.11</v>
      </c>
      <c r="AD83" s="20">
        <f>'1_Operational'!AD83</f>
        <v>211</v>
      </c>
      <c r="AE83" s="20">
        <f>'1_Operational'!AE83</f>
        <v>211</v>
      </c>
      <c r="AF83" s="20">
        <f>'3_Operational'!Z83</f>
        <v>211</v>
      </c>
      <c r="AG83" s="20">
        <f>'4_Operational'!AA83</f>
        <v>211</v>
      </c>
    </row>
    <row r="84" spans="1:33">
      <c r="A84" s="20">
        <f t="shared" si="10"/>
        <v>70.11</v>
      </c>
      <c r="B84" s="20">
        <f t="shared" si="11"/>
        <v>0.11</v>
      </c>
      <c r="C84" s="20">
        <f t="shared" si="12"/>
        <v>0.11</v>
      </c>
      <c r="D84" s="20">
        <f t="shared" si="13"/>
        <v>0.11</v>
      </c>
      <c r="E84" s="20">
        <f t="shared" si="14"/>
        <v>0.11</v>
      </c>
      <c r="F84" s="20">
        <v>0.2</v>
      </c>
      <c r="G84" s="20">
        <v>0</v>
      </c>
      <c r="Q84" s="20">
        <f>'1_Operational'!Q84</f>
        <v>70.11</v>
      </c>
      <c r="R84" s="20">
        <f>'1_Operational'!R84</f>
        <v>1274.3910000000001</v>
      </c>
      <c r="S84" s="20">
        <f>'2_Operational'!R84</f>
        <v>1294.2660000000001</v>
      </c>
      <c r="T84" s="20">
        <f>'3_Operational'!R84</f>
        <v>1314.9359999999999</v>
      </c>
      <c r="U84" s="20">
        <f>'4_Operational'!R84</f>
        <v>1334.3309999999999</v>
      </c>
      <c r="V84" s="20">
        <f>'1_Operational'!T84</f>
        <v>1.06</v>
      </c>
      <c r="W84" s="20">
        <f>'2_Operational'!T84</f>
        <v>0.82</v>
      </c>
      <c r="X84" s="20">
        <f>'3_Operational'!T84</f>
        <v>2.29</v>
      </c>
      <c r="Y84" s="20">
        <f>'4_Operational'!T84</f>
        <v>1.67</v>
      </c>
      <c r="Z84" s="20">
        <f>'1_Operational'!S84</f>
        <v>0.11</v>
      </c>
      <c r="AA84" s="20">
        <f>'2_Operational'!S84</f>
        <v>0.11</v>
      </c>
      <c r="AB84" s="20">
        <f>'3_Operational'!S84</f>
        <v>0.11</v>
      </c>
      <c r="AC84" s="20">
        <f>'4_Operational'!S84</f>
        <v>0.11</v>
      </c>
      <c r="AD84" s="20">
        <f>'1_Operational'!AD84</f>
        <v>214</v>
      </c>
      <c r="AE84" s="20">
        <f>'1_Operational'!AE84</f>
        <v>213</v>
      </c>
      <c r="AF84" s="20">
        <f>'3_Operational'!Z84</f>
        <v>214</v>
      </c>
      <c r="AG84" s="20">
        <f>'4_Operational'!AA84</f>
        <v>213</v>
      </c>
    </row>
    <row r="85" spans="1:33">
      <c r="A85" s="20"/>
      <c r="B85" s="20"/>
      <c r="C85" s="20"/>
      <c r="D85" s="20"/>
      <c r="E85" s="20"/>
      <c r="F85" s="20"/>
      <c r="G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5"/>
  <sheetViews>
    <sheetView zoomScale="85" zoomScaleNormal="85" workbookViewId="0">
      <selection activeCell="L84" sqref="L84"/>
    </sheetView>
  </sheetViews>
  <sheetFormatPr defaultRowHeight="15.6"/>
  <sheetData>
    <row r="1" spans="1:33">
      <c r="A1" s="20" t="s">
        <v>0</v>
      </c>
      <c r="B1" s="20" t="s">
        <v>102</v>
      </c>
      <c r="C1" s="20" t="s">
        <v>102</v>
      </c>
      <c r="D1" s="20" t="s">
        <v>102</v>
      </c>
      <c r="E1" s="20" t="s">
        <v>102</v>
      </c>
      <c r="F1" s="20" t="s">
        <v>30</v>
      </c>
      <c r="G1" s="20" t="s">
        <v>31</v>
      </c>
      <c r="Q1" s="20" t="s">
        <v>0</v>
      </c>
      <c r="R1" s="20" t="s">
        <v>32</v>
      </c>
      <c r="S1" s="20" t="s">
        <v>33</v>
      </c>
      <c r="T1" s="20" t="s">
        <v>34</v>
      </c>
      <c r="U1" s="20" t="s">
        <v>35</v>
      </c>
      <c r="V1" s="20" t="s">
        <v>48</v>
      </c>
      <c r="W1" s="20" t="s">
        <v>49</v>
      </c>
      <c r="X1" s="20" t="s">
        <v>50</v>
      </c>
      <c r="Y1" s="20" t="s">
        <v>51</v>
      </c>
      <c r="Z1" s="20" t="s">
        <v>40</v>
      </c>
      <c r="AA1" s="20" t="s">
        <v>41</v>
      </c>
      <c r="AB1" s="20" t="s">
        <v>42</v>
      </c>
      <c r="AC1" s="20" t="s">
        <v>43</v>
      </c>
      <c r="AD1" s="2" t="s">
        <v>52</v>
      </c>
      <c r="AE1" s="2" t="s">
        <v>53</v>
      </c>
      <c r="AF1" s="2" t="s">
        <v>54</v>
      </c>
      <c r="AG1" s="2" t="s">
        <v>55</v>
      </c>
    </row>
    <row r="2" spans="1:33">
      <c r="F2" s="20">
        <v>0.2</v>
      </c>
      <c r="G2" s="20">
        <v>0</v>
      </c>
      <c r="Q2" s="20">
        <f>'1_Maximum'!Q2</f>
        <v>70.77</v>
      </c>
      <c r="R2" s="20">
        <f>'1_Maximum'!R2</f>
        <v>1275.393</v>
      </c>
      <c r="S2" s="20">
        <f>'2_Maximum'!R2</f>
        <v>1295.377</v>
      </c>
      <c r="T2" s="20">
        <f>'3_Maximum'!R2</f>
        <v>1315.9480000000001</v>
      </c>
      <c r="U2" s="20">
        <f>'4_Maximum'!R2</f>
        <v>1335.366</v>
      </c>
      <c r="V2" s="20">
        <f>'1_Maximum'!T2</f>
        <v>2.83</v>
      </c>
      <c r="W2" s="20">
        <f>'2_Maximum'!T2</f>
        <v>2.57</v>
      </c>
      <c r="X2" s="20">
        <f>'3_Maximum'!T2</f>
        <v>3.98</v>
      </c>
      <c r="Y2" s="20">
        <f>'4_Maximum'!T2</f>
        <v>2.9</v>
      </c>
      <c r="Z2" s="20">
        <f>'1_Maximum'!S2</f>
        <v>0.1</v>
      </c>
      <c r="AA2" s="20">
        <f>'2_Maximum'!S2</f>
        <v>0.1</v>
      </c>
      <c r="AB2" s="20">
        <f>'3_Maximum'!S2</f>
        <v>0.1</v>
      </c>
      <c r="AC2" s="20">
        <f>'4_Maximum'!S2</f>
        <v>0.1</v>
      </c>
      <c r="AD2" s="20">
        <v>399</v>
      </c>
      <c r="AE2" s="20">
        <v>399</v>
      </c>
      <c r="AF2" s="20">
        <v>399</v>
      </c>
      <c r="AG2" s="20">
        <v>399</v>
      </c>
    </row>
    <row r="3" spans="1:33">
      <c r="A3" s="20">
        <f t="shared" ref="A3:A34" si="0">Q3</f>
        <v>69.81</v>
      </c>
      <c r="B3" s="20">
        <f t="shared" ref="B3:B34" si="1">Z3</f>
        <v>0.09</v>
      </c>
      <c r="C3" s="20">
        <f t="shared" ref="C3:C34" si="2">AA3</f>
        <v>0.09</v>
      </c>
      <c r="D3" s="20">
        <f t="shared" ref="D3:D34" si="3">AB3</f>
        <v>0.09</v>
      </c>
      <c r="E3" s="20">
        <f t="shared" ref="E3:E34" si="4">AC3</f>
        <v>0.09</v>
      </c>
      <c r="F3" s="20">
        <v>0.2</v>
      </c>
      <c r="G3" s="20">
        <v>0</v>
      </c>
      <c r="Q3" s="20">
        <f>'1_Maximum'!Q3</f>
        <v>69.81</v>
      </c>
      <c r="R3" s="20">
        <f>'1_Maximum'!R3</f>
        <v>1275.306</v>
      </c>
      <c r="S3" s="20">
        <f>'2_Maximum'!R3</f>
        <v>1295.29</v>
      </c>
      <c r="T3" s="20">
        <f>'3_Maximum'!R3</f>
        <v>1315.8630000000001</v>
      </c>
      <c r="U3" s="20">
        <f>'4_Maximum'!R3</f>
        <v>1335.279</v>
      </c>
      <c r="V3" s="20">
        <f>'1_Maximum'!T3</f>
        <v>3.08</v>
      </c>
      <c r="W3" s="20">
        <f>'2_Maximum'!T3</f>
        <v>2.74</v>
      </c>
      <c r="X3" s="20">
        <f>'3_Maximum'!T3</f>
        <v>4.1399999999999997</v>
      </c>
      <c r="Y3" s="20">
        <f>'4_Maximum'!T3</f>
        <v>3</v>
      </c>
      <c r="Z3" s="20">
        <f>'1_Maximum'!S3</f>
        <v>0.09</v>
      </c>
      <c r="AA3" s="20">
        <f>'2_Maximum'!S3</f>
        <v>0.09</v>
      </c>
      <c r="AB3" s="20">
        <f>'3_Maximum'!S3</f>
        <v>0.09</v>
      </c>
      <c r="AC3" s="20">
        <f>'4_Maximum'!S3</f>
        <v>0.09</v>
      </c>
      <c r="AD3" s="20">
        <v>399</v>
      </c>
      <c r="AE3" s="20">
        <v>399</v>
      </c>
      <c r="AF3" s="20">
        <v>399</v>
      </c>
      <c r="AG3" s="20">
        <v>399</v>
      </c>
    </row>
    <row r="4" spans="1:33">
      <c r="A4" s="20">
        <f t="shared" si="0"/>
        <v>69</v>
      </c>
      <c r="B4" s="20">
        <f t="shared" si="1"/>
        <v>0.11</v>
      </c>
      <c r="C4" s="20">
        <f t="shared" si="2"/>
        <v>0.11</v>
      </c>
      <c r="D4" s="20">
        <f t="shared" si="3"/>
        <v>0.11</v>
      </c>
      <c r="E4" s="20">
        <f t="shared" si="4"/>
        <v>0.11</v>
      </c>
      <c r="F4" s="20">
        <v>0.2</v>
      </c>
      <c r="G4" s="20">
        <v>0</v>
      </c>
      <c r="Q4" s="20">
        <f>'1_Maximum'!Q4</f>
        <v>69</v>
      </c>
      <c r="R4" s="20">
        <f>'1_Maximum'!R4</f>
        <v>1275.2190000000001</v>
      </c>
      <c r="S4" s="20">
        <f>'2_Maximum'!R4</f>
        <v>1295.202</v>
      </c>
      <c r="T4" s="20">
        <f>'3_Maximum'!R4</f>
        <v>1315.7750000000001</v>
      </c>
      <c r="U4" s="20">
        <f>'4_Maximum'!R4</f>
        <v>1335.193</v>
      </c>
      <c r="V4" s="20">
        <f>'1_Maximum'!T4</f>
        <v>3.26</v>
      </c>
      <c r="W4" s="20">
        <f>'2_Maximum'!T4</f>
        <v>2.86</v>
      </c>
      <c r="X4" s="20">
        <f>'3_Maximum'!T4</f>
        <v>4.28</v>
      </c>
      <c r="Y4" s="20">
        <f>'4_Maximum'!T4</f>
        <v>3.1</v>
      </c>
      <c r="Z4" s="20">
        <f>'1_Maximum'!S4</f>
        <v>0.11</v>
      </c>
      <c r="AA4" s="20">
        <f>'2_Maximum'!S4</f>
        <v>0.11</v>
      </c>
      <c r="AB4" s="20">
        <f>'3_Maximum'!S4</f>
        <v>0.11</v>
      </c>
      <c r="AC4" s="20">
        <f>'4_Maximum'!S4</f>
        <v>0.11</v>
      </c>
      <c r="AD4" s="20">
        <v>399</v>
      </c>
      <c r="AE4" s="20">
        <v>399</v>
      </c>
      <c r="AF4" s="20">
        <v>399</v>
      </c>
      <c r="AG4" s="20">
        <v>399</v>
      </c>
    </row>
    <row r="5" spans="1:33">
      <c r="A5" s="20">
        <f t="shared" si="0"/>
        <v>68.02</v>
      </c>
      <c r="B5" s="20">
        <f t="shared" si="1"/>
        <v>0.09</v>
      </c>
      <c r="C5" s="20">
        <f t="shared" si="2"/>
        <v>0.09</v>
      </c>
      <c r="D5" s="20">
        <f t="shared" si="3"/>
        <v>0.09</v>
      </c>
      <c r="E5" s="20">
        <f t="shared" si="4"/>
        <v>0.09</v>
      </c>
      <c r="F5" s="20">
        <v>0.2</v>
      </c>
      <c r="G5" s="20">
        <v>0</v>
      </c>
      <c r="Q5" s="20">
        <f>'1_Maximum'!Q5</f>
        <v>68.02</v>
      </c>
      <c r="R5" s="20">
        <f>'1_Maximum'!R5</f>
        <v>1275.1310000000001</v>
      </c>
      <c r="S5" s="20">
        <f>'2_Maximum'!R5</f>
        <v>1295.1120000000001</v>
      </c>
      <c r="T5" s="20">
        <f>'3_Maximum'!R5</f>
        <v>1315.6869999999999</v>
      </c>
      <c r="U5" s="20">
        <f>'4_Maximum'!R5</f>
        <v>1335.104</v>
      </c>
      <c r="V5" s="20">
        <f>'1_Maximum'!T5</f>
        <v>3.47</v>
      </c>
      <c r="W5" s="20">
        <f>'2_Maximum'!T5</f>
        <v>3.06</v>
      </c>
      <c r="X5" s="20">
        <f>'3_Maximum'!T5</f>
        <v>4.38</v>
      </c>
      <c r="Y5" s="20">
        <f>'4_Maximum'!T5</f>
        <v>3.23</v>
      </c>
      <c r="Z5" s="20">
        <f>'1_Maximum'!S5</f>
        <v>0.09</v>
      </c>
      <c r="AA5" s="20">
        <f>'2_Maximum'!S5</f>
        <v>0.09</v>
      </c>
      <c r="AB5" s="20">
        <f>'3_Maximum'!S5</f>
        <v>0.09</v>
      </c>
      <c r="AC5" s="20">
        <f>'4_Maximum'!S5</f>
        <v>0.09</v>
      </c>
      <c r="AD5" s="20">
        <v>399</v>
      </c>
      <c r="AE5" s="20">
        <v>399</v>
      </c>
      <c r="AF5" s="20">
        <v>399</v>
      </c>
      <c r="AG5" s="20">
        <v>399</v>
      </c>
    </row>
    <row r="6" spans="1:33">
      <c r="A6" s="20">
        <f t="shared" si="0"/>
        <v>67.13</v>
      </c>
      <c r="B6" s="20">
        <f t="shared" si="1"/>
        <v>0.1</v>
      </c>
      <c r="C6" s="20">
        <f t="shared" si="2"/>
        <v>0.1</v>
      </c>
      <c r="D6" s="20">
        <f t="shared" si="3"/>
        <v>0.1</v>
      </c>
      <c r="E6" s="20">
        <f t="shared" si="4"/>
        <v>0.1</v>
      </c>
      <c r="F6" s="20">
        <v>0.2</v>
      </c>
      <c r="G6" s="20">
        <v>0</v>
      </c>
      <c r="Q6" s="20">
        <f>'1_Maximum'!Q6</f>
        <v>67.13</v>
      </c>
      <c r="R6" s="20">
        <f>'1_Maximum'!R6</f>
        <v>1275.0419999999999</v>
      </c>
      <c r="S6" s="20">
        <f>'2_Maximum'!R6</f>
        <v>1295.0219999999999</v>
      </c>
      <c r="T6" s="20">
        <f>'3_Maximum'!R6</f>
        <v>1315.6</v>
      </c>
      <c r="U6" s="20">
        <f>'4_Maximum'!R6</f>
        <v>1335.0139999999999</v>
      </c>
      <c r="V6" s="20">
        <f>'1_Maximum'!T6</f>
        <v>3.65</v>
      </c>
      <c r="W6" s="20">
        <f>'2_Maximum'!T6</f>
        <v>3.26</v>
      </c>
      <c r="X6" s="20">
        <f>'3_Maximum'!T6</f>
        <v>4.5</v>
      </c>
      <c r="Y6" s="20">
        <f>'4_Maximum'!T6</f>
        <v>3.37</v>
      </c>
      <c r="Z6" s="20">
        <f>'1_Maximum'!S6</f>
        <v>0.1</v>
      </c>
      <c r="AA6" s="20">
        <f>'2_Maximum'!S6</f>
        <v>0.1</v>
      </c>
      <c r="AB6" s="20">
        <f>'3_Maximum'!S6</f>
        <v>0.1</v>
      </c>
      <c r="AC6" s="20">
        <f>'4_Maximum'!S6</f>
        <v>0.1</v>
      </c>
      <c r="AD6" s="20">
        <v>399</v>
      </c>
      <c r="AE6" s="20">
        <v>399</v>
      </c>
      <c r="AF6" s="20">
        <v>399</v>
      </c>
      <c r="AG6" s="20">
        <v>399</v>
      </c>
    </row>
    <row r="7" spans="1:33">
      <c r="A7" s="20">
        <f t="shared" si="0"/>
        <v>66.209999999999994</v>
      </c>
      <c r="B7" s="20">
        <f t="shared" si="1"/>
        <v>0.1</v>
      </c>
      <c r="C7" s="20">
        <f t="shared" si="2"/>
        <v>0.1</v>
      </c>
      <c r="D7" s="20">
        <f t="shared" si="3"/>
        <v>0.1</v>
      </c>
      <c r="E7" s="20">
        <f t="shared" si="4"/>
        <v>0.1</v>
      </c>
      <c r="F7" s="20">
        <v>0.2</v>
      </c>
      <c r="G7" s="20">
        <v>0</v>
      </c>
      <c r="Q7" s="20">
        <f>'1_Maximum'!Q7</f>
        <v>66.209999999999994</v>
      </c>
      <c r="R7" s="20">
        <f>'1_Maximum'!R7</f>
        <v>1274.952</v>
      </c>
      <c r="S7" s="20">
        <f>'2_Maximum'!R7</f>
        <v>1294.931</v>
      </c>
      <c r="T7" s="20">
        <f>'3_Maximum'!R7</f>
        <v>1315.509</v>
      </c>
      <c r="U7" s="20">
        <f>'4_Maximum'!R7</f>
        <v>1334.92</v>
      </c>
      <c r="V7" s="20">
        <f>'1_Maximum'!T7</f>
        <v>3.77</v>
      </c>
      <c r="W7" s="20">
        <f>'2_Maximum'!T7</f>
        <v>3.46</v>
      </c>
      <c r="X7" s="20">
        <f>'3_Maximum'!T7</f>
        <v>4.6500000000000004</v>
      </c>
      <c r="Y7" s="20">
        <f>'4_Maximum'!T7</f>
        <v>3.45</v>
      </c>
      <c r="Z7" s="20">
        <f>'1_Maximum'!S7</f>
        <v>0.1</v>
      </c>
      <c r="AA7" s="20">
        <f>'2_Maximum'!S7</f>
        <v>0.1</v>
      </c>
      <c r="AB7" s="20">
        <f>'3_Maximum'!S7</f>
        <v>0.1</v>
      </c>
      <c r="AC7" s="20">
        <f>'4_Maximum'!S7</f>
        <v>0.1</v>
      </c>
      <c r="AD7" s="20">
        <v>399</v>
      </c>
      <c r="AE7" s="20">
        <v>399</v>
      </c>
      <c r="AF7" s="20">
        <v>399</v>
      </c>
      <c r="AG7" s="20">
        <v>399</v>
      </c>
    </row>
    <row r="8" spans="1:33">
      <c r="A8" s="20">
        <f t="shared" si="0"/>
        <v>65.36</v>
      </c>
      <c r="B8" s="20">
        <f t="shared" si="1"/>
        <v>0.1</v>
      </c>
      <c r="C8" s="20">
        <f t="shared" si="2"/>
        <v>0.11</v>
      </c>
      <c r="D8" s="20">
        <f t="shared" si="3"/>
        <v>0.1</v>
      </c>
      <c r="E8" s="20">
        <f t="shared" si="4"/>
        <v>0.11</v>
      </c>
      <c r="F8" s="20">
        <v>0.2</v>
      </c>
      <c r="G8" s="20">
        <v>0</v>
      </c>
      <c r="Q8" s="20">
        <f>'1_Maximum'!Q8</f>
        <v>65.36</v>
      </c>
      <c r="R8" s="20">
        <f>'1_Maximum'!R8</f>
        <v>1274.8630000000001</v>
      </c>
      <c r="S8" s="20">
        <f>'2_Maximum'!R8</f>
        <v>1294.8399999999999</v>
      </c>
      <c r="T8" s="20">
        <f>'3_Maximum'!R8</f>
        <v>1315.421</v>
      </c>
      <c r="U8" s="20">
        <f>'4_Maximum'!R8</f>
        <v>1334.829</v>
      </c>
      <c r="V8" s="20">
        <f>'1_Maximum'!T8</f>
        <v>3.85</v>
      </c>
      <c r="W8" s="20">
        <f>'2_Maximum'!T8</f>
        <v>3.6</v>
      </c>
      <c r="X8" s="20">
        <f>'3_Maximum'!T8</f>
        <v>4.76</v>
      </c>
      <c r="Y8" s="20">
        <f>'4_Maximum'!T8</f>
        <v>3.53</v>
      </c>
      <c r="Z8" s="20">
        <f>'1_Maximum'!S8</f>
        <v>0.1</v>
      </c>
      <c r="AA8" s="20">
        <f>'2_Maximum'!S8</f>
        <v>0.11</v>
      </c>
      <c r="AB8" s="20">
        <f>'3_Maximum'!S8</f>
        <v>0.1</v>
      </c>
      <c r="AC8" s="20">
        <f>'4_Maximum'!S8</f>
        <v>0.11</v>
      </c>
      <c r="AD8" s="20">
        <v>399</v>
      </c>
      <c r="AE8" s="20">
        <v>399</v>
      </c>
      <c r="AF8" s="20">
        <v>399</v>
      </c>
      <c r="AG8" s="20">
        <v>399</v>
      </c>
    </row>
    <row r="9" spans="1:33">
      <c r="A9" s="20">
        <f t="shared" si="0"/>
        <v>64.48</v>
      </c>
      <c r="B9" s="20">
        <f t="shared" si="1"/>
        <v>0.1</v>
      </c>
      <c r="C9" s="20">
        <f t="shared" si="2"/>
        <v>0.1</v>
      </c>
      <c r="D9" s="20">
        <f t="shared" si="3"/>
        <v>0.1</v>
      </c>
      <c r="E9" s="20">
        <f t="shared" si="4"/>
        <v>0.1</v>
      </c>
      <c r="F9" s="20">
        <v>0.2</v>
      </c>
      <c r="G9" s="20">
        <v>0</v>
      </c>
      <c r="Q9" s="20">
        <f>'1_Maximum'!Q9</f>
        <v>64.48</v>
      </c>
      <c r="R9" s="20">
        <f>'1_Maximum'!R9</f>
        <v>1274.777</v>
      </c>
      <c r="S9" s="20">
        <f>'2_Maximum'!R9</f>
        <v>1294.752</v>
      </c>
      <c r="T9" s="20">
        <f>'3_Maximum'!R9</f>
        <v>1315.335</v>
      </c>
      <c r="U9" s="20">
        <f>'4_Maximum'!R9</f>
        <v>1334.7439999999999</v>
      </c>
      <c r="V9" s="20">
        <f>'1_Maximum'!T9</f>
        <v>3.98</v>
      </c>
      <c r="W9" s="20">
        <f>'2_Maximum'!T9</f>
        <v>3.76</v>
      </c>
      <c r="X9" s="20">
        <f>'3_Maximum'!T9</f>
        <v>4.8600000000000003</v>
      </c>
      <c r="Y9" s="20">
        <f>'4_Maximum'!T9</f>
        <v>3.56</v>
      </c>
      <c r="Z9" s="20">
        <f>'1_Maximum'!S9</f>
        <v>0.1</v>
      </c>
      <c r="AA9" s="20">
        <f>'2_Maximum'!S9</f>
        <v>0.1</v>
      </c>
      <c r="AB9" s="20">
        <f>'3_Maximum'!S9</f>
        <v>0.1</v>
      </c>
      <c r="AC9" s="20">
        <f>'4_Maximum'!S9</f>
        <v>0.1</v>
      </c>
      <c r="AD9" s="20">
        <v>399</v>
      </c>
      <c r="AE9" s="20">
        <v>399</v>
      </c>
      <c r="AF9" s="20">
        <v>399</v>
      </c>
      <c r="AG9" s="20">
        <v>399</v>
      </c>
    </row>
    <row r="10" spans="1:33">
      <c r="A10" s="20">
        <f t="shared" si="0"/>
        <v>63.61</v>
      </c>
      <c r="B10" s="20">
        <f t="shared" si="1"/>
        <v>0.1</v>
      </c>
      <c r="C10" s="20">
        <f t="shared" si="2"/>
        <v>0.1</v>
      </c>
      <c r="D10" s="20">
        <f t="shared" si="3"/>
        <v>0.1</v>
      </c>
      <c r="E10" s="20">
        <f t="shared" si="4"/>
        <v>0.1</v>
      </c>
      <c r="F10" s="20">
        <v>0.2</v>
      </c>
      <c r="G10" s="20">
        <v>0</v>
      </c>
      <c r="Q10" s="20">
        <f>'1_Maximum'!Q10</f>
        <v>63.61</v>
      </c>
      <c r="R10" s="20">
        <f>'1_Maximum'!R10</f>
        <v>1274.6890000000001</v>
      </c>
      <c r="S10" s="20">
        <f>'2_Maximum'!R10</f>
        <v>1294.664</v>
      </c>
      <c r="T10" s="20">
        <f>'3_Maximum'!R10</f>
        <v>1315.248</v>
      </c>
      <c r="U10" s="20">
        <f>'4_Maximum'!R10</f>
        <v>1334.655</v>
      </c>
      <c r="V10" s="20">
        <f>'1_Maximum'!T10</f>
        <v>4.1399999999999997</v>
      </c>
      <c r="W10" s="20">
        <f>'2_Maximum'!T10</f>
        <v>3.9</v>
      </c>
      <c r="X10" s="20">
        <f>'3_Maximum'!T10</f>
        <v>4.96</v>
      </c>
      <c r="Y10" s="20">
        <f>'4_Maximum'!T10</f>
        <v>3.65</v>
      </c>
      <c r="Z10" s="20">
        <f>'1_Maximum'!S10</f>
        <v>0.1</v>
      </c>
      <c r="AA10" s="20">
        <f>'2_Maximum'!S10</f>
        <v>0.1</v>
      </c>
      <c r="AB10" s="20">
        <f>'3_Maximum'!S10</f>
        <v>0.1</v>
      </c>
      <c r="AC10" s="20">
        <f>'4_Maximum'!S10</f>
        <v>0.1</v>
      </c>
      <c r="AD10" s="20">
        <v>399</v>
      </c>
      <c r="AE10" s="20">
        <v>399</v>
      </c>
      <c r="AF10" s="20">
        <v>399</v>
      </c>
      <c r="AG10" s="20">
        <v>399</v>
      </c>
    </row>
    <row r="11" spans="1:33">
      <c r="A11" s="20">
        <f t="shared" si="0"/>
        <v>62.67</v>
      </c>
      <c r="B11" s="20">
        <f t="shared" si="1"/>
        <v>0.09</v>
      </c>
      <c r="C11" s="20">
        <f t="shared" si="2"/>
        <v>0.09</v>
      </c>
      <c r="D11" s="20">
        <f t="shared" si="3"/>
        <v>0.09</v>
      </c>
      <c r="E11" s="20">
        <f t="shared" si="4"/>
        <v>0.09</v>
      </c>
      <c r="F11" s="20">
        <v>0.2</v>
      </c>
      <c r="G11" s="20">
        <v>0</v>
      </c>
      <c r="Q11" s="20">
        <f>'1_Maximum'!Q11</f>
        <v>62.67</v>
      </c>
      <c r="R11" s="20">
        <f>'1_Maximum'!R11</f>
        <v>1274.604</v>
      </c>
      <c r="S11" s="20">
        <f>'2_Maximum'!R11</f>
        <v>1294.576</v>
      </c>
      <c r="T11" s="20">
        <f>'3_Maximum'!R11</f>
        <v>1315.162</v>
      </c>
      <c r="U11" s="20">
        <f>'4_Maximum'!R11</f>
        <v>1334.568</v>
      </c>
      <c r="V11" s="20">
        <f>'1_Maximum'!T11</f>
        <v>4.3600000000000003</v>
      </c>
      <c r="W11" s="20">
        <f>'2_Maximum'!T11</f>
        <v>4.0599999999999996</v>
      </c>
      <c r="X11" s="20">
        <f>'3_Maximum'!T11</f>
        <v>5.08</v>
      </c>
      <c r="Y11" s="20">
        <f>'4_Maximum'!T11</f>
        <v>3.75</v>
      </c>
      <c r="Z11" s="20">
        <f>'1_Maximum'!S11</f>
        <v>0.09</v>
      </c>
      <c r="AA11" s="20">
        <f>'2_Maximum'!S11</f>
        <v>0.09</v>
      </c>
      <c r="AB11" s="20">
        <f>'3_Maximum'!S11</f>
        <v>0.09</v>
      </c>
      <c r="AC11" s="20">
        <f>'4_Maximum'!S11</f>
        <v>0.09</v>
      </c>
      <c r="AD11" s="20">
        <v>399</v>
      </c>
      <c r="AE11" s="20">
        <v>399</v>
      </c>
      <c r="AF11" s="20">
        <v>399</v>
      </c>
      <c r="AG11" s="20">
        <v>399</v>
      </c>
    </row>
    <row r="12" spans="1:33">
      <c r="A12" s="20">
        <f t="shared" si="0"/>
        <v>61.85</v>
      </c>
      <c r="B12" s="20">
        <f t="shared" si="1"/>
        <v>0.11</v>
      </c>
      <c r="C12" s="20">
        <f t="shared" si="2"/>
        <v>0.11</v>
      </c>
      <c r="D12" s="20">
        <f t="shared" si="3"/>
        <v>0.11</v>
      </c>
      <c r="E12" s="20">
        <f t="shared" si="4"/>
        <v>0.11</v>
      </c>
      <c r="F12" s="20">
        <v>0.2</v>
      </c>
      <c r="G12" s="20">
        <v>0</v>
      </c>
      <c r="Q12" s="20">
        <f>'1_Maximum'!Q12</f>
        <v>61.85</v>
      </c>
      <c r="R12" s="20">
        <f>'1_Maximum'!R12</f>
        <v>1274.5160000000001</v>
      </c>
      <c r="S12" s="20">
        <f>'2_Maximum'!R12</f>
        <v>1294.4880000000001</v>
      </c>
      <c r="T12" s="20">
        <f>'3_Maximum'!R12</f>
        <v>1315.0740000000001</v>
      </c>
      <c r="U12" s="20">
        <f>'4_Maximum'!R12</f>
        <v>1334.481</v>
      </c>
      <c r="V12" s="20">
        <f>'1_Maximum'!T12</f>
        <v>4.57</v>
      </c>
      <c r="W12" s="20">
        <f>'2_Maximum'!T12</f>
        <v>4.25</v>
      </c>
      <c r="X12" s="20">
        <f>'3_Maximum'!T12</f>
        <v>5.26</v>
      </c>
      <c r="Y12" s="20">
        <f>'4_Maximum'!T12</f>
        <v>3.87</v>
      </c>
      <c r="Z12" s="20">
        <f>'1_Maximum'!S12</f>
        <v>0.11</v>
      </c>
      <c r="AA12" s="20">
        <f>'2_Maximum'!S12</f>
        <v>0.11</v>
      </c>
      <c r="AB12" s="20">
        <f>'3_Maximum'!S12</f>
        <v>0.11</v>
      </c>
      <c r="AC12" s="20">
        <f>'4_Maximum'!S12</f>
        <v>0.11</v>
      </c>
      <c r="AD12" s="20">
        <v>399</v>
      </c>
      <c r="AE12" s="20">
        <v>399</v>
      </c>
      <c r="AF12" s="20">
        <v>399</v>
      </c>
      <c r="AG12" s="20">
        <v>399</v>
      </c>
    </row>
    <row r="13" spans="1:33">
      <c r="A13" s="20">
        <f t="shared" si="0"/>
        <v>60.99</v>
      </c>
      <c r="B13" s="20">
        <f t="shared" si="1"/>
        <v>0.1</v>
      </c>
      <c r="C13" s="20">
        <f t="shared" si="2"/>
        <v>0.11</v>
      </c>
      <c r="D13" s="20">
        <f t="shared" si="3"/>
        <v>0.1</v>
      </c>
      <c r="E13" s="20">
        <f t="shared" si="4"/>
        <v>0.1</v>
      </c>
      <c r="F13" s="20">
        <v>0.2</v>
      </c>
      <c r="G13" s="20">
        <v>0</v>
      </c>
      <c r="Q13" s="20">
        <f>'1_Maximum'!Q13</f>
        <v>60.99</v>
      </c>
      <c r="R13" s="20">
        <f>'1_Maximum'!R13</f>
        <v>1274.4269999999999</v>
      </c>
      <c r="S13" s="20">
        <f>'2_Maximum'!R13</f>
        <v>1294.3969999999999</v>
      </c>
      <c r="T13" s="20">
        <f>'3_Maximum'!R13</f>
        <v>1314.9860000000001</v>
      </c>
      <c r="U13" s="20">
        <f>'4_Maximum'!R13</f>
        <v>1334.393</v>
      </c>
      <c r="V13" s="20">
        <f>'1_Maximum'!T13</f>
        <v>4.62</v>
      </c>
      <c r="W13" s="20">
        <f>'2_Maximum'!T13</f>
        <v>4.3899999999999997</v>
      </c>
      <c r="X13" s="20">
        <f>'3_Maximum'!T13</f>
        <v>5.33</v>
      </c>
      <c r="Y13" s="20">
        <f>'4_Maximum'!T13</f>
        <v>3.92</v>
      </c>
      <c r="Z13" s="20">
        <f>'1_Maximum'!S13</f>
        <v>0.1</v>
      </c>
      <c r="AA13" s="20">
        <f>'2_Maximum'!S13</f>
        <v>0.11</v>
      </c>
      <c r="AB13" s="20">
        <f>'3_Maximum'!S13</f>
        <v>0.1</v>
      </c>
      <c r="AC13" s="20">
        <f>'4_Maximum'!S13</f>
        <v>0.1</v>
      </c>
      <c r="AD13" s="20">
        <v>399</v>
      </c>
      <c r="AE13" s="20">
        <v>399</v>
      </c>
      <c r="AF13" s="20">
        <v>399</v>
      </c>
      <c r="AG13" s="20">
        <v>399</v>
      </c>
    </row>
    <row r="14" spans="1:33">
      <c r="A14" s="20">
        <f t="shared" si="0"/>
        <v>60.11</v>
      </c>
      <c r="B14" s="20">
        <f t="shared" si="1"/>
        <v>0.1</v>
      </c>
      <c r="C14" s="20">
        <f t="shared" si="2"/>
        <v>0.1</v>
      </c>
      <c r="D14" s="20">
        <f t="shared" si="3"/>
        <v>0.1</v>
      </c>
      <c r="E14" s="20">
        <f t="shared" si="4"/>
        <v>0.1</v>
      </c>
      <c r="F14" s="20">
        <v>0.2</v>
      </c>
      <c r="G14" s="20">
        <v>0</v>
      </c>
      <c r="Q14" s="20">
        <f>'1_Maximum'!Q14</f>
        <v>60.11</v>
      </c>
      <c r="R14" s="20">
        <f>'1_Maximum'!R14</f>
        <v>1274.3409999999999</v>
      </c>
      <c r="S14" s="20">
        <f>'2_Maximum'!R14</f>
        <v>1294.31</v>
      </c>
      <c r="T14" s="20">
        <f>'3_Maximum'!R14</f>
        <v>1314.902</v>
      </c>
      <c r="U14" s="20">
        <f>'4_Maximum'!R14</f>
        <v>1334.308</v>
      </c>
      <c r="V14" s="20">
        <f>'1_Maximum'!T14</f>
        <v>4.75</v>
      </c>
      <c r="W14" s="20">
        <f>'2_Maximum'!T14</f>
        <v>4.5199999999999996</v>
      </c>
      <c r="X14" s="20">
        <f>'3_Maximum'!T14</f>
        <v>5.43</v>
      </c>
      <c r="Y14" s="20">
        <f>'4_Maximum'!T14</f>
        <v>3.93</v>
      </c>
      <c r="Z14" s="20">
        <f>'1_Maximum'!S14</f>
        <v>0.1</v>
      </c>
      <c r="AA14" s="20">
        <f>'2_Maximum'!S14</f>
        <v>0.1</v>
      </c>
      <c r="AB14" s="20">
        <f>'3_Maximum'!S14</f>
        <v>0.1</v>
      </c>
      <c r="AC14" s="20">
        <f>'4_Maximum'!S14</f>
        <v>0.1</v>
      </c>
      <c r="AD14" s="20">
        <v>399</v>
      </c>
      <c r="AE14" s="20">
        <v>399</v>
      </c>
      <c r="AF14" s="20">
        <v>399</v>
      </c>
      <c r="AG14" s="20">
        <v>399</v>
      </c>
    </row>
    <row r="15" spans="1:33">
      <c r="A15" s="20">
        <f t="shared" si="0"/>
        <v>59.21</v>
      </c>
      <c r="B15" s="20">
        <f t="shared" si="1"/>
        <v>0.09</v>
      </c>
      <c r="C15" s="20">
        <f t="shared" si="2"/>
        <v>0.1</v>
      </c>
      <c r="D15" s="20">
        <f t="shared" si="3"/>
        <v>0.09</v>
      </c>
      <c r="E15" s="20">
        <f t="shared" si="4"/>
        <v>0.09</v>
      </c>
      <c r="F15" s="20">
        <v>0.2</v>
      </c>
      <c r="G15" s="20">
        <v>0</v>
      </c>
      <c r="Q15" s="20">
        <f>'1_Maximum'!Q15</f>
        <v>59.21</v>
      </c>
      <c r="R15" s="20">
        <f>'1_Maximum'!R15</f>
        <v>1274.2560000000001</v>
      </c>
      <c r="S15" s="20">
        <f>'2_Maximum'!R15</f>
        <v>1294.223</v>
      </c>
      <c r="T15" s="20">
        <f>'3_Maximum'!R15</f>
        <v>1314.817</v>
      </c>
      <c r="U15" s="20">
        <f>'4_Maximum'!R15</f>
        <v>1334.223</v>
      </c>
      <c r="V15" s="20">
        <f>'1_Maximum'!T15</f>
        <v>4.78</v>
      </c>
      <c r="W15" s="20">
        <f>'2_Maximum'!T15</f>
        <v>4.6399999999999997</v>
      </c>
      <c r="X15" s="20">
        <f>'3_Maximum'!T15</f>
        <v>5.51</v>
      </c>
      <c r="Y15" s="20">
        <f>'4_Maximum'!T15</f>
        <v>4.04</v>
      </c>
      <c r="Z15" s="20">
        <f>'1_Maximum'!S15</f>
        <v>0.09</v>
      </c>
      <c r="AA15" s="20">
        <f>'2_Maximum'!S15</f>
        <v>0.1</v>
      </c>
      <c r="AB15" s="20">
        <f>'3_Maximum'!S15</f>
        <v>0.09</v>
      </c>
      <c r="AC15" s="20">
        <f>'4_Maximum'!S15</f>
        <v>0.09</v>
      </c>
      <c r="AD15" s="20">
        <v>399</v>
      </c>
      <c r="AE15" s="20">
        <v>399</v>
      </c>
      <c r="AF15" s="20">
        <v>399</v>
      </c>
      <c r="AG15" s="20">
        <v>399</v>
      </c>
    </row>
    <row r="16" spans="1:33">
      <c r="A16" s="20">
        <f t="shared" si="0"/>
        <v>58.36</v>
      </c>
      <c r="B16" s="20">
        <f t="shared" si="1"/>
        <v>0.1</v>
      </c>
      <c r="C16" s="20">
        <f t="shared" si="2"/>
        <v>0.1</v>
      </c>
      <c r="D16" s="20">
        <f t="shared" si="3"/>
        <v>0.1</v>
      </c>
      <c r="E16" s="20">
        <f t="shared" si="4"/>
        <v>0.1</v>
      </c>
      <c r="F16" s="20">
        <v>0.2</v>
      </c>
      <c r="G16" s="20">
        <v>0</v>
      </c>
      <c r="Q16" s="20">
        <f>'1_Maximum'!Q16</f>
        <v>58.36</v>
      </c>
      <c r="R16" s="20">
        <f>'1_Maximum'!R16</f>
        <v>1274.172</v>
      </c>
      <c r="S16" s="20">
        <f>'2_Maximum'!R16</f>
        <v>1294.1369999999999</v>
      </c>
      <c r="T16" s="20">
        <f>'3_Maximum'!R16</f>
        <v>1314.731</v>
      </c>
      <c r="U16" s="20">
        <f>'4_Maximum'!R16</f>
        <v>1334.135</v>
      </c>
      <c r="V16" s="20">
        <f>'1_Maximum'!T16</f>
        <v>4.9400000000000004</v>
      </c>
      <c r="W16" s="20">
        <f>'2_Maximum'!T16</f>
        <v>4.7699999999999996</v>
      </c>
      <c r="X16" s="20">
        <f>'3_Maximum'!T16</f>
        <v>5.67</v>
      </c>
      <c r="Y16" s="20">
        <f>'4_Maximum'!T16</f>
        <v>4.09</v>
      </c>
      <c r="Z16" s="20">
        <f>'1_Maximum'!S16</f>
        <v>0.1</v>
      </c>
      <c r="AA16" s="20">
        <f>'2_Maximum'!S16</f>
        <v>0.1</v>
      </c>
      <c r="AB16" s="20">
        <f>'3_Maximum'!S16</f>
        <v>0.1</v>
      </c>
      <c r="AC16" s="20">
        <f>'4_Maximum'!S16</f>
        <v>0.1</v>
      </c>
      <c r="AD16" s="20">
        <v>399</v>
      </c>
      <c r="AE16" s="20">
        <v>399</v>
      </c>
      <c r="AF16" s="20">
        <v>399</v>
      </c>
      <c r="AG16" s="20">
        <v>399</v>
      </c>
    </row>
    <row r="17" spans="1:33">
      <c r="A17" s="20">
        <f t="shared" si="0"/>
        <v>57.54</v>
      </c>
      <c r="B17" s="20">
        <f t="shared" si="1"/>
        <v>0.11</v>
      </c>
      <c r="C17" s="20">
        <f t="shared" si="2"/>
        <v>0.11</v>
      </c>
      <c r="D17" s="20">
        <f t="shared" si="3"/>
        <v>0.1</v>
      </c>
      <c r="E17" s="20">
        <f t="shared" si="4"/>
        <v>0.1</v>
      </c>
      <c r="F17" s="20">
        <v>0.2</v>
      </c>
      <c r="G17" s="20">
        <v>0</v>
      </c>
      <c r="Q17" s="20">
        <f>'1_Maximum'!Q17</f>
        <v>57.54</v>
      </c>
      <c r="R17" s="20">
        <f>'1_Maximum'!R17</f>
        <v>1274.085</v>
      </c>
      <c r="S17" s="20">
        <f>'2_Maximum'!R17</f>
        <v>1294.05</v>
      </c>
      <c r="T17" s="20">
        <f>'3_Maximum'!R17</f>
        <v>1314.6469999999999</v>
      </c>
      <c r="U17" s="20">
        <f>'4_Maximum'!R17</f>
        <v>1334.05</v>
      </c>
      <c r="V17" s="20">
        <f>'1_Maximum'!T17</f>
        <v>5.0599999999999996</v>
      </c>
      <c r="W17" s="20">
        <f>'2_Maximum'!T17</f>
        <v>4.88</v>
      </c>
      <c r="X17" s="20">
        <f>'3_Maximum'!T17</f>
        <v>5.71</v>
      </c>
      <c r="Y17" s="20">
        <f>'4_Maximum'!T17</f>
        <v>4.1900000000000004</v>
      </c>
      <c r="Z17" s="20">
        <f>'1_Maximum'!S17</f>
        <v>0.11</v>
      </c>
      <c r="AA17" s="20">
        <f>'2_Maximum'!S17</f>
        <v>0.11</v>
      </c>
      <c r="AB17" s="20">
        <f>'3_Maximum'!S17</f>
        <v>0.1</v>
      </c>
      <c r="AC17" s="20">
        <f>'4_Maximum'!S17</f>
        <v>0.1</v>
      </c>
      <c r="AD17" s="20">
        <v>399</v>
      </c>
      <c r="AE17" s="20">
        <v>399</v>
      </c>
      <c r="AF17" s="20">
        <v>399</v>
      </c>
      <c r="AG17" s="20">
        <v>399</v>
      </c>
    </row>
    <row r="18" spans="1:33">
      <c r="A18" s="20">
        <f t="shared" si="0"/>
        <v>56.68</v>
      </c>
      <c r="B18" s="20">
        <f t="shared" si="1"/>
        <v>0.1</v>
      </c>
      <c r="C18" s="20">
        <f t="shared" si="2"/>
        <v>0.1</v>
      </c>
      <c r="D18" s="20">
        <f t="shared" si="3"/>
        <v>0.09</v>
      </c>
      <c r="E18" s="20">
        <f t="shared" si="4"/>
        <v>0.1</v>
      </c>
      <c r="F18" s="20">
        <v>0.2</v>
      </c>
      <c r="G18" s="20">
        <v>0</v>
      </c>
      <c r="Q18" s="20">
        <f>'1_Maximum'!Q18</f>
        <v>56.68</v>
      </c>
      <c r="R18" s="20">
        <f>'1_Maximum'!R18</f>
        <v>1274.0029999999999</v>
      </c>
      <c r="S18" s="20">
        <f>'2_Maximum'!R18</f>
        <v>1293.9659999999999</v>
      </c>
      <c r="T18" s="20">
        <f>'3_Maximum'!R18</f>
        <v>1314.566</v>
      </c>
      <c r="U18" s="20">
        <f>'4_Maximum'!R18</f>
        <v>1333.9680000000001</v>
      </c>
      <c r="V18" s="20">
        <f>'1_Maximum'!T18</f>
        <v>5.14</v>
      </c>
      <c r="W18" s="20">
        <f>'2_Maximum'!T18</f>
        <v>5.0199999999999996</v>
      </c>
      <c r="X18" s="20">
        <f>'3_Maximum'!T18</f>
        <v>5.79</v>
      </c>
      <c r="Y18" s="20">
        <f>'4_Maximum'!T18</f>
        <v>4.18</v>
      </c>
      <c r="Z18" s="20">
        <f>'1_Maximum'!S18</f>
        <v>0.1</v>
      </c>
      <c r="AA18" s="20">
        <f>'2_Maximum'!S18</f>
        <v>0.1</v>
      </c>
      <c r="AB18" s="20">
        <f>'3_Maximum'!S18</f>
        <v>0.09</v>
      </c>
      <c r="AC18" s="20">
        <f>'4_Maximum'!S18</f>
        <v>0.1</v>
      </c>
      <c r="AD18" s="20">
        <v>399</v>
      </c>
      <c r="AE18" s="20">
        <v>399</v>
      </c>
      <c r="AF18" s="20">
        <v>399</v>
      </c>
      <c r="AG18" s="20">
        <v>399</v>
      </c>
    </row>
    <row r="19" spans="1:33">
      <c r="A19" s="20">
        <f t="shared" si="0"/>
        <v>55.84</v>
      </c>
      <c r="B19" s="20">
        <f t="shared" si="1"/>
        <v>0.09</v>
      </c>
      <c r="C19" s="20">
        <f t="shared" si="2"/>
        <v>0.09</v>
      </c>
      <c r="D19" s="20">
        <f t="shared" si="3"/>
        <v>0.09</v>
      </c>
      <c r="E19" s="20">
        <f t="shared" si="4"/>
        <v>0.09</v>
      </c>
      <c r="F19" s="20">
        <v>0.2</v>
      </c>
      <c r="G19" s="20">
        <v>0</v>
      </c>
      <c r="Q19" s="20">
        <f>'1_Maximum'!Q19</f>
        <v>55.84</v>
      </c>
      <c r="R19" s="20">
        <f>'1_Maximum'!R19</f>
        <v>1273.925</v>
      </c>
      <c r="S19" s="20">
        <f>'2_Maximum'!R19</f>
        <v>1293.8869999999999</v>
      </c>
      <c r="T19" s="20">
        <f>'3_Maximum'!R19</f>
        <v>1314.4880000000001</v>
      </c>
      <c r="U19" s="20">
        <f>'4_Maximum'!R19</f>
        <v>1333.8889999999999</v>
      </c>
      <c r="V19" s="20">
        <f>'1_Maximum'!T19</f>
        <v>5.28</v>
      </c>
      <c r="W19" s="20">
        <f>'2_Maximum'!T19</f>
        <v>5.15</v>
      </c>
      <c r="X19" s="20">
        <f>'3_Maximum'!T19</f>
        <v>5.86</v>
      </c>
      <c r="Y19" s="20">
        <f>'4_Maximum'!T19</f>
        <v>4.2699999999999996</v>
      </c>
      <c r="Z19" s="20">
        <f>'1_Maximum'!S19</f>
        <v>0.09</v>
      </c>
      <c r="AA19" s="20">
        <f>'2_Maximum'!S19</f>
        <v>0.09</v>
      </c>
      <c r="AB19" s="20">
        <f>'3_Maximum'!S19</f>
        <v>0.09</v>
      </c>
      <c r="AC19" s="20">
        <f>'4_Maximum'!S19</f>
        <v>0.09</v>
      </c>
      <c r="AD19" s="20">
        <v>399</v>
      </c>
      <c r="AE19" s="20">
        <v>399</v>
      </c>
      <c r="AF19" s="20">
        <v>399</v>
      </c>
      <c r="AG19" s="20">
        <v>399</v>
      </c>
    </row>
    <row r="20" spans="1:33">
      <c r="A20" s="20">
        <f t="shared" si="0"/>
        <v>55.01</v>
      </c>
      <c r="B20" s="20">
        <f t="shared" si="1"/>
        <v>0.09</v>
      </c>
      <c r="C20" s="20">
        <f t="shared" si="2"/>
        <v>0.1</v>
      </c>
      <c r="D20" s="20">
        <f t="shared" si="3"/>
        <v>0.09</v>
      </c>
      <c r="E20" s="20">
        <f t="shared" si="4"/>
        <v>0.1</v>
      </c>
      <c r="F20" s="20">
        <v>0.2</v>
      </c>
      <c r="G20" s="20">
        <v>0</v>
      </c>
      <c r="Q20" s="20">
        <f>'1_Maximum'!Q20</f>
        <v>55.01</v>
      </c>
      <c r="R20" s="20">
        <f>'1_Maximum'!R20</f>
        <v>1273.848</v>
      </c>
      <c r="S20" s="20">
        <f>'2_Maximum'!R20</f>
        <v>1293.808</v>
      </c>
      <c r="T20" s="20">
        <f>'3_Maximum'!R20</f>
        <v>1314.413</v>
      </c>
      <c r="U20" s="20">
        <f>'4_Maximum'!R20</f>
        <v>1333.807</v>
      </c>
      <c r="V20" s="20">
        <f>'1_Maximum'!T20</f>
        <v>5.43</v>
      </c>
      <c r="W20" s="20">
        <f>'2_Maximum'!T20</f>
        <v>5.28</v>
      </c>
      <c r="X20" s="20">
        <f>'3_Maximum'!T20</f>
        <v>5.9</v>
      </c>
      <c r="Y20" s="20">
        <f>'4_Maximum'!T20</f>
        <v>4.43</v>
      </c>
      <c r="Z20" s="20">
        <f>'1_Maximum'!S20</f>
        <v>0.09</v>
      </c>
      <c r="AA20" s="20">
        <f>'2_Maximum'!S20</f>
        <v>0.1</v>
      </c>
      <c r="AB20" s="20">
        <f>'3_Maximum'!S20</f>
        <v>0.09</v>
      </c>
      <c r="AC20" s="20">
        <f>'4_Maximum'!S20</f>
        <v>0.1</v>
      </c>
      <c r="AD20" s="20">
        <v>399</v>
      </c>
      <c r="AE20" s="20">
        <v>399</v>
      </c>
      <c r="AF20" s="20">
        <v>399</v>
      </c>
      <c r="AG20" s="20">
        <v>399</v>
      </c>
    </row>
    <row r="21" spans="1:33">
      <c r="A21" s="20">
        <f t="shared" si="0"/>
        <v>54.16</v>
      </c>
      <c r="B21" s="20">
        <f t="shared" si="1"/>
        <v>0.09</v>
      </c>
      <c r="C21" s="20">
        <f t="shared" si="2"/>
        <v>0.1</v>
      </c>
      <c r="D21" s="20">
        <f t="shared" si="3"/>
        <v>0.09</v>
      </c>
      <c r="E21" s="20">
        <f t="shared" si="4"/>
        <v>0.09</v>
      </c>
      <c r="F21" s="20">
        <v>0.2</v>
      </c>
      <c r="G21" s="20">
        <v>0</v>
      </c>
      <c r="Q21" s="20">
        <f>'1_Maximum'!Q21</f>
        <v>54.16</v>
      </c>
      <c r="R21" s="20">
        <f>'1_Maximum'!R21</f>
        <v>1273.769</v>
      </c>
      <c r="S21" s="20">
        <f>'2_Maximum'!R21</f>
        <v>1293.7260000000001</v>
      </c>
      <c r="T21" s="20">
        <f>'3_Maximum'!R21</f>
        <v>1314.335</v>
      </c>
      <c r="U21" s="20">
        <f>'4_Maximum'!R21</f>
        <v>1333.7280000000001</v>
      </c>
      <c r="V21" s="20">
        <f>'1_Maximum'!T21</f>
        <v>5.48</v>
      </c>
      <c r="W21" s="20">
        <f>'2_Maximum'!T21</f>
        <v>5.38</v>
      </c>
      <c r="X21" s="20">
        <f>'3_Maximum'!T21</f>
        <v>5.99</v>
      </c>
      <c r="Y21" s="20">
        <f>'4_Maximum'!T21</f>
        <v>4.51</v>
      </c>
      <c r="Z21" s="20">
        <f>'1_Maximum'!S21</f>
        <v>0.09</v>
      </c>
      <c r="AA21" s="20">
        <f>'2_Maximum'!S21</f>
        <v>0.1</v>
      </c>
      <c r="AB21" s="20">
        <f>'3_Maximum'!S21</f>
        <v>0.09</v>
      </c>
      <c r="AC21" s="20">
        <f>'4_Maximum'!S21</f>
        <v>0.09</v>
      </c>
      <c r="AD21" s="20">
        <v>399</v>
      </c>
      <c r="AE21" s="20">
        <v>399</v>
      </c>
      <c r="AF21" s="20">
        <v>399</v>
      </c>
      <c r="AG21" s="20">
        <v>399</v>
      </c>
    </row>
    <row r="22" spans="1:33">
      <c r="A22" s="20">
        <f t="shared" si="0"/>
        <v>53.32</v>
      </c>
      <c r="B22" s="20">
        <f t="shared" si="1"/>
        <v>0.09</v>
      </c>
      <c r="C22" s="20">
        <f t="shared" si="2"/>
        <v>0.1</v>
      </c>
      <c r="D22" s="20">
        <f t="shared" si="3"/>
        <v>0.09</v>
      </c>
      <c r="E22" s="20">
        <f t="shared" si="4"/>
        <v>0.1</v>
      </c>
      <c r="F22" s="20">
        <v>0.2</v>
      </c>
      <c r="G22" s="20">
        <v>0</v>
      </c>
      <c r="Q22" s="20">
        <f>'1_Maximum'!Q22</f>
        <v>53.32</v>
      </c>
      <c r="R22" s="20">
        <f>'1_Maximum'!R22</f>
        <v>1273.69</v>
      </c>
      <c r="S22" s="20">
        <f>'2_Maximum'!R22</f>
        <v>1293.644</v>
      </c>
      <c r="T22" s="20">
        <f>'3_Maximum'!R22</f>
        <v>1314.2560000000001</v>
      </c>
      <c r="U22" s="20">
        <f>'4_Maximum'!R22</f>
        <v>1333.6469999999999</v>
      </c>
      <c r="V22" s="20">
        <f>'1_Maximum'!T22</f>
        <v>5.62</v>
      </c>
      <c r="W22" s="20">
        <f>'2_Maximum'!T22</f>
        <v>5.48</v>
      </c>
      <c r="X22" s="20">
        <f>'3_Maximum'!T22</f>
        <v>6.1</v>
      </c>
      <c r="Y22" s="20">
        <f>'4_Maximum'!T22</f>
        <v>4.5</v>
      </c>
      <c r="Z22" s="20">
        <f>'1_Maximum'!S22</f>
        <v>0.09</v>
      </c>
      <c r="AA22" s="20">
        <f>'2_Maximum'!S22</f>
        <v>0.1</v>
      </c>
      <c r="AB22" s="20">
        <f>'3_Maximum'!S22</f>
        <v>0.09</v>
      </c>
      <c r="AC22" s="20">
        <f>'4_Maximum'!S22</f>
        <v>0.1</v>
      </c>
      <c r="AD22" s="20">
        <v>399</v>
      </c>
      <c r="AE22" s="20">
        <v>399</v>
      </c>
      <c r="AF22" s="20">
        <v>399</v>
      </c>
      <c r="AG22" s="20">
        <v>399</v>
      </c>
    </row>
    <row r="23" spans="1:33">
      <c r="A23" s="20">
        <f t="shared" si="0"/>
        <v>52.46</v>
      </c>
      <c r="B23" s="20">
        <f t="shared" si="1"/>
        <v>0.09</v>
      </c>
      <c r="C23" s="20">
        <f t="shared" si="2"/>
        <v>0.09</v>
      </c>
      <c r="D23" s="20">
        <f t="shared" si="3"/>
        <v>0.09</v>
      </c>
      <c r="E23" s="20">
        <f t="shared" si="4"/>
        <v>0.1</v>
      </c>
      <c r="F23" s="20">
        <v>0.2</v>
      </c>
      <c r="G23" s="20">
        <v>0</v>
      </c>
      <c r="Q23" s="20">
        <f>'1_Maximum'!Q23</f>
        <v>52.46</v>
      </c>
      <c r="R23" s="20">
        <f>'1_Maximum'!R23</f>
        <v>1273.6110000000001</v>
      </c>
      <c r="S23" s="20">
        <f>'2_Maximum'!R23</f>
        <v>1293.5640000000001</v>
      </c>
      <c r="T23" s="20">
        <f>'3_Maximum'!R23</f>
        <v>1314.1790000000001</v>
      </c>
      <c r="U23" s="20">
        <f>'4_Maximum'!R23</f>
        <v>1333.5640000000001</v>
      </c>
      <c r="V23" s="20">
        <f>'1_Maximum'!T23</f>
        <v>5.76</v>
      </c>
      <c r="W23" s="20">
        <f>'2_Maximum'!T23</f>
        <v>5.59</v>
      </c>
      <c r="X23" s="20">
        <f>'3_Maximum'!T23</f>
        <v>6.24</v>
      </c>
      <c r="Y23" s="20">
        <f>'4_Maximum'!T23</f>
        <v>4.53</v>
      </c>
      <c r="Z23" s="20">
        <f>'1_Maximum'!S23</f>
        <v>0.09</v>
      </c>
      <c r="AA23" s="20">
        <f>'2_Maximum'!S23</f>
        <v>0.09</v>
      </c>
      <c r="AB23" s="20">
        <f>'3_Maximum'!S23</f>
        <v>0.09</v>
      </c>
      <c r="AC23" s="20">
        <f>'4_Maximum'!S23</f>
        <v>0.1</v>
      </c>
      <c r="AD23" s="20">
        <v>399</v>
      </c>
      <c r="AE23" s="20">
        <v>399</v>
      </c>
      <c r="AF23" s="20">
        <v>399</v>
      </c>
      <c r="AG23" s="20">
        <v>399</v>
      </c>
    </row>
    <row r="24" spans="1:33">
      <c r="A24" s="20">
        <f t="shared" si="0"/>
        <v>51.61</v>
      </c>
      <c r="B24" s="20">
        <f t="shared" si="1"/>
        <v>0.09</v>
      </c>
      <c r="C24" s="20">
        <f t="shared" si="2"/>
        <v>0.09</v>
      </c>
      <c r="D24" s="20">
        <f t="shared" si="3"/>
        <v>0.09</v>
      </c>
      <c r="E24" s="20">
        <f t="shared" si="4"/>
        <v>0.09</v>
      </c>
      <c r="F24" s="20">
        <v>0.2</v>
      </c>
      <c r="G24" s="20">
        <v>0</v>
      </c>
      <c r="Q24" s="20">
        <f>'1_Maximum'!Q24</f>
        <v>51.61</v>
      </c>
      <c r="R24" s="20">
        <f>'1_Maximum'!R24</f>
        <v>1273.5340000000001</v>
      </c>
      <c r="S24" s="20">
        <f>'2_Maximum'!R24</f>
        <v>1293.4849999999999</v>
      </c>
      <c r="T24" s="20">
        <f>'3_Maximum'!R24</f>
        <v>1314.1020000000001</v>
      </c>
      <c r="U24" s="20">
        <f>'4_Maximum'!R24</f>
        <v>1333.4860000000001</v>
      </c>
      <c r="V24" s="20">
        <f>'1_Maximum'!T24</f>
        <v>5.79</v>
      </c>
      <c r="W24" s="20">
        <f>'2_Maximum'!T24</f>
        <v>5.68</v>
      </c>
      <c r="X24" s="20">
        <f>'3_Maximum'!T24</f>
        <v>6.3</v>
      </c>
      <c r="Y24" s="20">
        <f>'4_Maximum'!T24</f>
        <v>4.5</v>
      </c>
      <c r="Z24" s="20">
        <f>'1_Maximum'!S24</f>
        <v>0.09</v>
      </c>
      <c r="AA24" s="20">
        <f>'2_Maximum'!S24</f>
        <v>0.09</v>
      </c>
      <c r="AB24" s="20">
        <f>'3_Maximum'!S24</f>
        <v>0.09</v>
      </c>
      <c r="AC24" s="20">
        <f>'4_Maximum'!S24</f>
        <v>0.09</v>
      </c>
      <c r="AD24" s="20">
        <v>399</v>
      </c>
      <c r="AE24" s="20">
        <v>399</v>
      </c>
      <c r="AF24" s="20">
        <v>399</v>
      </c>
      <c r="AG24" s="20">
        <v>399</v>
      </c>
    </row>
    <row r="25" spans="1:33">
      <c r="A25" s="20">
        <f t="shared" si="0"/>
        <v>50.75</v>
      </c>
      <c r="B25" s="20">
        <f t="shared" si="1"/>
        <v>0.09</v>
      </c>
      <c r="C25" s="20">
        <f t="shared" si="2"/>
        <v>0.09</v>
      </c>
      <c r="D25" s="20">
        <f t="shared" si="3"/>
        <v>0.09</v>
      </c>
      <c r="E25" s="20">
        <f t="shared" si="4"/>
        <v>0.09</v>
      </c>
      <c r="F25" s="20">
        <v>0.2</v>
      </c>
      <c r="G25" s="20">
        <v>0</v>
      </c>
      <c r="Q25" s="20">
        <f>'1_Maximum'!Q25</f>
        <v>50.75</v>
      </c>
      <c r="R25" s="20">
        <f>'1_Maximum'!R25</f>
        <v>1273.4549999999999</v>
      </c>
      <c r="S25" s="20">
        <f>'2_Maximum'!R25</f>
        <v>1293.404</v>
      </c>
      <c r="T25" s="20">
        <f>'3_Maximum'!R25</f>
        <v>1314.0239999999999</v>
      </c>
      <c r="U25" s="20">
        <f>'4_Maximum'!R25</f>
        <v>1333.4079999999999</v>
      </c>
      <c r="V25" s="20">
        <f>'1_Maximum'!T25</f>
        <v>5.77</v>
      </c>
      <c r="W25" s="20">
        <f>'2_Maximum'!T25</f>
        <v>5.79</v>
      </c>
      <c r="X25" s="20">
        <f>'3_Maximum'!T25</f>
        <v>6.38</v>
      </c>
      <c r="Y25" s="20">
        <f>'4_Maximum'!T25</f>
        <v>4.54</v>
      </c>
      <c r="Z25" s="20">
        <f>'1_Maximum'!S25</f>
        <v>0.09</v>
      </c>
      <c r="AA25" s="20">
        <f>'2_Maximum'!S25</f>
        <v>0.09</v>
      </c>
      <c r="AB25" s="20">
        <f>'3_Maximum'!S25</f>
        <v>0.09</v>
      </c>
      <c r="AC25" s="20">
        <f>'4_Maximum'!S25</f>
        <v>0.09</v>
      </c>
      <c r="AD25" s="20">
        <v>399</v>
      </c>
      <c r="AE25" s="20">
        <v>399</v>
      </c>
      <c r="AF25" s="20">
        <v>399</v>
      </c>
      <c r="AG25" s="20">
        <v>399</v>
      </c>
    </row>
    <row r="26" spans="1:33">
      <c r="A26" s="20">
        <f t="shared" si="0"/>
        <v>49.93</v>
      </c>
      <c r="B26" s="20">
        <f t="shared" si="1"/>
        <v>0.1</v>
      </c>
      <c r="C26" s="20">
        <f t="shared" si="2"/>
        <v>0.1</v>
      </c>
      <c r="D26" s="20">
        <f t="shared" si="3"/>
        <v>0.1</v>
      </c>
      <c r="E26" s="20">
        <f t="shared" si="4"/>
        <v>0.1</v>
      </c>
      <c r="F26" s="20">
        <v>0.2</v>
      </c>
      <c r="G26" s="20">
        <v>0</v>
      </c>
      <c r="Q26" s="20">
        <f>'1_Maximum'!Q26</f>
        <v>49.93</v>
      </c>
      <c r="R26" s="20">
        <f>'1_Maximum'!R26</f>
        <v>1273.377</v>
      </c>
      <c r="S26" s="20">
        <f>'2_Maximum'!R26</f>
        <v>1293.3209999999999</v>
      </c>
      <c r="T26" s="20">
        <f>'3_Maximum'!R26</f>
        <v>1313.9449999999999</v>
      </c>
      <c r="U26" s="20">
        <f>'4_Maximum'!R26</f>
        <v>1333.326</v>
      </c>
      <c r="V26" s="20">
        <f>'1_Maximum'!T26</f>
        <v>5.86</v>
      </c>
      <c r="W26" s="20">
        <f>'2_Maximum'!T26</f>
        <v>5.84</v>
      </c>
      <c r="X26" s="20">
        <f>'3_Maximum'!T26</f>
        <v>6.42</v>
      </c>
      <c r="Y26" s="20">
        <f>'4_Maximum'!T26</f>
        <v>4.74</v>
      </c>
      <c r="Z26" s="20">
        <f>'1_Maximum'!S26</f>
        <v>0.1</v>
      </c>
      <c r="AA26" s="20">
        <f>'2_Maximum'!S26</f>
        <v>0.1</v>
      </c>
      <c r="AB26" s="20">
        <f>'3_Maximum'!S26</f>
        <v>0.1</v>
      </c>
      <c r="AC26" s="20">
        <f>'4_Maximum'!S26</f>
        <v>0.1</v>
      </c>
      <c r="AD26" s="20">
        <v>399</v>
      </c>
      <c r="AE26" s="20">
        <v>399</v>
      </c>
      <c r="AF26" s="20">
        <v>399</v>
      </c>
      <c r="AG26" s="20">
        <v>399</v>
      </c>
    </row>
    <row r="27" spans="1:33">
      <c r="A27" s="20">
        <f t="shared" si="0"/>
        <v>49.2</v>
      </c>
      <c r="B27" s="20">
        <f t="shared" si="1"/>
        <v>0.11</v>
      </c>
      <c r="C27" s="20">
        <f t="shared" si="2"/>
        <v>0.12</v>
      </c>
      <c r="D27" s="20">
        <f t="shared" si="3"/>
        <v>0.11</v>
      </c>
      <c r="E27" s="20">
        <f t="shared" si="4"/>
        <v>0.11</v>
      </c>
      <c r="F27" s="20">
        <v>0.2</v>
      </c>
      <c r="G27" s="20">
        <v>0</v>
      </c>
      <c r="Q27" s="20">
        <f>'1_Maximum'!Q27</f>
        <v>49.2</v>
      </c>
      <c r="R27" s="20">
        <f>'1_Maximum'!R27</f>
        <v>1273.296</v>
      </c>
      <c r="S27" s="20">
        <f>'2_Maximum'!R27</f>
        <v>1293.2370000000001</v>
      </c>
      <c r="T27" s="20">
        <f>'3_Maximum'!R27</f>
        <v>1313.864</v>
      </c>
      <c r="U27" s="20">
        <f>'4_Maximum'!R27</f>
        <v>1333.2439999999999</v>
      </c>
      <c r="V27" s="20">
        <f>'1_Maximum'!T27</f>
        <v>5.92</v>
      </c>
      <c r="W27" s="20">
        <f>'2_Maximum'!T27</f>
        <v>5.97</v>
      </c>
      <c r="X27" s="20">
        <f>'3_Maximum'!T27</f>
        <v>6.55</v>
      </c>
      <c r="Y27" s="20">
        <f>'4_Maximum'!T27</f>
        <v>4.8</v>
      </c>
      <c r="Z27" s="20">
        <f>'1_Maximum'!S27</f>
        <v>0.11</v>
      </c>
      <c r="AA27" s="20">
        <f>'2_Maximum'!S27</f>
        <v>0.12</v>
      </c>
      <c r="AB27" s="20">
        <f>'3_Maximum'!S27</f>
        <v>0.11</v>
      </c>
      <c r="AC27" s="20">
        <f>'4_Maximum'!S27</f>
        <v>0.11</v>
      </c>
      <c r="AD27" s="20">
        <v>399</v>
      </c>
      <c r="AE27" s="20">
        <v>399</v>
      </c>
      <c r="AF27" s="20">
        <v>399</v>
      </c>
      <c r="AG27" s="20">
        <v>399</v>
      </c>
    </row>
    <row r="28" spans="1:33">
      <c r="A28" s="20">
        <f t="shared" si="0"/>
        <v>48.12</v>
      </c>
      <c r="B28" s="20">
        <f t="shared" si="1"/>
        <v>7.0000000000000007E-2</v>
      </c>
      <c r="C28" s="20">
        <f t="shared" si="2"/>
        <v>7.0000000000000007E-2</v>
      </c>
      <c r="D28" s="20">
        <f t="shared" si="3"/>
        <v>7.0000000000000007E-2</v>
      </c>
      <c r="E28" s="20">
        <f t="shared" si="4"/>
        <v>7.0000000000000007E-2</v>
      </c>
      <c r="F28" s="20">
        <v>0.2</v>
      </c>
      <c r="G28" s="20">
        <v>0</v>
      </c>
      <c r="Q28" s="20">
        <f>'1_Maximum'!Q28</f>
        <v>48.12</v>
      </c>
      <c r="R28" s="20">
        <f>'1_Maximum'!R28</f>
        <v>1273.2159999999999</v>
      </c>
      <c r="S28" s="20">
        <f>'2_Maximum'!R28</f>
        <v>1293.1569999999999</v>
      </c>
      <c r="T28" s="20">
        <f>'3_Maximum'!R28</f>
        <v>1313.7850000000001</v>
      </c>
      <c r="U28" s="20">
        <f>'4_Maximum'!R28</f>
        <v>1333.165</v>
      </c>
      <c r="V28" s="20">
        <f>'1_Maximum'!T28</f>
        <v>6.11</v>
      </c>
      <c r="W28" s="20">
        <f>'2_Maximum'!T28</f>
        <v>5.98</v>
      </c>
      <c r="X28" s="20">
        <f>'3_Maximum'!T28</f>
        <v>6.66</v>
      </c>
      <c r="Y28" s="20">
        <f>'4_Maximum'!T28</f>
        <v>4.8099999999999996</v>
      </c>
      <c r="Z28" s="20">
        <f>'1_Maximum'!S28</f>
        <v>7.0000000000000007E-2</v>
      </c>
      <c r="AA28" s="20">
        <f>'2_Maximum'!S28</f>
        <v>7.0000000000000007E-2</v>
      </c>
      <c r="AB28" s="20">
        <f>'3_Maximum'!S28</f>
        <v>7.0000000000000007E-2</v>
      </c>
      <c r="AC28" s="20">
        <f>'4_Maximum'!S28</f>
        <v>7.0000000000000007E-2</v>
      </c>
      <c r="AD28" s="20">
        <v>399</v>
      </c>
      <c r="AE28" s="20">
        <v>399</v>
      </c>
      <c r="AF28" s="20">
        <v>399</v>
      </c>
      <c r="AG28" s="20">
        <v>399</v>
      </c>
    </row>
    <row r="29" spans="1:33">
      <c r="A29" s="20">
        <f t="shared" si="0"/>
        <v>47.27</v>
      </c>
      <c r="B29" s="20">
        <f t="shared" si="1"/>
        <v>0.11</v>
      </c>
      <c r="C29" s="20">
        <f t="shared" si="2"/>
        <v>0.1</v>
      </c>
      <c r="D29" s="20">
        <f t="shared" si="3"/>
        <v>0.1</v>
      </c>
      <c r="E29" s="20">
        <f t="shared" si="4"/>
        <v>0.1</v>
      </c>
      <c r="F29" s="20">
        <v>0.2</v>
      </c>
      <c r="G29" s="20">
        <v>0</v>
      </c>
      <c r="Q29" s="20">
        <f>'1_Maximum'!Q29</f>
        <v>47.27</v>
      </c>
      <c r="R29" s="20">
        <f>'1_Maximum'!R29</f>
        <v>1273.126</v>
      </c>
      <c r="S29" s="20">
        <f>'2_Maximum'!R29</f>
        <v>1293.068</v>
      </c>
      <c r="T29" s="20">
        <f>'3_Maximum'!R29</f>
        <v>1313.6959999999999</v>
      </c>
      <c r="U29" s="20">
        <f>'4_Maximum'!R29</f>
        <v>1333.076</v>
      </c>
      <c r="V29" s="20">
        <f>'1_Maximum'!T29</f>
        <v>6.29</v>
      </c>
      <c r="W29" s="20">
        <f>'2_Maximum'!T29</f>
        <v>6.08</v>
      </c>
      <c r="X29" s="20">
        <f>'3_Maximum'!T29</f>
        <v>6.74</v>
      </c>
      <c r="Y29" s="20">
        <f>'4_Maximum'!T29</f>
        <v>4.8</v>
      </c>
      <c r="Z29" s="20">
        <f>'1_Maximum'!S29</f>
        <v>0.11</v>
      </c>
      <c r="AA29" s="20">
        <f>'2_Maximum'!S29</f>
        <v>0.1</v>
      </c>
      <c r="AB29" s="20">
        <f>'3_Maximum'!S29</f>
        <v>0.1</v>
      </c>
      <c r="AC29" s="20">
        <f>'4_Maximum'!S29</f>
        <v>0.1</v>
      </c>
      <c r="AD29" s="20">
        <v>399</v>
      </c>
      <c r="AE29" s="20">
        <v>399</v>
      </c>
      <c r="AF29" s="20">
        <v>399</v>
      </c>
      <c r="AG29" s="20">
        <v>399</v>
      </c>
    </row>
    <row r="30" spans="1:33">
      <c r="A30" s="20">
        <f t="shared" si="0"/>
        <v>46.4</v>
      </c>
      <c r="B30" s="20">
        <f t="shared" si="1"/>
        <v>0.09</v>
      </c>
      <c r="C30" s="20">
        <f t="shared" si="2"/>
        <v>0.09</v>
      </c>
      <c r="D30" s="20">
        <f t="shared" si="3"/>
        <v>0.09</v>
      </c>
      <c r="E30" s="20">
        <f t="shared" si="4"/>
        <v>0.09</v>
      </c>
      <c r="F30" s="20">
        <v>0.2</v>
      </c>
      <c r="G30" s="20">
        <v>0</v>
      </c>
      <c r="Q30" s="20">
        <f>'1_Maximum'!Q30</f>
        <v>46.4</v>
      </c>
      <c r="R30" s="20">
        <f>'1_Maximum'!R30</f>
        <v>1273.0450000000001</v>
      </c>
      <c r="S30" s="20">
        <f>'2_Maximum'!R30</f>
        <v>1292.9860000000001</v>
      </c>
      <c r="T30" s="20">
        <f>'3_Maximum'!R30</f>
        <v>1313.614</v>
      </c>
      <c r="U30" s="20">
        <f>'4_Maximum'!R30</f>
        <v>1332.9970000000001</v>
      </c>
      <c r="V30" s="20">
        <f>'1_Maximum'!T30</f>
        <v>6.45</v>
      </c>
      <c r="W30" s="20">
        <f>'2_Maximum'!T30</f>
        <v>6.14</v>
      </c>
      <c r="X30" s="20">
        <f>'3_Maximum'!T30</f>
        <v>6.84</v>
      </c>
      <c r="Y30" s="20">
        <f>'4_Maximum'!T30</f>
        <v>4.8499999999999996</v>
      </c>
      <c r="Z30" s="20">
        <f>'1_Maximum'!S30</f>
        <v>0.09</v>
      </c>
      <c r="AA30" s="20">
        <f>'2_Maximum'!S30</f>
        <v>0.09</v>
      </c>
      <c r="AB30" s="20">
        <f>'3_Maximum'!S30</f>
        <v>0.09</v>
      </c>
      <c r="AC30" s="20">
        <f>'4_Maximum'!S30</f>
        <v>0.09</v>
      </c>
      <c r="AD30" s="20">
        <v>399</v>
      </c>
      <c r="AE30" s="20">
        <v>399</v>
      </c>
      <c r="AF30" s="20">
        <v>399</v>
      </c>
      <c r="AG30" s="20">
        <v>399</v>
      </c>
    </row>
    <row r="31" spans="1:33">
      <c r="A31" s="20">
        <f t="shared" si="0"/>
        <v>45.59</v>
      </c>
      <c r="B31" s="20">
        <f t="shared" si="1"/>
        <v>0.1</v>
      </c>
      <c r="C31" s="20">
        <f t="shared" si="2"/>
        <v>0.1</v>
      </c>
      <c r="D31" s="20">
        <f t="shared" si="3"/>
        <v>0.1</v>
      </c>
      <c r="E31" s="20">
        <f t="shared" si="4"/>
        <v>0.1</v>
      </c>
      <c r="F31" s="20">
        <v>0.2</v>
      </c>
      <c r="G31" s="20">
        <v>0</v>
      </c>
      <c r="Q31" s="20">
        <f>'1_Maximum'!Q31</f>
        <v>45.59</v>
      </c>
      <c r="R31" s="20">
        <f>'1_Maximum'!R31</f>
        <v>1272.9639999999999</v>
      </c>
      <c r="S31" s="20">
        <f>'2_Maximum'!R31</f>
        <v>1292.9059999999999</v>
      </c>
      <c r="T31" s="20">
        <f>'3_Maximum'!R31</f>
        <v>1313.5350000000001</v>
      </c>
      <c r="U31" s="20">
        <f>'4_Maximum'!R31</f>
        <v>1332.9159999999999</v>
      </c>
      <c r="V31" s="20">
        <f>'1_Maximum'!T31</f>
        <v>6.54</v>
      </c>
      <c r="W31" s="20">
        <f>'2_Maximum'!T31</f>
        <v>6.2</v>
      </c>
      <c r="X31" s="20">
        <f>'3_Maximum'!T31</f>
        <v>6.89</v>
      </c>
      <c r="Y31" s="20">
        <f>'4_Maximum'!T31</f>
        <v>4.96</v>
      </c>
      <c r="Z31" s="20">
        <f>'1_Maximum'!S31</f>
        <v>0.1</v>
      </c>
      <c r="AA31" s="20">
        <f>'2_Maximum'!S31</f>
        <v>0.1</v>
      </c>
      <c r="AB31" s="20">
        <f>'3_Maximum'!S31</f>
        <v>0.1</v>
      </c>
      <c r="AC31" s="20">
        <f>'4_Maximum'!S31</f>
        <v>0.1</v>
      </c>
      <c r="AD31" s="20">
        <v>399</v>
      </c>
      <c r="AE31" s="20">
        <v>399</v>
      </c>
      <c r="AF31" s="20">
        <v>399</v>
      </c>
      <c r="AG31" s="20">
        <v>399</v>
      </c>
    </row>
    <row r="32" spans="1:33">
      <c r="A32" s="20">
        <f t="shared" si="0"/>
        <v>44.75</v>
      </c>
      <c r="B32" s="20">
        <f t="shared" si="1"/>
        <v>0.1</v>
      </c>
      <c r="C32" s="20">
        <f t="shared" si="2"/>
        <v>0.1</v>
      </c>
      <c r="D32" s="20">
        <f t="shared" si="3"/>
        <v>0.1</v>
      </c>
      <c r="E32" s="20">
        <f t="shared" si="4"/>
        <v>0.1</v>
      </c>
      <c r="F32" s="20">
        <v>0.2</v>
      </c>
      <c r="G32" s="20">
        <v>0</v>
      </c>
      <c r="Q32" s="20">
        <f>'1_Maximum'!Q32</f>
        <v>44.75</v>
      </c>
      <c r="R32" s="20">
        <f>'1_Maximum'!R32</f>
        <v>1272.884</v>
      </c>
      <c r="S32" s="20">
        <f>'2_Maximum'!R32</f>
        <v>1292.826</v>
      </c>
      <c r="T32" s="20">
        <f>'3_Maximum'!R32</f>
        <v>1313.454</v>
      </c>
      <c r="U32" s="20">
        <f>'4_Maximum'!R32</f>
        <v>1332.836</v>
      </c>
      <c r="V32" s="20">
        <f>'1_Maximum'!T32</f>
        <v>6.61</v>
      </c>
      <c r="W32" s="20">
        <f>'2_Maximum'!T32</f>
        <v>6.26</v>
      </c>
      <c r="X32" s="20">
        <f>'3_Maximum'!T32</f>
        <v>6.98</v>
      </c>
      <c r="Y32" s="20">
        <f>'4_Maximum'!T32</f>
        <v>5.05</v>
      </c>
      <c r="Z32" s="20">
        <f>'1_Maximum'!S32</f>
        <v>0.1</v>
      </c>
      <c r="AA32" s="20">
        <f>'2_Maximum'!S32</f>
        <v>0.1</v>
      </c>
      <c r="AB32" s="20">
        <f>'3_Maximum'!S32</f>
        <v>0.1</v>
      </c>
      <c r="AC32" s="20">
        <f>'4_Maximum'!S32</f>
        <v>0.1</v>
      </c>
      <c r="AD32" s="20">
        <v>399</v>
      </c>
      <c r="AE32" s="20">
        <v>399</v>
      </c>
      <c r="AF32" s="20">
        <v>399</v>
      </c>
      <c r="AG32" s="20">
        <v>399</v>
      </c>
    </row>
    <row r="33" spans="1:33">
      <c r="A33" s="20">
        <f t="shared" si="0"/>
        <v>43.89</v>
      </c>
      <c r="B33" s="20">
        <f t="shared" si="1"/>
        <v>0.09</v>
      </c>
      <c r="C33" s="20">
        <f t="shared" si="2"/>
        <v>0.09</v>
      </c>
      <c r="D33" s="20">
        <f t="shared" si="3"/>
        <v>0.09</v>
      </c>
      <c r="E33" s="20">
        <f t="shared" si="4"/>
        <v>0.09</v>
      </c>
      <c r="F33" s="20">
        <v>0.2</v>
      </c>
      <c r="G33" s="20">
        <v>0</v>
      </c>
      <c r="Q33" s="20">
        <f>'1_Maximum'!Q33</f>
        <v>43.89</v>
      </c>
      <c r="R33" s="20">
        <f>'1_Maximum'!R33</f>
        <v>1272.8040000000001</v>
      </c>
      <c r="S33" s="20">
        <f>'2_Maximum'!R33</f>
        <v>1292.7460000000001</v>
      </c>
      <c r="T33" s="20">
        <f>'3_Maximum'!R33</f>
        <v>1313.374</v>
      </c>
      <c r="U33" s="20">
        <f>'4_Maximum'!R33</f>
        <v>1332.758</v>
      </c>
      <c r="V33" s="20">
        <f>'1_Maximum'!T33</f>
        <v>6.66</v>
      </c>
      <c r="W33" s="20">
        <f>'2_Maximum'!T33</f>
        <v>6.34</v>
      </c>
      <c r="X33" s="20">
        <f>'3_Maximum'!T33</f>
        <v>7</v>
      </c>
      <c r="Y33" s="20">
        <f>'4_Maximum'!T33</f>
        <v>5.07</v>
      </c>
      <c r="Z33" s="20">
        <f>'1_Maximum'!S33</f>
        <v>0.09</v>
      </c>
      <c r="AA33" s="20">
        <f>'2_Maximum'!S33</f>
        <v>0.09</v>
      </c>
      <c r="AB33" s="20">
        <f>'3_Maximum'!S33</f>
        <v>0.09</v>
      </c>
      <c r="AC33" s="20">
        <f>'4_Maximum'!S33</f>
        <v>0.09</v>
      </c>
      <c r="AD33" s="20">
        <v>399</v>
      </c>
      <c r="AE33" s="20">
        <v>399</v>
      </c>
      <c r="AF33" s="20">
        <v>399</v>
      </c>
      <c r="AG33" s="20">
        <v>399</v>
      </c>
    </row>
    <row r="34" spans="1:33">
      <c r="A34" s="20">
        <f t="shared" si="0"/>
        <v>43.07</v>
      </c>
      <c r="B34" s="20">
        <f t="shared" si="1"/>
        <v>0.09</v>
      </c>
      <c r="C34" s="20">
        <f t="shared" si="2"/>
        <v>0.09</v>
      </c>
      <c r="D34" s="20">
        <f t="shared" si="3"/>
        <v>0.09</v>
      </c>
      <c r="E34" s="20">
        <f t="shared" si="4"/>
        <v>0.1</v>
      </c>
      <c r="F34" s="20">
        <v>0.2</v>
      </c>
      <c r="G34" s="20">
        <v>0</v>
      </c>
      <c r="Q34" s="20">
        <f>'1_Maximum'!Q34</f>
        <v>43.07</v>
      </c>
      <c r="R34" s="20">
        <f>'1_Maximum'!R34</f>
        <v>1272.7270000000001</v>
      </c>
      <c r="S34" s="20">
        <f>'2_Maximum'!R34</f>
        <v>1292.6690000000001</v>
      </c>
      <c r="T34" s="20">
        <f>'3_Maximum'!R34</f>
        <v>1313.299</v>
      </c>
      <c r="U34" s="20">
        <f>'4_Maximum'!R34</f>
        <v>1332.6769999999999</v>
      </c>
      <c r="V34" s="20">
        <f>'1_Maximum'!T34</f>
        <v>6.79</v>
      </c>
      <c r="W34" s="20">
        <f>'2_Maximum'!T34</f>
        <v>6.42</v>
      </c>
      <c r="X34" s="20">
        <f>'3_Maximum'!T34</f>
        <v>7.09</v>
      </c>
      <c r="Y34" s="20">
        <f>'4_Maximum'!T34</f>
        <v>5.1100000000000003</v>
      </c>
      <c r="Z34" s="20">
        <f>'1_Maximum'!S34</f>
        <v>0.09</v>
      </c>
      <c r="AA34" s="20">
        <f>'2_Maximum'!S34</f>
        <v>0.09</v>
      </c>
      <c r="AB34" s="20">
        <f>'3_Maximum'!S34</f>
        <v>0.09</v>
      </c>
      <c r="AC34" s="20">
        <f>'4_Maximum'!S34</f>
        <v>0.1</v>
      </c>
      <c r="AD34" s="20">
        <v>399</v>
      </c>
      <c r="AE34" s="20">
        <v>399</v>
      </c>
      <c r="AF34" s="20">
        <v>399</v>
      </c>
      <c r="AG34" s="20">
        <v>399</v>
      </c>
    </row>
    <row r="35" spans="1:33">
      <c r="A35" s="20">
        <f t="shared" ref="A35:A66" si="5">Q35</f>
        <v>42.24</v>
      </c>
      <c r="B35" s="20">
        <f t="shared" ref="B35:B66" si="6">Z35</f>
        <v>0.1</v>
      </c>
      <c r="C35" s="20">
        <f t="shared" ref="C35:C66" si="7">AA35</f>
        <v>0.1</v>
      </c>
      <c r="D35" s="20">
        <f t="shared" ref="D35:D66" si="8">AB35</f>
        <v>0.1</v>
      </c>
      <c r="E35" s="20">
        <f t="shared" ref="E35:E66" si="9">AC35</f>
        <v>0.1</v>
      </c>
      <c r="F35" s="20">
        <v>0.2</v>
      </c>
      <c r="G35" s="20">
        <v>0</v>
      </c>
      <c r="Q35" s="20">
        <f>'1_Maximum'!Q35</f>
        <v>42.24</v>
      </c>
      <c r="R35" s="20">
        <f>'1_Maximum'!R35</f>
        <v>1272.644</v>
      </c>
      <c r="S35" s="20">
        <f>'2_Maximum'!R35</f>
        <v>1292.586</v>
      </c>
      <c r="T35" s="20">
        <f>'3_Maximum'!R35</f>
        <v>1313.2170000000001</v>
      </c>
      <c r="U35" s="20">
        <f>'4_Maximum'!R35</f>
        <v>1332.596</v>
      </c>
      <c r="V35" s="20">
        <f>'1_Maximum'!T35</f>
        <v>6.83</v>
      </c>
      <c r="W35" s="20">
        <f>'2_Maximum'!T35</f>
        <v>6.51</v>
      </c>
      <c r="X35" s="20">
        <f>'3_Maximum'!T35</f>
        <v>7.19</v>
      </c>
      <c r="Y35" s="20">
        <f>'4_Maximum'!T35</f>
        <v>5.2</v>
      </c>
      <c r="Z35" s="20">
        <f>'1_Maximum'!S35</f>
        <v>0.1</v>
      </c>
      <c r="AA35" s="20">
        <f>'2_Maximum'!S35</f>
        <v>0.1</v>
      </c>
      <c r="AB35" s="20">
        <f>'3_Maximum'!S35</f>
        <v>0.1</v>
      </c>
      <c r="AC35" s="20">
        <f>'4_Maximum'!S35</f>
        <v>0.1</v>
      </c>
      <c r="AD35" s="20">
        <v>399</v>
      </c>
      <c r="AE35" s="20">
        <v>399</v>
      </c>
      <c r="AF35" s="20">
        <v>399</v>
      </c>
      <c r="AG35" s="20">
        <v>399</v>
      </c>
    </row>
    <row r="36" spans="1:33">
      <c r="A36" s="20">
        <f t="shared" si="5"/>
        <v>41.42</v>
      </c>
      <c r="B36" s="20">
        <f t="shared" si="6"/>
        <v>0.1</v>
      </c>
      <c r="C36" s="20">
        <f t="shared" si="7"/>
        <v>0.1</v>
      </c>
      <c r="D36" s="20">
        <f t="shared" si="8"/>
        <v>0.1</v>
      </c>
      <c r="E36" s="20">
        <f t="shared" si="9"/>
        <v>0.09</v>
      </c>
      <c r="F36" s="20">
        <v>0.2</v>
      </c>
      <c r="G36" s="20">
        <v>0</v>
      </c>
      <c r="Q36" s="20">
        <f>'1_Maximum'!Q36</f>
        <v>41.42</v>
      </c>
      <c r="R36" s="20">
        <f>'1_Maximum'!R36</f>
        <v>1272.566</v>
      </c>
      <c r="S36" s="20">
        <f>'2_Maximum'!R36</f>
        <v>1292.508</v>
      </c>
      <c r="T36" s="20">
        <f>'3_Maximum'!R36</f>
        <v>1313.1389999999999</v>
      </c>
      <c r="U36" s="20">
        <f>'4_Maximum'!R36</f>
        <v>1332.52</v>
      </c>
      <c r="V36" s="20">
        <f>'1_Maximum'!T36</f>
        <v>6.84</v>
      </c>
      <c r="W36" s="20">
        <f>'2_Maximum'!T36</f>
        <v>6.59</v>
      </c>
      <c r="X36" s="20">
        <f>'3_Maximum'!T36</f>
        <v>7.28</v>
      </c>
      <c r="Y36" s="20">
        <f>'4_Maximum'!T36</f>
        <v>5.27</v>
      </c>
      <c r="Z36" s="20">
        <f>'1_Maximum'!S36</f>
        <v>0.1</v>
      </c>
      <c r="AA36" s="20">
        <f>'2_Maximum'!S36</f>
        <v>0.1</v>
      </c>
      <c r="AB36" s="20">
        <f>'3_Maximum'!S36</f>
        <v>0.1</v>
      </c>
      <c r="AC36" s="20">
        <f>'4_Maximum'!S36</f>
        <v>0.09</v>
      </c>
      <c r="AD36" s="20">
        <v>399</v>
      </c>
      <c r="AE36" s="20">
        <v>399</v>
      </c>
      <c r="AF36" s="20">
        <v>399</v>
      </c>
      <c r="AG36" s="20">
        <v>399</v>
      </c>
    </row>
    <row r="37" spans="1:33">
      <c r="A37" s="20">
        <f t="shared" si="5"/>
        <v>40.64</v>
      </c>
      <c r="B37" s="20">
        <f t="shared" si="6"/>
        <v>0.1</v>
      </c>
      <c r="C37" s="20">
        <f t="shared" si="7"/>
        <v>0.1</v>
      </c>
      <c r="D37" s="20">
        <f t="shared" si="8"/>
        <v>0.1</v>
      </c>
      <c r="E37" s="20">
        <f t="shared" si="9"/>
        <v>0.1</v>
      </c>
      <c r="F37" s="20">
        <v>0.2</v>
      </c>
      <c r="G37" s="20">
        <v>0</v>
      </c>
      <c r="Q37" s="20">
        <f>'1_Maximum'!Q37</f>
        <v>40.64</v>
      </c>
      <c r="R37" s="20">
        <f>'1_Maximum'!R37</f>
        <v>1272.489</v>
      </c>
      <c r="S37" s="20">
        <f>'2_Maximum'!R37</f>
        <v>1292.43</v>
      </c>
      <c r="T37" s="20">
        <f>'3_Maximum'!R37</f>
        <v>1313.0630000000001</v>
      </c>
      <c r="U37" s="20">
        <f>'4_Maximum'!R37</f>
        <v>1332.44</v>
      </c>
      <c r="V37" s="20">
        <f>'1_Maximum'!T37</f>
        <v>6.93</v>
      </c>
      <c r="W37" s="20">
        <f>'2_Maximum'!T37</f>
        <v>6.65</v>
      </c>
      <c r="X37" s="20">
        <f>'3_Maximum'!T37</f>
        <v>7.31</v>
      </c>
      <c r="Y37" s="20">
        <f>'4_Maximum'!T37</f>
        <v>5.4</v>
      </c>
      <c r="Z37" s="20">
        <f>'1_Maximum'!S37</f>
        <v>0.1</v>
      </c>
      <c r="AA37" s="20">
        <f>'2_Maximum'!S37</f>
        <v>0.1</v>
      </c>
      <c r="AB37" s="20">
        <f>'3_Maximum'!S37</f>
        <v>0.1</v>
      </c>
      <c r="AC37" s="20">
        <f>'4_Maximum'!S37</f>
        <v>0.1</v>
      </c>
      <c r="AD37" s="20">
        <v>399</v>
      </c>
      <c r="AE37" s="20">
        <v>399</v>
      </c>
      <c r="AF37" s="20">
        <v>399</v>
      </c>
      <c r="AG37" s="20">
        <v>399</v>
      </c>
    </row>
    <row r="38" spans="1:33">
      <c r="A38" s="20">
        <f t="shared" si="5"/>
        <v>39.72</v>
      </c>
      <c r="B38" s="20">
        <f t="shared" si="6"/>
        <v>0.08</v>
      </c>
      <c r="C38" s="20">
        <f t="shared" si="7"/>
        <v>0.08</v>
      </c>
      <c r="D38" s="20">
        <f t="shared" si="8"/>
        <v>0.08</v>
      </c>
      <c r="E38" s="20">
        <f t="shared" si="9"/>
        <v>0.09</v>
      </c>
      <c r="F38" s="20">
        <v>0.2</v>
      </c>
      <c r="G38" s="20">
        <v>0</v>
      </c>
      <c r="Q38" s="20">
        <f>'1_Maximum'!Q38</f>
        <v>39.72</v>
      </c>
      <c r="R38" s="20">
        <f>'1_Maximum'!R38</f>
        <v>1272.412</v>
      </c>
      <c r="S38" s="20">
        <f>'2_Maximum'!R38</f>
        <v>1292.3520000000001</v>
      </c>
      <c r="T38" s="20">
        <f>'3_Maximum'!R38</f>
        <v>1312.9860000000001</v>
      </c>
      <c r="U38" s="20">
        <f>'4_Maximum'!R38</f>
        <v>1332.3610000000001</v>
      </c>
      <c r="V38" s="20">
        <f>'1_Maximum'!T38</f>
        <v>6.99</v>
      </c>
      <c r="W38" s="20">
        <f>'2_Maximum'!T38</f>
        <v>6.77</v>
      </c>
      <c r="X38" s="20">
        <f>'3_Maximum'!T38</f>
        <v>7.39</v>
      </c>
      <c r="Y38" s="20">
        <f>'4_Maximum'!T38</f>
        <v>5.4</v>
      </c>
      <c r="Z38" s="20">
        <f>'1_Maximum'!S38</f>
        <v>0.08</v>
      </c>
      <c r="AA38" s="20">
        <f>'2_Maximum'!S38</f>
        <v>0.08</v>
      </c>
      <c r="AB38" s="20">
        <f>'3_Maximum'!S38</f>
        <v>0.08</v>
      </c>
      <c r="AC38" s="20">
        <f>'4_Maximum'!S38</f>
        <v>0.09</v>
      </c>
      <c r="AD38" s="20">
        <v>399</v>
      </c>
      <c r="AE38" s="20">
        <v>399</v>
      </c>
      <c r="AF38" s="20">
        <v>399</v>
      </c>
      <c r="AG38" s="20">
        <v>399</v>
      </c>
    </row>
    <row r="39" spans="1:33">
      <c r="A39" s="20">
        <f t="shared" si="5"/>
        <v>38.81</v>
      </c>
      <c r="B39" s="20">
        <f t="shared" si="6"/>
        <v>0.09</v>
      </c>
      <c r="C39" s="20">
        <f t="shared" si="7"/>
        <v>0.09</v>
      </c>
      <c r="D39" s="20">
        <f t="shared" si="8"/>
        <v>0.09</v>
      </c>
      <c r="E39" s="20">
        <f t="shared" si="9"/>
        <v>0.09</v>
      </c>
      <c r="F39" s="20">
        <v>0.2</v>
      </c>
      <c r="G39" s="20">
        <v>0</v>
      </c>
      <c r="Q39" s="20">
        <f>'1_Maximum'!Q39</f>
        <v>38.81</v>
      </c>
      <c r="R39" s="20">
        <f>'1_Maximum'!R39</f>
        <v>1272.33</v>
      </c>
      <c r="S39" s="20">
        <f>'2_Maximum'!R39</f>
        <v>1292.269</v>
      </c>
      <c r="T39" s="20">
        <f>'3_Maximum'!R39</f>
        <v>1312.904</v>
      </c>
      <c r="U39" s="20">
        <f>'4_Maximum'!R39</f>
        <v>1332.277</v>
      </c>
      <c r="V39" s="20">
        <f>'1_Maximum'!T39</f>
        <v>7.14</v>
      </c>
      <c r="W39" s="20">
        <f>'2_Maximum'!T39</f>
        <v>6.89</v>
      </c>
      <c r="X39" s="20">
        <f>'3_Maximum'!T39</f>
        <v>7.47</v>
      </c>
      <c r="Y39" s="20">
        <f>'4_Maximum'!T39</f>
        <v>5.49</v>
      </c>
      <c r="Z39" s="20">
        <f>'1_Maximum'!S39</f>
        <v>0.09</v>
      </c>
      <c r="AA39" s="20">
        <f>'2_Maximum'!S39</f>
        <v>0.09</v>
      </c>
      <c r="AB39" s="20">
        <f>'3_Maximum'!S39</f>
        <v>0.09</v>
      </c>
      <c r="AC39" s="20">
        <f>'4_Maximum'!S39</f>
        <v>0.09</v>
      </c>
      <c r="AD39" s="20">
        <v>399</v>
      </c>
      <c r="AE39" s="20">
        <v>399</v>
      </c>
      <c r="AF39" s="20">
        <v>399</v>
      </c>
      <c r="AG39" s="20">
        <v>399</v>
      </c>
    </row>
    <row r="40" spans="1:33">
      <c r="A40" s="20">
        <f t="shared" si="5"/>
        <v>37.950000000000003</v>
      </c>
      <c r="B40" s="20">
        <f t="shared" si="6"/>
        <v>0.1</v>
      </c>
      <c r="C40" s="20">
        <f t="shared" si="7"/>
        <v>0.1</v>
      </c>
      <c r="D40" s="20">
        <f t="shared" si="8"/>
        <v>0.1</v>
      </c>
      <c r="E40" s="20">
        <f t="shared" si="9"/>
        <v>0.1</v>
      </c>
      <c r="F40" s="20">
        <v>0.2</v>
      </c>
      <c r="G40" s="20">
        <v>0</v>
      </c>
      <c r="Q40" s="20">
        <f>'1_Maximum'!Q40</f>
        <v>37.950000000000003</v>
      </c>
      <c r="R40" s="20">
        <f>'1_Maximum'!R40</f>
        <v>1272.248</v>
      </c>
      <c r="S40" s="20">
        <f>'2_Maximum'!R40</f>
        <v>1292.1849999999999</v>
      </c>
      <c r="T40" s="20">
        <f>'3_Maximum'!R40</f>
        <v>1312.8209999999999</v>
      </c>
      <c r="U40" s="20">
        <f>'4_Maximum'!R40</f>
        <v>1332.1949999999999</v>
      </c>
      <c r="V40" s="20">
        <f>'1_Maximum'!T40</f>
        <v>7.26</v>
      </c>
      <c r="W40" s="20">
        <f>'2_Maximum'!T40</f>
        <v>6.96</v>
      </c>
      <c r="X40" s="20">
        <f>'3_Maximum'!T40</f>
        <v>7.52</v>
      </c>
      <c r="Y40" s="20">
        <f>'4_Maximum'!T40</f>
        <v>5.53</v>
      </c>
      <c r="Z40" s="20">
        <f>'1_Maximum'!S40</f>
        <v>0.1</v>
      </c>
      <c r="AA40" s="20">
        <f>'2_Maximum'!S40</f>
        <v>0.1</v>
      </c>
      <c r="AB40" s="20">
        <f>'3_Maximum'!S40</f>
        <v>0.1</v>
      </c>
      <c r="AC40" s="20">
        <f>'4_Maximum'!S40</f>
        <v>0.1</v>
      </c>
      <c r="AD40" s="20">
        <v>399</v>
      </c>
      <c r="AE40" s="20">
        <v>399</v>
      </c>
      <c r="AF40" s="20">
        <v>399</v>
      </c>
      <c r="AG40" s="20">
        <v>399</v>
      </c>
    </row>
    <row r="41" spans="1:33">
      <c r="A41" s="20">
        <f t="shared" si="5"/>
        <v>37.119999999999997</v>
      </c>
      <c r="B41" s="20">
        <f t="shared" si="6"/>
        <v>0.1</v>
      </c>
      <c r="C41" s="20">
        <f t="shared" si="7"/>
        <v>0.11</v>
      </c>
      <c r="D41" s="20">
        <f t="shared" si="8"/>
        <v>0.1</v>
      </c>
      <c r="E41" s="20">
        <f t="shared" si="9"/>
        <v>0.11</v>
      </c>
      <c r="F41" s="20">
        <v>0.2</v>
      </c>
      <c r="G41" s="20">
        <v>0</v>
      </c>
      <c r="Q41" s="20">
        <f>'1_Maximum'!Q41</f>
        <v>37.119999999999997</v>
      </c>
      <c r="R41" s="20">
        <f>'1_Maximum'!R41</f>
        <v>1272.162</v>
      </c>
      <c r="S41" s="20">
        <f>'2_Maximum'!R41</f>
        <v>1292.097</v>
      </c>
      <c r="T41" s="20">
        <f>'3_Maximum'!R41</f>
        <v>1312.7360000000001</v>
      </c>
      <c r="U41" s="20">
        <f>'4_Maximum'!R41</f>
        <v>1332.107</v>
      </c>
      <c r="V41" s="20">
        <f>'1_Maximum'!T41</f>
        <v>7.31</v>
      </c>
      <c r="W41" s="20">
        <f>'2_Maximum'!T41</f>
        <v>7.07</v>
      </c>
      <c r="X41" s="20">
        <f>'3_Maximum'!T41</f>
        <v>7.6</v>
      </c>
      <c r="Y41" s="20">
        <f>'4_Maximum'!T41</f>
        <v>5.55</v>
      </c>
      <c r="Z41" s="20">
        <f>'1_Maximum'!S41</f>
        <v>0.1</v>
      </c>
      <c r="AA41" s="20">
        <f>'2_Maximum'!S41</f>
        <v>0.11</v>
      </c>
      <c r="AB41" s="20">
        <f>'3_Maximum'!S41</f>
        <v>0.1</v>
      </c>
      <c r="AC41" s="20">
        <f>'4_Maximum'!S41</f>
        <v>0.11</v>
      </c>
      <c r="AD41" s="20">
        <v>399</v>
      </c>
      <c r="AE41" s="20">
        <v>399</v>
      </c>
      <c r="AF41" s="20">
        <v>399</v>
      </c>
      <c r="AG41" s="20">
        <v>399</v>
      </c>
    </row>
    <row r="42" spans="1:33">
      <c r="A42" s="20">
        <f t="shared" si="5"/>
        <v>36.28</v>
      </c>
      <c r="B42" s="20">
        <f t="shared" si="6"/>
        <v>0.09</v>
      </c>
      <c r="C42" s="20">
        <f t="shared" si="7"/>
        <v>0.1</v>
      </c>
      <c r="D42" s="20">
        <f t="shared" si="8"/>
        <v>0.09</v>
      </c>
      <c r="E42" s="20">
        <f t="shared" si="9"/>
        <v>0.09</v>
      </c>
      <c r="F42" s="20">
        <v>0.2</v>
      </c>
      <c r="G42" s="20">
        <v>0</v>
      </c>
      <c r="Q42" s="20">
        <f>'1_Maximum'!Q42</f>
        <v>36.28</v>
      </c>
      <c r="R42" s="20">
        <f>'1_Maximum'!R42</f>
        <v>1272.0840000000001</v>
      </c>
      <c r="S42" s="20">
        <f>'2_Maximum'!R42</f>
        <v>1292.0170000000001</v>
      </c>
      <c r="T42" s="20">
        <f>'3_Maximum'!R42</f>
        <v>1312.6569999999999</v>
      </c>
      <c r="U42" s="20">
        <f>'4_Maximum'!R42</f>
        <v>1332.028</v>
      </c>
      <c r="V42" s="20">
        <f>'1_Maximum'!T42</f>
        <v>7.47</v>
      </c>
      <c r="W42" s="20">
        <f>'2_Maximum'!T42</f>
        <v>7.09</v>
      </c>
      <c r="X42" s="20">
        <f>'3_Maximum'!T42</f>
        <v>7.64</v>
      </c>
      <c r="Y42" s="20">
        <f>'4_Maximum'!T42</f>
        <v>5.64</v>
      </c>
      <c r="Z42" s="20">
        <f>'1_Maximum'!S42</f>
        <v>0.09</v>
      </c>
      <c r="AA42" s="20">
        <f>'2_Maximum'!S42</f>
        <v>0.1</v>
      </c>
      <c r="AB42" s="20">
        <f>'3_Maximum'!S42</f>
        <v>0.09</v>
      </c>
      <c r="AC42" s="20">
        <f>'4_Maximum'!S42</f>
        <v>0.09</v>
      </c>
      <c r="AD42" s="20">
        <v>399</v>
      </c>
      <c r="AE42" s="20">
        <v>399</v>
      </c>
      <c r="AF42" s="20">
        <v>399</v>
      </c>
      <c r="AG42" s="20">
        <v>399</v>
      </c>
    </row>
    <row r="43" spans="1:33">
      <c r="A43" s="20">
        <f t="shared" si="5"/>
        <v>35.450000000000003</v>
      </c>
      <c r="B43" s="20">
        <f t="shared" si="6"/>
        <v>0.1</v>
      </c>
      <c r="C43" s="20">
        <f t="shared" si="7"/>
        <v>0.1</v>
      </c>
      <c r="D43" s="20">
        <f t="shared" si="8"/>
        <v>0.1</v>
      </c>
      <c r="E43" s="20">
        <f t="shared" si="9"/>
        <v>0.1</v>
      </c>
      <c r="F43" s="20">
        <v>0.2</v>
      </c>
      <c r="G43" s="20">
        <v>0</v>
      </c>
      <c r="Q43" s="20">
        <f>'1_Maximum'!Q43</f>
        <v>35.450000000000003</v>
      </c>
      <c r="R43" s="20">
        <f>'1_Maximum'!R43</f>
        <v>1272.0029999999999</v>
      </c>
      <c r="S43" s="20">
        <f>'2_Maximum'!R43</f>
        <v>1291.9349999999999</v>
      </c>
      <c r="T43" s="20">
        <f>'3_Maximum'!R43</f>
        <v>1312.577</v>
      </c>
      <c r="U43" s="20">
        <f>'4_Maximum'!R43</f>
        <v>1331.9459999999999</v>
      </c>
      <c r="V43" s="20">
        <f>'1_Maximum'!T43</f>
        <v>7.5</v>
      </c>
      <c r="W43" s="20">
        <f>'2_Maximum'!T43</f>
        <v>7.18</v>
      </c>
      <c r="X43" s="20">
        <f>'3_Maximum'!T43</f>
        <v>7.72</v>
      </c>
      <c r="Y43" s="20">
        <f>'4_Maximum'!T43</f>
        <v>5.68</v>
      </c>
      <c r="Z43" s="20">
        <f>'1_Maximum'!S43</f>
        <v>0.1</v>
      </c>
      <c r="AA43" s="20">
        <f>'2_Maximum'!S43</f>
        <v>0.1</v>
      </c>
      <c r="AB43" s="20">
        <f>'3_Maximum'!S43</f>
        <v>0.1</v>
      </c>
      <c r="AC43" s="20">
        <f>'4_Maximum'!S43</f>
        <v>0.1</v>
      </c>
      <c r="AD43" s="20">
        <v>399</v>
      </c>
      <c r="AE43" s="20">
        <v>399</v>
      </c>
      <c r="AF43" s="20">
        <v>399</v>
      </c>
      <c r="AG43" s="20">
        <v>399</v>
      </c>
    </row>
    <row r="44" spans="1:33">
      <c r="A44" s="20">
        <f t="shared" si="5"/>
        <v>34.619999999999997</v>
      </c>
      <c r="B44" s="20">
        <f t="shared" si="6"/>
        <v>0.09</v>
      </c>
      <c r="C44" s="20">
        <f t="shared" si="7"/>
        <v>0.09</v>
      </c>
      <c r="D44" s="20">
        <f t="shared" si="8"/>
        <v>0.09</v>
      </c>
      <c r="E44" s="20">
        <f t="shared" si="9"/>
        <v>0.09</v>
      </c>
      <c r="F44" s="20">
        <v>0.2</v>
      </c>
      <c r="G44" s="20">
        <v>0</v>
      </c>
      <c r="Q44" s="20">
        <f>'1_Maximum'!Q44</f>
        <v>34.619999999999997</v>
      </c>
      <c r="R44" s="20">
        <f>'1_Maximum'!R44</f>
        <v>1271.9269999999999</v>
      </c>
      <c r="S44" s="20">
        <f>'2_Maximum'!R44</f>
        <v>1291.857</v>
      </c>
      <c r="T44" s="20">
        <f>'3_Maximum'!R44</f>
        <v>1312.501</v>
      </c>
      <c r="U44" s="20">
        <f>'4_Maximum'!R44</f>
        <v>1331.8710000000001</v>
      </c>
      <c r="V44" s="20">
        <f>'1_Maximum'!T44</f>
        <v>7.52</v>
      </c>
      <c r="W44" s="20">
        <f>'2_Maximum'!T44</f>
        <v>7.21</v>
      </c>
      <c r="X44" s="20">
        <f>'3_Maximum'!T44</f>
        <v>7.77</v>
      </c>
      <c r="Y44" s="20">
        <f>'4_Maximum'!T44</f>
        <v>5.72</v>
      </c>
      <c r="Z44" s="20">
        <f>'1_Maximum'!S44</f>
        <v>0.09</v>
      </c>
      <c r="AA44" s="20">
        <f>'2_Maximum'!S44</f>
        <v>0.09</v>
      </c>
      <c r="AB44" s="20">
        <f>'3_Maximum'!S44</f>
        <v>0.09</v>
      </c>
      <c r="AC44" s="20">
        <f>'4_Maximum'!S44</f>
        <v>0.09</v>
      </c>
      <c r="AD44" s="20">
        <v>399</v>
      </c>
      <c r="AE44" s="20">
        <v>399</v>
      </c>
      <c r="AF44" s="20">
        <v>399</v>
      </c>
      <c r="AG44" s="20">
        <v>399</v>
      </c>
    </row>
    <row r="45" spans="1:33">
      <c r="A45" s="20">
        <f t="shared" si="5"/>
        <v>33.79</v>
      </c>
      <c r="B45" s="20">
        <f t="shared" si="6"/>
        <v>0.09</v>
      </c>
      <c r="C45" s="20">
        <f t="shared" si="7"/>
        <v>0.1</v>
      </c>
      <c r="D45" s="20">
        <f t="shared" si="8"/>
        <v>0.09</v>
      </c>
      <c r="E45" s="20">
        <f t="shared" si="9"/>
        <v>0.1</v>
      </c>
      <c r="F45" s="20">
        <v>0.2</v>
      </c>
      <c r="G45" s="20">
        <v>0</v>
      </c>
      <c r="Q45" s="20">
        <f>'1_Maximum'!Q45</f>
        <v>33.79</v>
      </c>
      <c r="R45" s="20">
        <f>'1_Maximum'!R45</f>
        <v>1271.8489999999999</v>
      </c>
      <c r="S45" s="20">
        <f>'2_Maximum'!R45</f>
        <v>1291.778</v>
      </c>
      <c r="T45" s="20">
        <f>'3_Maximum'!R45</f>
        <v>1312.423</v>
      </c>
      <c r="U45" s="20">
        <f>'4_Maximum'!R45</f>
        <v>1331.7909999999999</v>
      </c>
      <c r="V45" s="20">
        <f>'1_Maximum'!T45</f>
        <v>7.59</v>
      </c>
      <c r="W45" s="20">
        <f>'2_Maximum'!T45</f>
        <v>7.25</v>
      </c>
      <c r="X45" s="20">
        <f>'3_Maximum'!T45</f>
        <v>7.9</v>
      </c>
      <c r="Y45" s="20">
        <f>'4_Maximum'!T45</f>
        <v>5.77</v>
      </c>
      <c r="Z45" s="20">
        <f>'1_Maximum'!S45</f>
        <v>0.09</v>
      </c>
      <c r="AA45" s="20">
        <f>'2_Maximum'!S45</f>
        <v>0.1</v>
      </c>
      <c r="AB45" s="20">
        <f>'3_Maximum'!S45</f>
        <v>0.09</v>
      </c>
      <c r="AC45" s="20">
        <f>'4_Maximum'!S45</f>
        <v>0.1</v>
      </c>
      <c r="AD45" s="20">
        <v>399</v>
      </c>
      <c r="AE45" s="20">
        <v>399</v>
      </c>
      <c r="AF45" s="20">
        <v>399</v>
      </c>
      <c r="AG45" s="20">
        <v>399</v>
      </c>
    </row>
    <row r="46" spans="1:33">
      <c r="A46" s="20">
        <f t="shared" si="5"/>
        <v>32.950000000000003</v>
      </c>
      <c r="B46" s="20">
        <f t="shared" si="6"/>
        <v>0.09</v>
      </c>
      <c r="C46" s="20">
        <f t="shared" si="7"/>
        <v>0.09</v>
      </c>
      <c r="D46" s="20">
        <f t="shared" si="8"/>
        <v>0.1</v>
      </c>
      <c r="E46" s="20">
        <f t="shared" si="9"/>
        <v>0.1</v>
      </c>
      <c r="F46" s="20">
        <v>0.2</v>
      </c>
      <c r="G46" s="20">
        <v>0</v>
      </c>
      <c r="Q46" s="20">
        <f>'1_Maximum'!Q46</f>
        <v>32.950000000000003</v>
      </c>
      <c r="R46" s="20">
        <f>'1_Maximum'!R46</f>
        <v>1271.77</v>
      </c>
      <c r="S46" s="20">
        <f>'2_Maximum'!R46</f>
        <v>1291.6990000000001</v>
      </c>
      <c r="T46" s="20">
        <f>'3_Maximum'!R46</f>
        <v>1312.3430000000001</v>
      </c>
      <c r="U46" s="20">
        <f>'4_Maximum'!R46</f>
        <v>1331.71</v>
      </c>
      <c r="V46" s="20">
        <f>'1_Maximum'!T46</f>
        <v>7.65</v>
      </c>
      <c r="W46" s="20">
        <f>'2_Maximum'!T46</f>
        <v>7.29</v>
      </c>
      <c r="X46" s="20">
        <f>'3_Maximum'!T46</f>
        <v>7.86</v>
      </c>
      <c r="Y46" s="20">
        <f>'4_Maximum'!T46</f>
        <v>5.83</v>
      </c>
      <c r="Z46" s="20">
        <f>'1_Maximum'!S46</f>
        <v>0.09</v>
      </c>
      <c r="AA46" s="20">
        <f>'2_Maximum'!S46</f>
        <v>0.09</v>
      </c>
      <c r="AB46" s="20">
        <f>'3_Maximum'!S46</f>
        <v>0.1</v>
      </c>
      <c r="AC46" s="20">
        <f>'4_Maximum'!S46</f>
        <v>0.1</v>
      </c>
      <c r="AD46" s="20">
        <v>399</v>
      </c>
      <c r="AE46" s="20">
        <v>399</v>
      </c>
      <c r="AF46" s="20">
        <v>399</v>
      </c>
      <c r="AG46" s="20">
        <v>399</v>
      </c>
    </row>
    <row r="47" spans="1:33">
      <c r="A47" s="20">
        <f t="shared" si="5"/>
        <v>32.11</v>
      </c>
      <c r="B47" s="20">
        <f t="shared" si="6"/>
        <v>0.1</v>
      </c>
      <c r="C47" s="20">
        <f t="shared" si="7"/>
        <v>0.1</v>
      </c>
      <c r="D47" s="20">
        <f t="shared" si="8"/>
        <v>0.1</v>
      </c>
      <c r="E47" s="20">
        <f t="shared" si="9"/>
        <v>0.09</v>
      </c>
      <c r="F47" s="20">
        <v>0.2</v>
      </c>
      <c r="G47" s="20">
        <v>0</v>
      </c>
      <c r="Q47" s="20">
        <f>'1_Maximum'!Q47</f>
        <v>32.11</v>
      </c>
      <c r="R47" s="20">
        <f>'1_Maximum'!R47</f>
        <v>1271.6890000000001</v>
      </c>
      <c r="S47" s="20">
        <f>'2_Maximum'!R47</f>
        <v>1291.6179999999999</v>
      </c>
      <c r="T47" s="20">
        <f>'3_Maximum'!R47</f>
        <v>1312.2619999999999</v>
      </c>
      <c r="U47" s="20">
        <f>'4_Maximum'!R47</f>
        <v>1331.6310000000001</v>
      </c>
      <c r="V47" s="20">
        <f>'1_Maximum'!T47</f>
        <v>7.71</v>
      </c>
      <c r="W47" s="20">
        <f>'2_Maximum'!T47</f>
        <v>7.43</v>
      </c>
      <c r="X47" s="20">
        <f>'3_Maximum'!T47</f>
        <v>7.92</v>
      </c>
      <c r="Y47" s="20">
        <f>'4_Maximum'!T47</f>
        <v>5.86</v>
      </c>
      <c r="Z47" s="20">
        <f>'1_Maximum'!S47</f>
        <v>0.1</v>
      </c>
      <c r="AA47" s="20">
        <f>'2_Maximum'!S47</f>
        <v>0.1</v>
      </c>
      <c r="AB47" s="20">
        <f>'3_Maximum'!S47</f>
        <v>0.1</v>
      </c>
      <c r="AC47" s="20">
        <f>'4_Maximum'!S47</f>
        <v>0.09</v>
      </c>
      <c r="AD47" s="20">
        <v>399</v>
      </c>
      <c r="AE47" s="20">
        <v>399</v>
      </c>
      <c r="AF47" s="20">
        <v>399</v>
      </c>
      <c r="AG47" s="20">
        <v>399</v>
      </c>
    </row>
    <row r="48" spans="1:33">
      <c r="A48" s="20">
        <f t="shared" si="5"/>
        <v>31.29</v>
      </c>
      <c r="B48" s="20">
        <f t="shared" si="6"/>
        <v>0.09</v>
      </c>
      <c r="C48" s="20">
        <f t="shared" si="7"/>
        <v>0.1</v>
      </c>
      <c r="D48" s="20">
        <f t="shared" si="8"/>
        <v>0.09</v>
      </c>
      <c r="E48" s="20">
        <f t="shared" si="9"/>
        <v>0.09</v>
      </c>
      <c r="F48" s="20">
        <v>0.2</v>
      </c>
      <c r="G48" s="20">
        <v>0</v>
      </c>
      <c r="Q48" s="20">
        <f>'1_Maximum'!Q48</f>
        <v>31.29</v>
      </c>
      <c r="R48" s="20">
        <f>'1_Maximum'!R48</f>
        <v>1271.6120000000001</v>
      </c>
      <c r="S48" s="20">
        <f>'2_Maximum'!R48</f>
        <v>1291.54</v>
      </c>
      <c r="T48" s="20">
        <f>'3_Maximum'!R48</f>
        <v>1312.1859999999999</v>
      </c>
      <c r="U48" s="20">
        <f>'4_Maximum'!R48</f>
        <v>1331.5540000000001</v>
      </c>
      <c r="V48" s="20">
        <f>'1_Maximum'!T48</f>
        <v>7.77</v>
      </c>
      <c r="W48" s="20">
        <f>'2_Maximum'!T48</f>
        <v>7.45</v>
      </c>
      <c r="X48" s="20">
        <f>'3_Maximum'!T48</f>
        <v>7.9</v>
      </c>
      <c r="Y48" s="20">
        <f>'4_Maximum'!T48</f>
        <v>5.89</v>
      </c>
      <c r="Z48" s="20">
        <f>'1_Maximum'!S48</f>
        <v>0.09</v>
      </c>
      <c r="AA48" s="20">
        <f>'2_Maximum'!S48</f>
        <v>0.1</v>
      </c>
      <c r="AB48" s="20">
        <f>'3_Maximum'!S48</f>
        <v>0.09</v>
      </c>
      <c r="AC48" s="20">
        <f>'4_Maximum'!S48</f>
        <v>0.09</v>
      </c>
      <c r="AD48" s="20">
        <v>399</v>
      </c>
      <c r="AE48" s="20">
        <v>399</v>
      </c>
      <c r="AF48" s="20">
        <v>399</v>
      </c>
      <c r="AG48" s="20">
        <v>399</v>
      </c>
    </row>
    <row r="49" spans="1:33">
      <c r="A49" s="20">
        <f t="shared" si="5"/>
        <v>30.43</v>
      </c>
      <c r="B49" s="20">
        <f t="shared" si="6"/>
        <v>0.09</v>
      </c>
      <c r="C49" s="20">
        <f t="shared" si="7"/>
        <v>0.09</v>
      </c>
      <c r="D49" s="20">
        <f t="shared" si="8"/>
        <v>0.09</v>
      </c>
      <c r="E49" s="20">
        <f t="shared" si="9"/>
        <v>0.09</v>
      </c>
      <c r="F49" s="20">
        <v>0.2</v>
      </c>
      <c r="G49" s="20">
        <v>0</v>
      </c>
      <c r="Q49" s="20">
        <f>'1_Maximum'!Q49</f>
        <v>30.43</v>
      </c>
      <c r="R49" s="20">
        <f>'1_Maximum'!R49</f>
        <v>1271.5340000000001</v>
      </c>
      <c r="S49" s="20">
        <f>'2_Maximum'!R49</f>
        <v>1291.461</v>
      </c>
      <c r="T49" s="20">
        <f>'3_Maximum'!R49</f>
        <v>1312.107</v>
      </c>
      <c r="U49" s="20">
        <f>'4_Maximum'!R49</f>
        <v>1331.4749999999999</v>
      </c>
      <c r="V49" s="20">
        <f>'1_Maximum'!T49</f>
        <v>7.85</v>
      </c>
      <c r="W49" s="20">
        <f>'2_Maximum'!T49</f>
        <v>7.52</v>
      </c>
      <c r="X49" s="20">
        <f>'3_Maximum'!T49</f>
        <v>8.02</v>
      </c>
      <c r="Y49" s="20">
        <f>'4_Maximum'!T49</f>
        <v>5.95</v>
      </c>
      <c r="Z49" s="20">
        <f>'1_Maximum'!S49</f>
        <v>0.09</v>
      </c>
      <c r="AA49" s="20">
        <f>'2_Maximum'!S49</f>
        <v>0.09</v>
      </c>
      <c r="AB49" s="20">
        <f>'3_Maximum'!S49</f>
        <v>0.09</v>
      </c>
      <c r="AC49" s="20">
        <f>'4_Maximum'!S49</f>
        <v>0.09</v>
      </c>
      <c r="AD49" s="20">
        <v>399</v>
      </c>
      <c r="AE49" s="20">
        <v>399</v>
      </c>
      <c r="AF49" s="20">
        <v>399</v>
      </c>
      <c r="AG49" s="20">
        <v>399</v>
      </c>
    </row>
    <row r="50" spans="1:33">
      <c r="A50" s="20">
        <f t="shared" si="5"/>
        <v>29.59</v>
      </c>
      <c r="B50" s="20">
        <f t="shared" si="6"/>
        <v>0.09</v>
      </c>
      <c r="C50" s="20">
        <f t="shared" si="7"/>
        <v>0.09</v>
      </c>
      <c r="D50" s="20">
        <f t="shared" si="8"/>
        <v>0.09</v>
      </c>
      <c r="E50" s="20">
        <f t="shared" si="9"/>
        <v>0.09</v>
      </c>
      <c r="F50" s="20">
        <v>0.2</v>
      </c>
      <c r="G50" s="20">
        <v>0</v>
      </c>
      <c r="Q50" s="20">
        <f>'1_Maximum'!Q50</f>
        <v>29.59</v>
      </c>
      <c r="R50" s="20">
        <f>'1_Maximum'!R50</f>
        <v>1271.4559999999999</v>
      </c>
      <c r="S50" s="20">
        <f>'2_Maximum'!R50</f>
        <v>1291.383</v>
      </c>
      <c r="T50" s="20">
        <f>'3_Maximum'!R50</f>
        <v>1312.0309999999999</v>
      </c>
      <c r="U50" s="20">
        <f>'4_Maximum'!R50</f>
        <v>1331.3969999999999</v>
      </c>
      <c r="V50" s="20">
        <f>'1_Maximum'!T50</f>
        <v>7.91</v>
      </c>
      <c r="W50" s="20">
        <f>'2_Maximum'!T50</f>
        <v>7.54</v>
      </c>
      <c r="X50" s="20">
        <f>'3_Maximum'!T50</f>
        <v>8.08</v>
      </c>
      <c r="Y50" s="20">
        <f>'4_Maximum'!T50</f>
        <v>6.02</v>
      </c>
      <c r="Z50" s="20">
        <f>'1_Maximum'!S50</f>
        <v>0.09</v>
      </c>
      <c r="AA50" s="20">
        <f>'2_Maximum'!S50</f>
        <v>0.09</v>
      </c>
      <c r="AB50" s="20">
        <f>'3_Maximum'!S50</f>
        <v>0.09</v>
      </c>
      <c r="AC50" s="20">
        <f>'4_Maximum'!S50</f>
        <v>0.09</v>
      </c>
      <c r="AD50" s="20">
        <v>399</v>
      </c>
      <c r="AE50" s="20">
        <v>399</v>
      </c>
      <c r="AF50" s="20">
        <v>399</v>
      </c>
      <c r="AG50" s="20">
        <v>399</v>
      </c>
    </row>
    <row r="51" spans="1:33">
      <c r="A51" s="20">
        <f t="shared" si="5"/>
        <v>28.74</v>
      </c>
      <c r="B51" s="20">
        <f t="shared" si="6"/>
        <v>0.1</v>
      </c>
      <c r="C51" s="20">
        <f t="shared" si="7"/>
        <v>0.1</v>
      </c>
      <c r="D51" s="20">
        <f t="shared" si="8"/>
        <v>0.1</v>
      </c>
      <c r="E51" s="20">
        <f t="shared" si="9"/>
        <v>0.1</v>
      </c>
      <c r="F51" s="20">
        <v>0.2</v>
      </c>
      <c r="G51" s="20">
        <v>0</v>
      </c>
      <c r="Q51" s="20">
        <f>'1_Maximum'!Q51</f>
        <v>28.74</v>
      </c>
      <c r="R51" s="20">
        <f>'1_Maximum'!R51</f>
        <v>1271.374</v>
      </c>
      <c r="S51" s="20">
        <f>'2_Maximum'!R51</f>
        <v>1291.3</v>
      </c>
      <c r="T51" s="20">
        <f>'3_Maximum'!R51</f>
        <v>1311.9490000000001</v>
      </c>
      <c r="U51" s="20">
        <f>'4_Maximum'!R51</f>
        <v>1331.3140000000001</v>
      </c>
      <c r="V51" s="20">
        <f>'1_Maximum'!T51</f>
        <v>7.92</v>
      </c>
      <c r="W51" s="20">
        <f>'2_Maximum'!T51</f>
        <v>7.63</v>
      </c>
      <c r="X51" s="20">
        <f>'3_Maximum'!T51</f>
        <v>8.1</v>
      </c>
      <c r="Y51" s="20">
        <f>'4_Maximum'!T51</f>
        <v>6.04</v>
      </c>
      <c r="Z51" s="20">
        <f>'1_Maximum'!S51</f>
        <v>0.1</v>
      </c>
      <c r="AA51" s="20">
        <f>'2_Maximum'!S51</f>
        <v>0.1</v>
      </c>
      <c r="AB51" s="20">
        <f>'3_Maximum'!S51</f>
        <v>0.1</v>
      </c>
      <c r="AC51" s="20">
        <f>'4_Maximum'!S51</f>
        <v>0.1</v>
      </c>
      <c r="AD51" s="20">
        <v>399</v>
      </c>
      <c r="AE51" s="20">
        <v>399</v>
      </c>
      <c r="AF51" s="20">
        <v>399</v>
      </c>
      <c r="AG51" s="20">
        <v>399</v>
      </c>
    </row>
    <row r="52" spans="1:33">
      <c r="A52" s="20">
        <f t="shared" si="5"/>
        <v>27.91</v>
      </c>
      <c r="B52" s="20">
        <f t="shared" si="6"/>
        <v>0.09</v>
      </c>
      <c r="C52" s="20">
        <f t="shared" si="7"/>
        <v>0.1</v>
      </c>
      <c r="D52" s="20">
        <f t="shared" si="8"/>
        <v>0.09</v>
      </c>
      <c r="E52" s="20">
        <f t="shared" si="9"/>
        <v>0.1</v>
      </c>
      <c r="F52" s="20">
        <v>0.2</v>
      </c>
      <c r="G52" s="20">
        <v>0</v>
      </c>
      <c r="Q52" s="20">
        <f>'1_Maximum'!Q52</f>
        <v>27.91</v>
      </c>
      <c r="R52" s="20">
        <f>'1_Maximum'!R52</f>
        <v>1271.297</v>
      </c>
      <c r="S52" s="20">
        <f>'2_Maximum'!R52</f>
        <v>1291.22</v>
      </c>
      <c r="T52" s="20">
        <f>'3_Maximum'!R52</f>
        <v>1311.8710000000001</v>
      </c>
      <c r="U52" s="20">
        <f>'4_Maximum'!R52</f>
        <v>1331.2339999999999</v>
      </c>
      <c r="V52" s="20">
        <f>'1_Maximum'!T52</f>
        <v>7.95</v>
      </c>
      <c r="W52" s="20">
        <f>'2_Maximum'!T52</f>
        <v>7.75</v>
      </c>
      <c r="X52" s="20">
        <f>'3_Maximum'!T52</f>
        <v>8.16</v>
      </c>
      <c r="Y52" s="20">
        <f>'4_Maximum'!T52</f>
        <v>6.1</v>
      </c>
      <c r="Z52" s="20">
        <f>'1_Maximum'!S52</f>
        <v>0.09</v>
      </c>
      <c r="AA52" s="20">
        <f>'2_Maximum'!S52</f>
        <v>0.1</v>
      </c>
      <c r="AB52" s="20">
        <f>'3_Maximum'!S52</f>
        <v>0.09</v>
      </c>
      <c r="AC52" s="20">
        <f>'4_Maximum'!S52</f>
        <v>0.1</v>
      </c>
      <c r="AD52" s="20">
        <v>399</v>
      </c>
      <c r="AE52" s="20">
        <v>399</v>
      </c>
      <c r="AF52" s="20">
        <v>399</v>
      </c>
      <c r="AG52" s="20">
        <v>399</v>
      </c>
    </row>
    <row r="53" spans="1:33">
      <c r="A53" s="20">
        <f t="shared" si="5"/>
        <v>27.08</v>
      </c>
      <c r="B53" s="20">
        <f t="shared" si="6"/>
        <v>0.1</v>
      </c>
      <c r="C53" s="20">
        <f t="shared" si="7"/>
        <v>0.1</v>
      </c>
      <c r="D53" s="20">
        <f t="shared" si="8"/>
        <v>0.1</v>
      </c>
      <c r="E53" s="20">
        <f t="shared" si="9"/>
        <v>0.1</v>
      </c>
      <c r="F53" s="20">
        <v>0.2</v>
      </c>
      <c r="G53" s="20">
        <v>0</v>
      </c>
      <c r="Q53" s="20">
        <f>'1_Maximum'!Q53</f>
        <v>27.08</v>
      </c>
      <c r="R53" s="20">
        <f>'1_Maximum'!R53</f>
        <v>1271.2159999999999</v>
      </c>
      <c r="S53" s="20">
        <f>'2_Maximum'!R53</f>
        <v>1291.1389999999999</v>
      </c>
      <c r="T53" s="20">
        <f>'3_Maximum'!R53</f>
        <v>1311.7919999999999</v>
      </c>
      <c r="U53" s="20">
        <f>'4_Maximum'!R53</f>
        <v>1331.1510000000001</v>
      </c>
      <c r="V53" s="20">
        <f>'1_Maximum'!T53</f>
        <v>8</v>
      </c>
      <c r="W53" s="20">
        <f>'2_Maximum'!T53</f>
        <v>7.77</v>
      </c>
      <c r="X53" s="20">
        <f>'3_Maximum'!T53</f>
        <v>8.16</v>
      </c>
      <c r="Y53" s="20">
        <f>'4_Maximum'!T53</f>
        <v>6.14</v>
      </c>
      <c r="Z53" s="20">
        <f>'1_Maximum'!S53</f>
        <v>0.1</v>
      </c>
      <c r="AA53" s="20">
        <f>'2_Maximum'!S53</f>
        <v>0.1</v>
      </c>
      <c r="AB53" s="20">
        <f>'3_Maximum'!S53</f>
        <v>0.1</v>
      </c>
      <c r="AC53" s="20">
        <f>'4_Maximum'!S53</f>
        <v>0.1</v>
      </c>
      <c r="AD53" s="20">
        <v>399</v>
      </c>
      <c r="AE53" s="20">
        <v>399</v>
      </c>
      <c r="AF53" s="20">
        <v>399</v>
      </c>
      <c r="AG53" s="20">
        <v>399</v>
      </c>
    </row>
    <row r="54" spans="1:33">
      <c r="A54" s="20">
        <f t="shared" si="5"/>
        <v>26.24</v>
      </c>
      <c r="B54" s="20">
        <f t="shared" si="6"/>
        <v>0.09</v>
      </c>
      <c r="C54" s="20">
        <f t="shared" si="7"/>
        <v>0.09</v>
      </c>
      <c r="D54" s="20">
        <f t="shared" si="8"/>
        <v>0.09</v>
      </c>
      <c r="E54" s="20">
        <f t="shared" si="9"/>
        <v>0.09</v>
      </c>
      <c r="F54" s="20">
        <v>0.2</v>
      </c>
      <c r="G54" s="20">
        <v>0</v>
      </c>
      <c r="Q54" s="20">
        <f>'1_Maximum'!Q54</f>
        <v>26.24</v>
      </c>
      <c r="R54" s="20">
        <f>'1_Maximum'!R54</f>
        <v>1271.1400000000001</v>
      </c>
      <c r="S54" s="20">
        <f>'2_Maximum'!R54</f>
        <v>1291.06</v>
      </c>
      <c r="T54" s="20">
        <f>'3_Maximum'!R54</f>
        <v>1311.7149999999999</v>
      </c>
      <c r="U54" s="20">
        <f>'4_Maximum'!R54</f>
        <v>1331.0730000000001</v>
      </c>
      <c r="V54" s="20">
        <f>'1_Maximum'!T54</f>
        <v>7.98</v>
      </c>
      <c r="W54" s="20">
        <f>'2_Maximum'!T54</f>
        <v>7.75</v>
      </c>
      <c r="X54" s="20">
        <f>'3_Maximum'!T54</f>
        <v>8.2100000000000009</v>
      </c>
      <c r="Y54" s="20">
        <f>'4_Maximum'!T54</f>
        <v>6.19</v>
      </c>
      <c r="Z54" s="20">
        <f>'1_Maximum'!S54</f>
        <v>0.09</v>
      </c>
      <c r="AA54" s="20">
        <f>'2_Maximum'!S54</f>
        <v>0.09</v>
      </c>
      <c r="AB54" s="20">
        <f>'3_Maximum'!S54</f>
        <v>0.09</v>
      </c>
      <c r="AC54" s="20">
        <f>'4_Maximum'!S54</f>
        <v>0.09</v>
      </c>
      <c r="AD54" s="20">
        <v>399</v>
      </c>
      <c r="AE54" s="20">
        <v>399</v>
      </c>
      <c r="AF54" s="20">
        <v>399</v>
      </c>
      <c r="AG54" s="20">
        <v>399</v>
      </c>
    </row>
    <row r="55" spans="1:33">
      <c r="A55" s="20">
        <f t="shared" si="5"/>
        <v>25.4</v>
      </c>
      <c r="B55" s="20">
        <f t="shared" si="6"/>
        <v>0.09</v>
      </c>
      <c r="C55" s="20">
        <f t="shared" si="7"/>
        <v>0.09</v>
      </c>
      <c r="D55" s="20">
        <f t="shared" si="8"/>
        <v>0.09</v>
      </c>
      <c r="E55" s="20">
        <f t="shared" si="9"/>
        <v>0.1</v>
      </c>
      <c r="F55" s="20">
        <v>0.2</v>
      </c>
      <c r="G55" s="20">
        <v>0</v>
      </c>
      <c r="Q55" s="20">
        <f>'1_Maximum'!Q55</f>
        <v>25.4</v>
      </c>
      <c r="R55" s="20">
        <f>'1_Maximum'!R55</f>
        <v>1271.0630000000001</v>
      </c>
      <c r="S55" s="20">
        <f>'2_Maximum'!R55</f>
        <v>1290.981</v>
      </c>
      <c r="T55" s="20">
        <f>'3_Maximum'!R55</f>
        <v>1311.6369999999999</v>
      </c>
      <c r="U55" s="20">
        <f>'4_Maximum'!R55</f>
        <v>1330.992</v>
      </c>
      <c r="V55" s="20">
        <f>'1_Maximum'!T55</f>
        <v>7.97</v>
      </c>
      <c r="W55" s="20">
        <f>'2_Maximum'!T55</f>
        <v>7.83</v>
      </c>
      <c r="X55" s="20">
        <f>'3_Maximum'!T55</f>
        <v>8.2200000000000006</v>
      </c>
      <c r="Y55" s="20">
        <f>'4_Maximum'!T55</f>
        <v>6.24</v>
      </c>
      <c r="Z55" s="20">
        <f>'1_Maximum'!S55</f>
        <v>0.09</v>
      </c>
      <c r="AA55" s="20">
        <f>'2_Maximum'!S55</f>
        <v>0.09</v>
      </c>
      <c r="AB55" s="20">
        <f>'3_Maximum'!S55</f>
        <v>0.09</v>
      </c>
      <c r="AC55" s="20">
        <f>'4_Maximum'!S55</f>
        <v>0.1</v>
      </c>
      <c r="AD55" s="20">
        <v>399</v>
      </c>
      <c r="AE55" s="20">
        <v>399</v>
      </c>
      <c r="AF55" s="20">
        <v>399</v>
      </c>
      <c r="AG55" s="20">
        <v>399</v>
      </c>
    </row>
    <row r="56" spans="1:33">
      <c r="A56" s="20">
        <f t="shared" si="5"/>
        <v>24.52</v>
      </c>
      <c r="B56" s="20">
        <f t="shared" si="6"/>
        <v>0.09</v>
      </c>
      <c r="C56" s="20">
        <f t="shared" si="7"/>
        <v>0.09</v>
      </c>
      <c r="D56" s="20">
        <f t="shared" si="8"/>
        <v>0.09</v>
      </c>
      <c r="E56" s="20">
        <f t="shared" si="9"/>
        <v>0.09</v>
      </c>
      <c r="F56" s="20">
        <v>0.2</v>
      </c>
      <c r="G56" s="20">
        <v>0</v>
      </c>
      <c r="Q56" s="20">
        <f>'1_Maximum'!Q56</f>
        <v>24.52</v>
      </c>
      <c r="R56" s="20">
        <f>'1_Maximum'!R56</f>
        <v>1270.9860000000001</v>
      </c>
      <c r="S56" s="20">
        <f>'2_Maximum'!R56</f>
        <v>1290.9010000000001</v>
      </c>
      <c r="T56" s="20">
        <f>'3_Maximum'!R56</f>
        <v>1311.56</v>
      </c>
      <c r="U56" s="20">
        <f>'4_Maximum'!R56</f>
        <v>1330.913</v>
      </c>
      <c r="V56" s="20">
        <f>'1_Maximum'!T56</f>
        <v>8.0299999999999994</v>
      </c>
      <c r="W56" s="20">
        <f>'2_Maximum'!T56</f>
        <v>7.95</v>
      </c>
      <c r="X56" s="20">
        <f>'3_Maximum'!T56</f>
        <v>8.34</v>
      </c>
      <c r="Y56" s="20">
        <f>'4_Maximum'!T56</f>
        <v>6.22</v>
      </c>
      <c r="Z56" s="20">
        <f>'1_Maximum'!S56</f>
        <v>0.09</v>
      </c>
      <c r="AA56" s="20">
        <f>'2_Maximum'!S56</f>
        <v>0.09</v>
      </c>
      <c r="AB56" s="20">
        <f>'3_Maximum'!S56</f>
        <v>0.09</v>
      </c>
      <c r="AC56" s="20">
        <f>'4_Maximum'!S56</f>
        <v>0.09</v>
      </c>
      <c r="AD56" s="20">
        <v>399</v>
      </c>
      <c r="AE56" s="20">
        <v>399</v>
      </c>
      <c r="AF56" s="20">
        <v>399</v>
      </c>
      <c r="AG56" s="20">
        <v>399</v>
      </c>
    </row>
    <row r="57" spans="1:33">
      <c r="A57" s="20">
        <f t="shared" si="5"/>
        <v>23.69</v>
      </c>
      <c r="B57" s="20">
        <f t="shared" si="6"/>
        <v>0.1</v>
      </c>
      <c r="C57" s="20">
        <f t="shared" si="7"/>
        <v>0.1</v>
      </c>
      <c r="D57" s="20">
        <f t="shared" si="8"/>
        <v>0.1</v>
      </c>
      <c r="E57" s="20">
        <f t="shared" si="9"/>
        <v>0.1</v>
      </c>
      <c r="F57" s="20">
        <v>0.2</v>
      </c>
      <c r="G57" s="20">
        <v>0</v>
      </c>
      <c r="Q57" s="20">
        <f>'1_Maximum'!Q57</f>
        <v>23.69</v>
      </c>
      <c r="R57" s="20">
        <f>'1_Maximum'!R57</f>
        <v>1270.904</v>
      </c>
      <c r="S57" s="20">
        <f>'2_Maximum'!R57</f>
        <v>1290.8150000000001</v>
      </c>
      <c r="T57" s="20">
        <f>'3_Maximum'!R57</f>
        <v>1311.4780000000001</v>
      </c>
      <c r="U57" s="20">
        <f>'4_Maximum'!R57</f>
        <v>1330.828</v>
      </c>
      <c r="V57" s="20">
        <f>'1_Maximum'!T57</f>
        <v>8.16</v>
      </c>
      <c r="W57" s="20">
        <f>'2_Maximum'!T57</f>
        <v>7.99</v>
      </c>
      <c r="X57" s="20">
        <f>'3_Maximum'!T57</f>
        <v>8.4</v>
      </c>
      <c r="Y57" s="20">
        <f>'4_Maximum'!T57</f>
        <v>6.28</v>
      </c>
      <c r="Z57" s="20">
        <f>'1_Maximum'!S57</f>
        <v>0.1</v>
      </c>
      <c r="AA57" s="20">
        <f>'2_Maximum'!S57</f>
        <v>0.1</v>
      </c>
      <c r="AB57" s="20">
        <f>'3_Maximum'!S57</f>
        <v>0.1</v>
      </c>
      <c r="AC57" s="20">
        <f>'4_Maximum'!S57</f>
        <v>0.1</v>
      </c>
      <c r="AD57" s="20">
        <v>399</v>
      </c>
      <c r="AE57" s="20">
        <v>399</v>
      </c>
      <c r="AF57" s="20">
        <v>399</v>
      </c>
      <c r="AG57" s="20">
        <v>399</v>
      </c>
    </row>
    <row r="58" spans="1:33">
      <c r="A58" s="20">
        <f t="shared" si="5"/>
        <v>22.87</v>
      </c>
      <c r="B58" s="20">
        <f t="shared" si="6"/>
        <v>0.09</v>
      </c>
      <c r="C58" s="20">
        <f t="shared" si="7"/>
        <v>0.1</v>
      </c>
      <c r="D58" s="20">
        <f t="shared" si="8"/>
        <v>0.09</v>
      </c>
      <c r="E58" s="20">
        <f t="shared" si="9"/>
        <v>0.1</v>
      </c>
      <c r="F58" s="20">
        <v>0.2</v>
      </c>
      <c r="G58" s="20">
        <v>0</v>
      </c>
      <c r="Q58" s="20">
        <f>'1_Maximum'!Q58</f>
        <v>22.87</v>
      </c>
      <c r="R58" s="20">
        <f>'1_Maximum'!R58</f>
        <v>1270.828</v>
      </c>
      <c r="S58" s="20">
        <f>'2_Maximum'!R58</f>
        <v>1290.7370000000001</v>
      </c>
      <c r="T58" s="20">
        <f>'3_Maximum'!R58</f>
        <v>1311.4010000000001</v>
      </c>
      <c r="U58" s="20">
        <f>'4_Maximum'!R58</f>
        <v>1330.75</v>
      </c>
      <c r="V58" s="20">
        <f>'1_Maximum'!T58</f>
        <v>8.2100000000000009</v>
      </c>
      <c r="W58" s="20">
        <f>'2_Maximum'!T58</f>
        <v>8</v>
      </c>
      <c r="X58" s="20">
        <f>'3_Maximum'!T58</f>
        <v>8.43</v>
      </c>
      <c r="Y58" s="20">
        <f>'4_Maximum'!T58</f>
        <v>6.31</v>
      </c>
      <c r="Z58" s="20">
        <f>'1_Maximum'!S58</f>
        <v>0.09</v>
      </c>
      <c r="AA58" s="20">
        <f>'2_Maximum'!S58</f>
        <v>0.1</v>
      </c>
      <c r="AB58" s="20">
        <f>'3_Maximum'!S58</f>
        <v>0.09</v>
      </c>
      <c r="AC58" s="20">
        <f>'4_Maximum'!S58</f>
        <v>0.1</v>
      </c>
      <c r="AD58" s="20">
        <v>399</v>
      </c>
      <c r="AE58" s="20">
        <v>399</v>
      </c>
      <c r="AF58" s="20">
        <v>399</v>
      </c>
      <c r="AG58" s="20">
        <v>399</v>
      </c>
    </row>
    <row r="59" spans="1:33">
      <c r="A59" s="20">
        <f t="shared" si="5"/>
        <v>22.03</v>
      </c>
      <c r="B59" s="20">
        <f t="shared" si="6"/>
        <v>0.09</v>
      </c>
      <c r="C59" s="20">
        <f t="shared" si="7"/>
        <v>0.09</v>
      </c>
      <c r="D59" s="20">
        <f t="shared" si="8"/>
        <v>0.09</v>
      </c>
      <c r="E59" s="20">
        <f t="shared" si="9"/>
        <v>0.09</v>
      </c>
      <c r="F59" s="20">
        <v>0.2</v>
      </c>
      <c r="G59" s="20">
        <v>0</v>
      </c>
      <c r="Q59" s="20">
        <f>'1_Maximum'!Q59</f>
        <v>22.03</v>
      </c>
      <c r="R59" s="20">
        <f>'1_Maximum'!R59</f>
        <v>1270.751</v>
      </c>
      <c r="S59" s="20">
        <f>'2_Maximum'!R59</f>
        <v>1290.6579999999999</v>
      </c>
      <c r="T59" s="20">
        <f>'3_Maximum'!R59</f>
        <v>1311.325</v>
      </c>
      <c r="U59" s="20">
        <f>'4_Maximum'!R59</f>
        <v>1330.672</v>
      </c>
      <c r="V59" s="20">
        <f>'1_Maximum'!T59</f>
        <v>8.2899999999999991</v>
      </c>
      <c r="W59" s="20">
        <f>'2_Maximum'!T59</f>
        <v>8.0500000000000007</v>
      </c>
      <c r="X59" s="20">
        <f>'3_Maximum'!T59</f>
        <v>8.4600000000000009</v>
      </c>
      <c r="Y59" s="20">
        <f>'4_Maximum'!T59</f>
        <v>6.31</v>
      </c>
      <c r="Z59" s="20">
        <f>'1_Maximum'!S59</f>
        <v>0.09</v>
      </c>
      <c r="AA59" s="20">
        <f>'2_Maximum'!S59</f>
        <v>0.09</v>
      </c>
      <c r="AB59" s="20">
        <f>'3_Maximum'!S59</f>
        <v>0.09</v>
      </c>
      <c r="AC59" s="20">
        <f>'4_Maximum'!S59</f>
        <v>0.09</v>
      </c>
      <c r="AD59" s="20">
        <v>399</v>
      </c>
      <c r="AE59" s="20">
        <v>399</v>
      </c>
      <c r="AF59" s="20">
        <v>399</v>
      </c>
      <c r="AG59" s="20">
        <v>399</v>
      </c>
    </row>
    <row r="60" spans="1:33">
      <c r="A60" s="20">
        <f t="shared" si="5"/>
        <v>21.19</v>
      </c>
      <c r="B60" s="20">
        <f t="shared" si="6"/>
        <v>0.09</v>
      </c>
      <c r="C60" s="20">
        <f t="shared" si="7"/>
        <v>0.09</v>
      </c>
      <c r="D60" s="20">
        <f t="shared" si="8"/>
        <v>0.09</v>
      </c>
      <c r="E60" s="20">
        <f t="shared" si="9"/>
        <v>0.09</v>
      </c>
      <c r="F60" s="20">
        <v>0.2</v>
      </c>
      <c r="G60" s="20">
        <v>0</v>
      </c>
      <c r="Q60" s="20">
        <f>'1_Maximum'!Q60</f>
        <v>21.19</v>
      </c>
      <c r="R60" s="20">
        <f>'1_Maximum'!R60</f>
        <v>1270.6759999999999</v>
      </c>
      <c r="S60" s="20">
        <f>'2_Maximum'!R60</f>
        <v>1290.5809999999999</v>
      </c>
      <c r="T60" s="20">
        <f>'3_Maximum'!R60</f>
        <v>1311.25</v>
      </c>
      <c r="U60" s="20">
        <f>'4_Maximum'!R60</f>
        <v>1330.595</v>
      </c>
      <c r="V60" s="20">
        <f>'1_Maximum'!T60</f>
        <v>8.39</v>
      </c>
      <c r="W60" s="20">
        <f>'2_Maximum'!T60</f>
        <v>8.09</v>
      </c>
      <c r="X60" s="20">
        <f>'3_Maximum'!T60</f>
        <v>8.5299999999999994</v>
      </c>
      <c r="Y60" s="20">
        <f>'4_Maximum'!T60</f>
        <v>6.3</v>
      </c>
      <c r="Z60" s="20">
        <f>'1_Maximum'!S60</f>
        <v>0.09</v>
      </c>
      <c r="AA60" s="20">
        <f>'2_Maximum'!S60</f>
        <v>0.09</v>
      </c>
      <c r="AB60" s="20">
        <f>'3_Maximum'!S60</f>
        <v>0.09</v>
      </c>
      <c r="AC60" s="20">
        <f>'4_Maximum'!S60</f>
        <v>0.09</v>
      </c>
      <c r="AD60" s="20">
        <v>399</v>
      </c>
      <c r="AE60" s="20">
        <v>399</v>
      </c>
      <c r="AF60" s="20">
        <v>399</v>
      </c>
      <c r="AG60" s="20">
        <v>399</v>
      </c>
    </row>
    <row r="61" spans="1:33">
      <c r="A61" s="20">
        <f t="shared" si="5"/>
        <v>20.36</v>
      </c>
      <c r="B61" s="20">
        <f t="shared" si="6"/>
        <v>0.1</v>
      </c>
      <c r="C61" s="20">
        <f t="shared" si="7"/>
        <v>0.1</v>
      </c>
      <c r="D61" s="20">
        <f t="shared" si="8"/>
        <v>0.1</v>
      </c>
      <c r="E61" s="20">
        <f t="shared" si="9"/>
        <v>0.1</v>
      </c>
      <c r="F61" s="20">
        <v>0.2</v>
      </c>
      <c r="G61" s="20">
        <v>0</v>
      </c>
      <c r="Q61" s="20">
        <f>'1_Maximum'!Q61</f>
        <v>20.36</v>
      </c>
      <c r="R61" s="20">
        <f>'1_Maximum'!R61</f>
        <v>1270.596</v>
      </c>
      <c r="S61" s="20">
        <f>'2_Maximum'!R61</f>
        <v>1290.5</v>
      </c>
      <c r="T61" s="20">
        <f>'3_Maximum'!R61</f>
        <v>1311.171</v>
      </c>
      <c r="U61" s="20">
        <f>'4_Maximum'!R61</f>
        <v>1330.5139999999999</v>
      </c>
      <c r="V61" s="20">
        <f>'1_Maximum'!T61</f>
        <v>8.39</v>
      </c>
      <c r="W61" s="20">
        <f>'2_Maximum'!T61</f>
        <v>8.09</v>
      </c>
      <c r="X61" s="20">
        <f>'3_Maximum'!T61</f>
        <v>8.6</v>
      </c>
      <c r="Y61" s="20">
        <f>'4_Maximum'!T61</f>
        <v>6.36</v>
      </c>
      <c r="Z61" s="20">
        <f>'1_Maximum'!S61</f>
        <v>0.1</v>
      </c>
      <c r="AA61" s="20">
        <f>'2_Maximum'!S61</f>
        <v>0.1</v>
      </c>
      <c r="AB61" s="20">
        <f>'3_Maximum'!S61</f>
        <v>0.1</v>
      </c>
      <c r="AC61" s="20">
        <f>'4_Maximum'!S61</f>
        <v>0.1</v>
      </c>
      <c r="AD61" s="20">
        <v>399</v>
      </c>
      <c r="AE61" s="20">
        <v>399</v>
      </c>
      <c r="AF61" s="20">
        <v>399</v>
      </c>
      <c r="AG61" s="20">
        <v>399</v>
      </c>
    </row>
    <row r="62" spans="1:33">
      <c r="A62" s="20">
        <f t="shared" si="5"/>
        <v>19.53</v>
      </c>
      <c r="B62" s="20">
        <f t="shared" si="6"/>
        <v>0.09</v>
      </c>
      <c r="C62" s="20">
        <f t="shared" si="7"/>
        <v>0.09</v>
      </c>
      <c r="D62" s="20">
        <f t="shared" si="8"/>
        <v>0.09</v>
      </c>
      <c r="E62" s="20">
        <f t="shared" si="9"/>
        <v>0.09</v>
      </c>
      <c r="F62" s="20">
        <v>0.2</v>
      </c>
      <c r="G62" s="20">
        <v>0</v>
      </c>
      <c r="Q62" s="20">
        <f>'1_Maximum'!Q62</f>
        <v>19.53</v>
      </c>
      <c r="R62" s="20">
        <f>'1_Maximum'!R62</f>
        <v>1270.52</v>
      </c>
      <c r="S62" s="20">
        <f>'2_Maximum'!R62</f>
        <v>1290.422</v>
      </c>
      <c r="T62" s="20">
        <f>'3_Maximum'!R62</f>
        <v>1311.0930000000001</v>
      </c>
      <c r="U62" s="20">
        <f>'4_Maximum'!R62</f>
        <v>1330.4380000000001</v>
      </c>
      <c r="V62" s="20">
        <f>'1_Maximum'!T62</f>
        <v>8.48</v>
      </c>
      <c r="W62" s="20">
        <f>'2_Maximum'!T62</f>
        <v>8.17</v>
      </c>
      <c r="X62" s="20">
        <f>'3_Maximum'!T62</f>
        <v>8.6999999999999993</v>
      </c>
      <c r="Y62" s="20">
        <f>'4_Maximum'!T62</f>
        <v>6.33</v>
      </c>
      <c r="Z62" s="20">
        <f>'1_Maximum'!S62</f>
        <v>0.09</v>
      </c>
      <c r="AA62" s="20">
        <f>'2_Maximum'!S62</f>
        <v>0.09</v>
      </c>
      <c r="AB62" s="20">
        <f>'3_Maximum'!S62</f>
        <v>0.09</v>
      </c>
      <c r="AC62" s="20">
        <f>'4_Maximum'!S62</f>
        <v>0.09</v>
      </c>
      <c r="AD62" s="20">
        <v>399</v>
      </c>
      <c r="AE62" s="20">
        <v>399</v>
      </c>
      <c r="AF62" s="20">
        <v>399</v>
      </c>
      <c r="AG62" s="20">
        <v>399</v>
      </c>
    </row>
    <row r="63" spans="1:33">
      <c r="A63" s="20">
        <f t="shared" si="5"/>
        <v>18.68</v>
      </c>
      <c r="B63" s="20">
        <f t="shared" si="6"/>
        <v>0.09</v>
      </c>
      <c r="C63" s="20">
        <f t="shared" si="7"/>
        <v>0.09</v>
      </c>
      <c r="D63" s="20">
        <f t="shared" si="8"/>
        <v>0.09</v>
      </c>
      <c r="E63" s="20">
        <f t="shared" si="9"/>
        <v>0.09</v>
      </c>
      <c r="F63" s="20">
        <v>0.2</v>
      </c>
      <c r="G63" s="20">
        <v>0</v>
      </c>
      <c r="Q63" s="20">
        <f>'1_Maximum'!Q63</f>
        <v>18.68</v>
      </c>
      <c r="R63" s="20">
        <f>'1_Maximum'!R63</f>
        <v>1270.442</v>
      </c>
      <c r="S63" s="20">
        <f>'2_Maximum'!R63</f>
        <v>1290.3420000000001</v>
      </c>
      <c r="T63" s="20">
        <f>'3_Maximum'!R63</f>
        <v>1311.0139999999999</v>
      </c>
      <c r="U63" s="20">
        <f>'4_Maximum'!R63</f>
        <v>1330.3589999999999</v>
      </c>
      <c r="V63" s="20">
        <f>'1_Maximum'!T63</f>
        <v>8.49</v>
      </c>
      <c r="W63" s="20">
        <f>'2_Maximum'!T63</f>
        <v>8.1999999999999993</v>
      </c>
      <c r="X63" s="20">
        <f>'3_Maximum'!T63</f>
        <v>8.77</v>
      </c>
      <c r="Y63" s="20">
        <f>'4_Maximum'!T63</f>
        <v>6.37</v>
      </c>
      <c r="Z63" s="20">
        <f>'1_Maximum'!S63</f>
        <v>0.09</v>
      </c>
      <c r="AA63" s="20">
        <f>'2_Maximum'!S63</f>
        <v>0.09</v>
      </c>
      <c r="AB63" s="20">
        <f>'3_Maximum'!S63</f>
        <v>0.09</v>
      </c>
      <c r="AC63" s="20">
        <f>'4_Maximum'!S63</f>
        <v>0.09</v>
      </c>
      <c r="AD63" s="20">
        <v>399</v>
      </c>
      <c r="AE63" s="20">
        <v>399</v>
      </c>
      <c r="AF63" s="20">
        <v>399</v>
      </c>
      <c r="AG63" s="20">
        <v>399</v>
      </c>
    </row>
    <row r="64" spans="1:33">
      <c r="A64" s="20">
        <f t="shared" si="5"/>
        <v>17.86</v>
      </c>
      <c r="B64" s="20">
        <f t="shared" si="6"/>
        <v>0.09</v>
      </c>
      <c r="C64" s="20">
        <f t="shared" si="7"/>
        <v>0.09</v>
      </c>
      <c r="D64" s="20">
        <f t="shared" si="8"/>
        <v>0.09</v>
      </c>
      <c r="E64" s="20">
        <f t="shared" si="9"/>
        <v>0.09</v>
      </c>
      <c r="F64" s="20">
        <v>0.2</v>
      </c>
      <c r="G64" s="20">
        <v>0</v>
      </c>
      <c r="Q64" s="20">
        <f>'1_Maximum'!Q64</f>
        <v>17.86</v>
      </c>
      <c r="R64" s="20">
        <f>'1_Maximum'!R64</f>
        <v>1270.365</v>
      </c>
      <c r="S64" s="20">
        <f>'2_Maximum'!R64</f>
        <v>1290.2660000000001</v>
      </c>
      <c r="T64" s="20">
        <f>'3_Maximum'!R64</f>
        <v>1310.9380000000001</v>
      </c>
      <c r="U64" s="20">
        <f>'4_Maximum'!R64</f>
        <v>1330.2840000000001</v>
      </c>
      <c r="V64" s="20">
        <f>'1_Maximum'!T64</f>
        <v>8.4600000000000009</v>
      </c>
      <c r="W64" s="20">
        <f>'2_Maximum'!T64</f>
        <v>8.2100000000000009</v>
      </c>
      <c r="X64" s="20">
        <f>'3_Maximum'!T64</f>
        <v>8.82</v>
      </c>
      <c r="Y64" s="20">
        <f>'4_Maximum'!T64</f>
        <v>6.36</v>
      </c>
      <c r="Z64" s="20">
        <f>'1_Maximum'!S64</f>
        <v>0.09</v>
      </c>
      <c r="AA64" s="20">
        <f>'2_Maximum'!S64</f>
        <v>0.09</v>
      </c>
      <c r="AB64" s="20">
        <f>'3_Maximum'!S64</f>
        <v>0.09</v>
      </c>
      <c r="AC64" s="20">
        <f>'4_Maximum'!S64</f>
        <v>0.09</v>
      </c>
      <c r="AD64" s="20">
        <v>399</v>
      </c>
      <c r="AE64" s="20">
        <v>399</v>
      </c>
      <c r="AF64" s="20">
        <v>399</v>
      </c>
      <c r="AG64" s="20">
        <v>399</v>
      </c>
    </row>
    <row r="65" spans="1:33">
      <c r="A65" s="20">
        <f t="shared" si="5"/>
        <v>17.010000000000002</v>
      </c>
      <c r="B65" s="20">
        <f t="shared" si="6"/>
        <v>0.09</v>
      </c>
      <c r="C65" s="20">
        <f t="shared" si="7"/>
        <v>0.09</v>
      </c>
      <c r="D65" s="20">
        <f t="shared" si="8"/>
        <v>0.09</v>
      </c>
      <c r="E65" s="20">
        <f t="shared" si="9"/>
        <v>0.09</v>
      </c>
      <c r="F65" s="20">
        <v>0.2</v>
      </c>
      <c r="G65" s="20">
        <v>0</v>
      </c>
      <c r="Q65" s="20">
        <f>'1_Maximum'!Q65</f>
        <v>17.010000000000002</v>
      </c>
      <c r="R65" s="20">
        <f>'1_Maximum'!R65</f>
        <v>1270.2850000000001</v>
      </c>
      <c r="S65" s="20">
        <f>'2_Maximum'!R65</f>
        <v>1290.1869999999999</v>
      </c>
      <c r="T65" s="20">
        <f>'3_Maximum'!R65</f>
        <v>1310.8579999999999</v>
      </c>
      <c r="U65" s="20">
        <f>'4_Maximum'!R65</f>
        <v>1330.2059999999999</v>
      </c>
      <c r="V65" s="20">
        <f>'1_Maximum'!T65</f>
        <v>8.4700000000000006</v>
      </c>
      <c r="W65" s="20">
        <f>'2_Maximum'!T65</f>
        <v>8.19</v>
      </c>
      <c r="X65" s="20">
        <f>'3_Maximum'!T65</f>
        <v>8.8699999999999992</v>
      </c>
      <c r="Y65" s="20">
        <f>'4_Maximum'!T65</f>
        <v>6.5</v>
      </c>
      <c r="Z65" s="20">
        <f>'1_Maximum'!S65</f>
        <v>0.09</v>
      </c>
      <c r="AA65" s="20">
        <f>'2_Maximum'!S65</f>
        <v>0.09</v>
      </c>
      <c r="AB65" s="20">
        <f>'3_Maximum'!S65</f>
        <v>0.09</v>
      </c>
      <c r="AC65" s="20">
        <f>'4_Maximum'!S65</f>
        <v>0.09</v>
      </c>
      <c r="AD65" s="20">
        <v>399</v>
      </c>
      <c r="AE65" s="20">
        <v>399</v>
      </c>
      <c r="AF65" s="20">
        <v>399</v>
      </c>
      <c r="AG65" s="20">
        <v>399</v>
      </c>
    </row>
    <row r="66" spans="1:33">
      <c r="A66" s="20">
        <f t="shared" si="5"/>
        <v>16.22</v>
      </c>
      <c r="B66" s="20">
        <f t="shared" si="6"/>
        <v>0.1</v>
      </c>
      <c r="C66" s="20">
        <f t="shared" si="7"/>
        <v>0.09</v>
      </c>
      <c r="D66" s="20">
        <f t="shared" si="8"/>
        <v>0.09</v>
      </c>
      <c r="E66" s="20">
        <f t="shared" si="9"/>
        <v>0.1</v>
      </c>
      <c r="F66" s="20">
        <v>0.2</v>
      </c>
      <c r="G66" s="20">
        <v>0</v>
      </c>
      <c r="Q66" s="20">
        <f>'1_Maximum'!Q66</f>
        <v>16.22</v>
      </c>
      <c r="R66" s="20">
        <f>'1_Maximum'!R66</f>
        <v>1270.2090000000001</v>
      </c>
      <c r="S66" s="20">
        <f>'2_Maximum'!R66</f>
        <v>1290.1120000000001</v>
      </c>
      <c r="T66" s="20">
        <f>'3_Maximum'!R66</f>
        <v>1310.7829999999999</v>
      </c>
      <c r="U66" s="20">
        <f>'4_Maximum'!R66</f>
        <v>1330.13</v>
      </c>
      <c r="V66" s="20">
        <f>'1_Maximum'!T66</f>
        <v>8.5</v>
      </c>
      <c r="W66" s="20">
        <f>'2_Maximum'!T66</f>
        <v>8.2899999999999991</v>
      </c>
      <c r="X66" s="20">
        <f>'3_Maximum'!T66</f>
        <v>8.89</v>
      </c>
      <c r="Y66" s="20">
        <f>'4_Maximum'!T66</f>
        <v>6.5</v>
      </c>
      <c r="Z66" s="20">
        <f>'1_Maximum'!S66</f>
        <v>0.1</v>
      </c>
      <c r="AA66" s="20">
        <f>'2_Maximum'!S66</f>
        <v>0.09</v>
      </c>
      <c r="AB66" s="20">
        <f>'3_Maximum'!S66</f>
        <v>0.09</v>
      </c>
      <c r="AC66" s="20">
        <f>'4_Maximum'!S66</f>
        <v>0.1</v>
      </c>
      <c r="AD66" s="20">
        <v>399</v>
      </c>
      <c r="AE66" s="20">
        <v>399</v>
      </c>
      <c r="AF66" s="20">
        <v>399</v>
      </c>
      <c r="AG66" s="20">
        <v>399</v>
      </c>
    </row>
    <row r="67" spans="1:33">
      <c r="A67" s="20">
        <f t="shared" ref="A67:A87" si="10">Q67</f>
        <v>15.38</v>
      </c>
      <c r="B67" s="20">
        <f t="shared" ref="B67:B87" si="11">Z67</f>
        <v>0.09</v>
      </c>
      <c r="C67" s="20">
        <f t="shared" ref="C67:C87" si="12">AA67</f>
        <v>0.09</v>
      </c>
      <c r="D67" s="20">
        <f t="shared" ref="D67:D87" si="13">AB67</f>
        <v>0.09</v>
      </c>
      <c r="E67" s="20">
        <f t="shared" ref="E67:E87" si="14">AC67</f>
        <v>0.09</v>
      </c>
      <c r="F67" s="20">
        <v>0.2</v>
      </c>
      <c r="G67" s="20">
        <v>0</v>
      </c>
      <c r="Q67" s="20">
        <f>'1_Maximum'!Q67</f>
        <v>15.38</v>
      </c>
      <c r="R67" s="20">
        <f>'1_Maximum'!R67</f>
        <v>1270.133</v>
      </c>
      <c r="S67" s="20">
        <f>'2_Maximum'!R67</f>
        <v>1290.037</v>
      </c>
      <c r="T67" s="20">
        <f>'3_Maximum'!R67</f>
        <v>1310.7080000000001</v>
      </c>
      <c r="U67" s="20">
        <f>'4_Maximum'!R67</f>
        <v>1330.0519999999999</v>
      </c>
      <c r="V67" s="20">
        <f>'1_Maximum'!T67</f>
        <v>8.52</v>
      </c>
      <c r="W67" s="20">
        <f>'2_Maximum'!T67</f>
        <v>8.3800000000000008</v>
      </c>
      <c r="X67" s="20">
        <f>'3_Maximum'!T67</f>
        <v>8.94</v>
      </c>
      <c r="Y67" s="20">
        <f>'4_Maximum'!T67</f>
        <v>6.59</v>
      </c>
      <c r="Z67" s="20">
        <f>'1_Maximum'!S67</f>
        <v>0.09</v>
      </c>
      <c r="AA67" s="20">
        <f>'2_Maximum'!S67</f>
        <v>0.09</v>
      </c>
      <c r="AB67" s="20">
        <f>'3_Maximum'!S67</f>
        <v>0.09</v>
      </c>
      <c r="AC67" s="20">
        <f>'4_Maximum'!S67</f>
        <v>0.09</v>
      </c>
      <c r="AD67" s="20">
        <v>399</v>
      </c>
      <c r="AE67" s="20">
        <v>399</v>
      </c>
      <c r="AF67" s="20">
        <v>399</v>
      </c>
      <c r="AG67" s="20">
        <v>399</v>
      </c>
    </row>
    <row r="68" spans="1:33">
      <c r="A68" s="20">
        <f t="shared" si="10"/>
        <v>14.57</v>
      </c>
      <c r="B68" s="20">
        <f t="shared" si="11"/>
        <v>0.1</v>
      </c>
      <c r="C68" s="20">
        <f t="shared" si="12"/>
        <v>0.1</v>
      </c>
      <c r="D68" s="20">
        <f t="shared" si="13"/>
        <v>0.1</v>
      </c>
      <c r="E68" s="20">
        <f t="shared" si="14"/>
        <v>0.1</v>
      </c>
      <c r="F68" s="20">
        <v>0.2</v>
      </c>
      <c r="G68" s="20">
        <v>0</v>
      </c>
      <c r="Q68" s="20">
        <f>'1_Maximum'!Q68</f>
        <v>14.57</v>
      </c>
      <c r="R68" s="20">
        <f>'1_Maximum'!R68</f>
        <v>1270.0550000000001</v>
      </c>
      <c r="S68" s="20">
        <f>'2_Maximum'!R68</f>
        <v>1289.9590000000001</v>
      </c>
      <c r="T68" s="20">
        <f>'3_Maximum'!R68</f>
        <v>1310.6300000000001</v>
      </c>
      <c r="U68" s="20">
        <f>'4_Maximum'!R68</f>
        <v>1329.9739999999999</v>
      </c>
      <c r="V68" s="20">
        <f>'1_Maximum'!T68</f>
        <v>8.58</v>
      </c>
      <c r="W68" s="20">
        <f>'2_Maximum'!T68</f>
        <v>8.4</v>
      </c>
      <c r="X68" s="20">
        <f>'3_Maximum'!T68</f>
        <v>9.02</v>
      </c>
      <c r="Y68" s="20">
        <f>'4_Maximum'!T68</f>
        <v>6.54</v>
      </c>
      <c r="Z68" s="20">
        <f>'1_Maximum'!S68</f>
        <v>0.1</v>
      </c>
      <c r="AA68" s="20">
        <f>'2_Maximum'!S68</f>
        <v>0.1</v>
      </c>
      <c r="AB68" s="20">
        <f>'3_Maximum'!S68</f>
        <v>0.1</v>
      </c>
      <c r="AC68" s="20">
        <f>'4_Maximum'!S68</f>
        <v>0.1</v>
      </c>
      <c r="AD68" s="20">
        <v>399</v>
      </c>
      <c r="AE68" s="20">
        <v>399</v>
      </c>
      <c r="AF68" s="20">
        <v>399</v>
      </c>
      <c r="AG68" s="20">
        <v>399</v>
      </c>
    </row>
    <row r="69" spans="1:33">
      <c r="A69" s="20">
        <f t="shared" si="10"/>
        <v>13.78</v>
      </c>
      <c r="B69" s="20">
        <f t="shared" si="11"/>
        <v>0.09</v>
      </c>
      <c r="C69" s="20">
        <f t="shared" si="12"/>
        <v>0.1</v>
      </c>
      <c r="D69" s="20">
        <f t="shared" si="13"/>
        <v>0.1</v>
      </c>
      <c r="E69" s="20">
        <f t="shared" si="14"/>
        <v>0.1</v>
      </c>
      <c r="F69" s="20">
        <v>0.2</v>
      </c>
      <c r="G69" s="20">
        <v>0</v>
      </c>
      <c r="Q69" s="20">
        <f>'1_Maximum'!Q69</f>
        <v>13.78</v>
      </c>
      <c r="R69" s="20">
        <f>'1_Maximum'!R69</f>
        <v>1269.98</v>
      </c>
      <c r="S69" s="20">
        <f>'2_Maximum'!R69</f>
        <v>1289.883</v>
      </c>
      <c r="T69" s="20">
        <f>'3_Maximum'!R69</f>
        <v>1310.5530000000001</v>
      </c>
      <c r="U69" s="20">
        <f>'4_Maximum'!R69</f>
        <v>1329.8979999999999</v>
      </c>
      <c r="V69" s="20">
        <f>'1_Maximum'!T69</f>
        <v>8.65</v>
      </c>
      <c r="W69" s="20">
        <f>'2_Maximum'!T69</f>
        <v>8.42</v>
      </c>
      <c r="X69" s="20">
        <f>'3_Maximum'!T69</f>
        <v>9.0500000000000007</v>
      </c>
      <c r="Y69" s="20">
        <f>'4_Maximum'!T69</f>
        <v>6.57</v>
      </c>
      <c r="Z69" s="20">
        <f>'1_Maximum'!S69</f>
        <v>0.09</v>
      </c>
      <c r="AA69" s="20">
        <f>'2_Maximum'!S69</f>
        <v>0.1</v>
      </c>
      <c r="AB69" s="20">
        <f>'3_Maximum'!S69</f>
        <v>0.1</v>
      </c>
      <c r="AC69" s="20">
        <f>'4_Maximum'!S69</f>
        <v>0.1</v>
      </c>
      <c r="AD69" s="20">
        <v>399</v>
      </c>
      <c r="AE69" s="20">
        <v>399</v>
      </c>
      <c r="AF69" s="20">
        <v>399</v>
      </c>
      <c r="AG69" s="20">
        <v>399</v>
      </c>
    </row>
    <row r="70" spans="1:33">
      <c r="A70" s="20">
        <f t="shared" si="10"/>
        <v>12.93</v>
      </c>
      <c r="B70" s="20">
        <f t="shared" si="11"/>
        <v>0.09</v>
      </c>
      <c r="C70" s="20">
        <f t="shared" si="12"/>
        <v>0.09</v>
      </c>
      <c r="D70" s="20">
        <f t="shared" si="13"/>
        <v>0.09</v>
      </c>
      <c r="E70" s="20">
        <f t="shared" si="14"/>
        <v>0.09</v>
      </c>
      <c r="F70" s="20">
        <v>0.2</v>
      </c>
      <c r="G70" s="20">
        <v>0</v>
      </c>
      <c r="Q70" s="20">
        <f>'1_Maximum'!Q70</f>
        <v>12.93</v>
      </c>
      <c r="R70" s="20">
        <f>'1_Maximum'!R70</f>
        <v>1269.905</v>
      </c>
      <c r="S70" s="20">
        <f>'2_Maximum'!R70</f>
        <v>1289.806</v>
      </c>
      <c r="T70" s="20">
        <f>'3_Maximum'!R70</f>
        <v>1310.4760000000001</v>
      </c>
      <c r="U70" s="20">
        <f>'4_Maximum'!R70</f>
        <v>1329.82</v>
      </c>
      <c r="V70" s="20">
        <f>'1_Maximum'!T70</f>
        <v>8.77</v>
      </c>
      <c r="W70" s="20">
        <f>'2_Maximum'!T70</f>
        <v>8.48</v>
      </c>
      <c r="X70" s="20">
        <f>'3_Maximum'!T70</f>
        <v>9.06</v>
      </c>
      <c r="Y70" s="20">
        <f>'4_Maximum'!T70</f>
        <v>6.65</v>
      </c>
      <c r="Z70" s="20">
        <f>'1_Maximum'!S70</f>
        <v>0.09</v>
      </c>
      <c r="AA70" s="20">
        <f>'2_Maximum'!S70</f>
        <v>0.09</v>
      </c>
      <c r="AB70" s="20">
        <f>'3_Maximum'!S70</f>
        <v>0.09</v>
      </c>
      <c r="AC70" s="20">
        <f>'4_Maximum'!S70</f>
        <v>0.09</v>
      </c>
      <c r="AD70" s="20">
        <v>399</v>
      </c>
      <c r="AE70" s="20">
        <v>399</v>
      </c>
      <c r="AF70" s="20">
        <v>399</v>
      </c>
      <c r="AG70" s="20">
        <v>399</v>
      </c>
    </row>
    <row r="71" spans="1:33">
      <c r="A71" s="20">
        <f t="shared" si="10"/>
        <v>12.11</v>
      </c>
      <c r="B71" s="20">
        <f t="shared" si="11"/>
        <v>0.09</v>
      </c>
      <c r="C71" s="20">
        <f t="shared" si="12"/>
        <v>0.1</v>
      </c>
      <c r="D71" s="20">
        <f t="shared" si="13"/>
        <v>0.1</v>
      </c>
      <c r="E71" s="20">
        <f t="shared" si="14"/>
        <v>0.1</v>
      </c>
      <c r="F71" s="20">
        <v>0.2</v>
      </c>
      <c r="G71" s="20">
        <v>0</v>
      </c>
      <c r="Q71" s="20">
        <f>'1_Maximum'!Q71</f>
        <v>12.11</v>
      </c>
      <c r="R71" s="20">
        <f>'1_Maximum'!R71</f>
        <v>1269.828</v>
      </c>
      <c r="S71" s="20">
        <f>'2_Maximum'!R71</f>
        <v>1289.7280000000001</v>
      </c>
      <c r="T71" s="20">
        <f>'3_Maximum'!R71</f>
        <v>1310.3979999999999</v>
      </c>
      <c r="U71" s="20">
        <f>'4_Maximum'!R71</f>
        <v>1329.741</v>
      </c>
      <c r="V71" s="20">
        <f>'1_Maximum'!T71</f>
        <v>8.7899999999999991</v>
      </c>
      <c r="W71" s="20">
        <f>'2_Maximum'!T71</f>
        <v>8.48</v>
      </c>
      <c r="X71" s="20">
        <f>'3_Maximum'!T71</f>
        <v>9.1199999999999992</v>
      </c>
      <c r="Y71" s="20">
        <f>'4_Maximum'!T71</f>
        <v>6.71</v>
      </c>
      <c r="Z71" s="20">
        <f>'1_Maximum'!S71</f>
        <v>0.09</v>
      </c>
      <c r="AA71" s="20">
        <f>'2_Maximum'!S71</f>
        <v>0.1</v>
      </c>
      <c r="AB71" s="20">
        <f>'3_Maximum'!S71</f>
        <v>0.1</v>
      </c>
      <c r="AC71" s="20">
        <f>'4_Maximum'!S71</f>
        <v>0.1</v>
      </c>
      <c r="AD71" s="20">
        <v>399</v>
      </c>
      <c r="AE71" s="20">
        <v>399</v>
      </c>
      <c r="AF71" s="20">
        <v>399</v>
      </c>
      <c r="AG71" s="20">
        <v>399</v>
      </c>
    </row>
    <row r="72" spans="1:33">
      <c r="A72" s="20">
        <f t="shared" si="10"/>
        <v>11.26</v>
      </c>
      <c r="B72" s="20">
        <f t="shared" si="11"/>
        <v>0.09</v>
      </c>
      <c r="C72" s="20">
        <f t="shared" si="12"/>
        <v>0.09</v>
      </c>
      <c r="D72" s="20">
        <f t="shared" si="13"/>
        <v>0.09</v>
      </c>
      <c r="E72" s="20">
        <f t="shared" si="14"/>
        <v>0.09</v>
      </c>
      <c r="F72" s="20">
        <v>0.2</v>
      </c>
      <c r="G72" s="20">
        <v>0</v>
      </c>
      <c r="Q72" s="20">
        <f>'1_Maximum'!Q72</f>
        <v>11.26</v>
      </c>
      <c r="R72" s="20">
        <f>'1_Maximum'!R72</f>
        <v>1269.751</v>
      </c>
      <c r="S72" s="20">
        <f>'2_Maximum'!R72</f>
        <v>1289.652</v>
      </c>
      <c r="T72" s="20">
        <f>'3_Maximum'!R72</f>
        <v>1310.3219999999999</v>
      </c>
      <c r="U72" s="20">
        <f>'4_Maximum'!R72</f>
        <v>1329.664</v>
      </c>
      <c r="V72" s="20">
        <f>'1_Maximum'!T72</f>
        <v>8.7799999999999994</v>
      </c>
      <c r="W72" s="20">
        <f>'2_Maximum'!T72</f>
        <v>8.5500000000000007</v>
      </c>
      <c r="X72" s="20">
        <f>'3_Maximum'!T72</f>
        <v>9.16</v>
      </c>
      <c r="Y72" s="20">
        <f>'4_Maximum'!T72</f>
        <v>6.74</v>
      </c>
      <c r="Z72" s="20">
        <f>'1_Maximum'!S72</f>
        <v>0.09</v>
      </c>
      <c r="AA72" s="20">
        <f>'2_Maximum'!S72</f>
        <v>0.09</v>
      </c>
      <c r="AB72" s="20">
        <f>'3_Maximum'!S72</f>
        <v>0.09</v>
      </c>
      <c r="AC72" s="20">
        <f>'4_Maximum'!S72</f>
        <v>0.09</v>
      </c>
      <c r="AD72" s="20">
        <v>399</v>
      </c>
      <c r="AE72" s="20">
        <v>399</v>
      </c>
      <c r="AF72" s="20">
        <v>399</v>
      </c>
      <c r="AG72" s="20">
        <v>399</v>
      </c>
    </row>
    <row r="73" spans="1:33">
      <c r="A73" s="20">
        <f t="shared" si="10"/>
        <v>10.44</v>
      </c>
      <c r="B73" s="20">
        <f t="shared" si="11"/>
        <v>0.1</v>
      </c>
      <c r="C73" s="20">
        <f t="shared" si="12"/>
        <v>0.1</v>
      </c>
      <c r="D73" s="20">
        <f t="shared" si="13"/>
        <v>0.1</v>
      </c>
      <c r="E73" s="20">
        <f t="shared" si="14"/>
        <v>0.1</v>
      </c>
      <c r="F73" s="20">
        <v>0.2</v>
      </c>
      <c r="G73" s="20">
        <v>0</v>
      </c>
      <c r="Q73" s="20">
        <f>'1_Maximum'!Q73</f>
        <v>10.44</v>
      </c>
      <c r="R73" s="20">
        <f>'1_Maximum'!R73</f>
        <v>1269.6690000000001</v>
      </c>
      <c r="S73" s="20">
        <f>'2_Maximum'!R73</f>
        <v>1289.569</v>
      </c>
      <c r="T73" s="20">
        <f>'3_Maximum'!R73</f>
        <v>1310.239</v>
      </c>
      <c r="U73" s="20">
        <f>'4_Maximum'!R73</f>
        <v>1329.578</v>
      </c>
      <c r="V73" s="20">
        <f>'1_Maximum'!T73</f>
        <v>8.77</v>
      </c>
      <c r="W73" s="20">
        <f>'2_Maximum'!T73</f>
        <v>8.6</v>
      </c>
      <c r="X73" s="20">
        <f>'3_Maximum'!T73</f>
        <v>9.2200000000000006</v>
      </c>
      <c r="Y73" s="20">
        <f>'4_Maximum'!T73</f>
        <v>6.75</v>
      </c>
      <c r="Z73" s="20">
        <f>'1_Maximum'!S73</f>
        <v>0.1</v>
      </c>
      <c r="AA73" s="20">
        <f>'2_Maximum'!S73</f>
        <v>0.1</v>
      </c>
      <c r="AB73" s="20">
        <f>'3_Maximum'!S73</f>
        <v>0.1</v>
      </c>
      <c r="AC73" s="20">
        <f>'4_Maximum'!S73</f>
        <v>0.1</v>
      </c>
      <c r="AD73" s="20">
        <v>399</v>
      </c>
      <c r="AE73" s="20">
        <v>399</v>
      </c>
      <c r="AF73" s="20">
        <v>399</v>
      </c>
      <c r="AG73" s="20">
        <v>399</v>
      </c>
    </row>
    <row r="74" spans="1:33">
      <c r="A74" s="20">
        <f t="shared" si="10"/>
        <v>9.61</v>
      </c>
      <c r="B74" s="20">
        <f t="shared" si="11"/>
        <v>0.09</v>
      </c>
      <c r="C74" s="20">
        <f t="shared" si="12"/>
        <v>0.09</v>
      </c>
      <c r="D74" s="20">
        <f t="shared" si="13"/>
        <v>0.09</v>
      </c>
      <c r="E74" s="20">
        <f t="shared" si="14"/>
        <v>0.1</v>
      </c>
      <c r="F74" s="20">
        <v>0.2</v>
      </c>
      <c r="G74" s="20">
        <v>0</v>
      </c>
      <c r="Q74" s="20">
        <f>'1_Maximum'!Q74</f>
        <v>9.61</v>
      </c>
      <c r="R74" s="20">
        <f>'1_Maximum'!R74</f>
        <v>1269.5930000000001</v>
      </c>
      <c r="S74" s="20">
        <f>'2_Maximum'!R74</f>
        <v>1289.491</v>
      </c>
      <c r="T74" s="20">
        <f>'3_Maximum'!R74</f>
        <v>1310.163</v>
      </c>
      <c r="U74" s="20">
        <f>'4_Maximum'!R74</f>
        <v>1329.499</v>
      </c>
      <c r="V74" s="20">
        <f>'1_Maximum'!T74</f>
        <v>8.8000000000000007</v>
      </c>
      <c r="W74" s="20">
        <f>'2_Maximum'!T74</f>
        <v>8.67</v>
      </c>
      <c r="X74" s="20">
        <f>'3_Maximum'!T74</f>
        <v>9.25</v>
      </c>
      <c r="Y74" s="20">
        <f>'4_Maximum'!T74</f>
        <v>6.76</v>
      </c>
      <c r="Z74" s="20">
        <f>'1_Maximum'!S74</f>
        <v>0.09</v>
      </c>
      <c r="AA74" s="20">
        <f>'2_Maximum'!S74</f>
        <v>0.09</v>
      </c>
      <c r="AB74" s="20">
        <f>'3_Maximum'!S74</f>
        <v>0.09</v>
      </c>
      <c r="AC74" s="20">
        <f>'4_Maximum'!S74</f>
        <v>0.1</v>
      </c>
      <c r="AD74" s="20">
        <v>399</v>
      </c>
      <c r="AE74" s="20">
        <v>399</v>
      </c>
      <c r="AF74" s="20">
        <v>399</v>
      </c>
      <c r="AG74" s="20">
        <v>399</v>
      </c>
    </row>
    <row r="75" spans="1:33">
      <c r="A75" s="20">
        <f t="shared" si="10"/>
        <v>8.81</v>
      </c>
      <c r="B75" s="20">
        <f t="shared" si="11"/>
        <v>0.1</v>
      </c>
      <c r="C75" s="20">
        <f t="shared" si="12"/>
        <v>0.1</v>
      </c>
      <c r="D75" s="20">
        <f t="shared" si="13"/>
        <v>0.1</v>
      </c>
      <c r="E75" s="20">
        <f t="shared" si="14"/>
        <v>0.1</v>
      </c>
      <c r="F75" s="20">
        <v>0.2</v>
      </c>
      <c r="G75" s="20">
        <v>0</v>
      </c>
      <c r="Q75" s="20">
        <f>'1_Maximum'!Q75</f>
        <v>8.81</v>
      </c>
      <c r="R75" s="20">
        <f>'1_Maximum'!R75</f>
        <v>1269.5139999999999</v>
      </c>
      <c r="S75" s="20">
        <f>'2_Maximum'!R75</f>
        <v>1289.4110000000001</v>
      </c>
      <c r="T75" s="20">
        <f>'3_Maximum'!R75</f>
        <v>1310.086</v>
      </c>
      <c r="U75" s="20">
        <f>'4_Maximum'!R75</f>
        <v>1329.421</v>
      </c>
      <c r="V75" s="20">
        <f>'1_Maximum'!T75</f>
        <v>8.82</v>
      </c>
      <c r="W75" s="20">
        <f>'2_Maximum'!T75</f>
        <v>8.6999999999999993</v>
      </c>
      <c r="X75" s="20">
        <f>'3_Maximum'!T75</f>
        <v>9.3000000000000007</v>
      </c>
      <c r="Y75" s="20">
        <f>'4_Maximum'!T75</f>
        <v>6.73</v>
      </c>
      <c r="Z75" s="20">
        <f>'1_Maximum'!S75</f>
        <v>0.1</v>
      </c>
      <c r="AA75" s="20">
        <f>'2_Maximum'!S75</f>
        <v>0.1</v>
      </c>
      <c r="AB75" s="20">
        <f>'3_Maximum'!S75</f>
        <v>0.1</v>
      </c>
      <c r="AC75" s="20">
        <f>'4_Maximum'!S75</f>
        <v>0.1</v>
      </c>
      <c r="AD75" s="20">
        <v>399</v>
      </c>
      <c r="AE75" s="20">
        <v>399</v>
      </c>
      <c r="AF75" s="20">
        <v>399</v>
      </c>
      <c r="AG75" s="20">
        <v>399</v>
      </c>
    </row>
    <row r="76" spans="1:33">
      <c r="A76" s="20">
        <f t="shared" si="10"/>
        <v>7.98</v>
      </c>
      <c r="B76" s="20">
        <f t="shared" si="11"/>
        <v>0.09</v>
      </c>
      <c r="C76" s="20">
        <f t="shared" si="12"/>
        <v>0.09</v>
      </c>
      <c r="D76" s="20">
        <f t="shared" si="13"/>
        <v>0.09</v>
      </c>
      <c r="E76" s="20">
        <f t="shared" si="14"/>
        <v>0.09</v>
      </c>
      <c r="F76" s="20">
        <v>0.2</v>
      </c>
      <c r="G76" s="20">
        <v>0</v>
      </c>
      <c r="Q76" s="20">
        <f>'1_Maximum'!Q76</f>
        <v>7.98</v>
      </c>
      <c r="R76" s="20">
        <f>'1_Maximum'!R76</f>
        <v>1269.44</v>
      </c>
      <c r="S76" s="20">
        <f>'2_Maximum'!R76</f>
        <v>1289.3340000000001</v>
      </c>
      <c r="T76" s="20">
        <f>'3_Maximum'!R76</f>
        <v>1310.01</v>
      </c>
      <c r="U76" s="20">
        <f>'4_Maximum'!R76</f>
        <v>1329.3440000000001</v>
      </c>
      <c r="V76" s="20">
        <f>'1_Maximum'!T76</f>
        <v>8.82</v>
      </c>
      <c r="W76" s="20">
        <f>'2_Maximum'!T76</f>
        <v>8.67</v>
      </c>
      <c r="X76" s="20">
        <f>'3_Maximum'!T76</f>
        <v>9.39</v>
      </c>
      <c r="Y76" s="20">
        <f>'4_Maximum'!T76</f>
        <v>6.72</v>
      </c>
      <c r="Z76" s="20">
        <f>'1_Maximum'!S76</f>
        <v>0.09</v>
      </c>
      <c r="AA76" s="20">
        <f>'2_Maximum'!S76</f>
        <v>0.09</v>
      </c>
      <c r="AB76" s="20">
        <f>'3_Maximum'!S76</f>
        <v>0.09</v>
      </c>
      <c r="AC76" s="20">
        <f>'4_Maximum'!S76</f>
        <v>0.09</v>
      </c>
      <c r="AD76" s="20">
        <v>399</v>
      </c>
      <c r="AE76" s="20">
        <v>399</v>
      </c>
      <c r="AF76" s="20">
        <v>399</v>
      </c>
      <c r="AG76" s="20">
        <v>399</v>
      </c>
    </row>
    <row r="77" spans="1:33">
      <c r="A77" s="20">
        <f t="shared" si="10"/>
        <v>7.17</v>
      </c>
      <c r="B77" s="20">
        <f t="shared" si="11"/>
        <v>0.09</v>
      </c>
      <c r="C77" s="20">
        <f t="shared" si="12"/>
        <v>0.09</v>
      </c>
      <c r="D77" s="20">
        <f t="shared" si="13"/>
        <v>0.09</v>
      </c>
      <c r="E77" s="20">
        <f t="shared" si="14"/>
        <v>0.1</v>
      </c>
      <c r="F77" s="20">
        <v>0.2</v>
      </c>
      <c r="G77" s="20">
        <v>0</v>
      </c>
      <c r="Q77" s="20">
        <f>'1_Maximum'!Q77</f>
        <v>7.17</v>
      </c>
      <c r="R77" s="20">
        <f>'1_Maximum'!R77</f>
        <v>1269.364</v>
      </c>
      <c r="S77" s="20">
        <f>'2_Maximum'!R77</f>
        <v>1289.258</v>
      </c>
      <c r="T77" s="20">
        <f>'3_Maximum'!R77</f>
        <v>1309.9349999999999</v>
      </c>
      <c r="U77" s="20">
        <f>'4_Maximum'!R77</f>
        <v>1329.2670000000001</v>
      </c>
      <c r="V77" s="20">
        <f>'1_Maximum'!T77</f>
        <v>8.82</v>
      </c>
      <c r="W77" s="20">
        <f>'2_Maximum'!T77</f>
        <v>8.69</v>
      </c>
      <c r="X77" s="20">
        <f>'3_Maximum'!T77</f>
        <v>9.41</v>
      </c>
      <c r="Y77" s="20">
        <f>'4_Maximum'!T77</f>
        <v>6.75</v>
      </c>
      <c r="Z77" s="20">
        <f>'1_Maximum'!S77</f>
        <v>0.09</v>
      </c>
      <c r="AA77" s="20">
        <f>'2_Maximum'!S77</f>
        <v>0.09</v>
      </c>
      <c r="AB77" s="20">
        <f>'3_Maximum'!S77</f>
        <v>0.09</v>
      </c>
      <c r="AC77" s="20">
        <f>'4_Maximum'!S77</f>
        <v>0.1</v>
      </c>
      <c r="AD77" s="20">
        <v>399</v>
      </c>
      <c r="AE77" s="20">
        <v>399</v>
      </c>
      <c r="AF77" s="20">
        <v>399</v>
      </c>
      <c r="AG77" s="20">
        <v>399</v>
      </c>
    </row>
    <row r="78" spans="1:33">
      <c r="A78" s="20">
        <f t="shared" si="10"/>
        <v>6.33</v>
      </c>
      <c r="B78" s="20">
        <f t="shared" si="11"/>
        <v>0.09</v>
      </c>
      <c r="C78" s="20">
        <f t="shared" si="12"/>
        <v>0.09</v>
      </c>
      <c r="D78" s="20">
        <f t="shared" si="13"/>
        <v>0.09</v>
      </c>
      <c r="E78" s="20">
        <f t="shared" si="14"/>
        <v>0.09</v>
      </c>
      <c r="F78" s="20">
        <v>0.2</v>
      </c>
      <c r="G78" s="20">
        <v>0</v>
      </c>
      <c r="Q78" s="20">
        <f>'1_Maximum'!Q78</f>
        <v>6.33</v>
      </c>
      <c r="R78" s="20">
        <f>'1_Maximum'!R78</f>
        <v>1269.288</v>
      </c>
      <c r="S78" s="20">
        <f>'2_Maximum'!R78</f>
        <v>1289.181</v>
      </c>
      <c r="T78" s="20">
        <f>'3_Maximum'!R78</f>
        <v>1309.8589999999999</v>
      </c>
      <c r="U78" s="20">
        <f>'4_Maximum'!R78</f>
        <v>1329.19</v>
      </c>
      <c r="V78" s="20">
        <f>'1_Maximum'!T78</f>
        <v>8.9</v>
      </c>
      <c r="W78" s="20">
        <f>'2_Maximum'!T78</f>
        <v>8.69</v>
      </c>
      <c r="X78" s="20">
        <f>'3_Maximum'!T78</f>
        <v>9.48</v>
      </c>
      <c r="Y78" s="20">
        <f>'4_Maximum'!T78</f>
        <v>6.87</v>
      </c>
      <c r="Z78" s="20">
        <f>'1_Maximum'!S78</f>
        <v>0.09</v>
      </c>
      <c r="AA78" s="20">
        <f>'2_Maximum'!S78</f>
        <v>0.09</v>
      </c>
      <c r="AB78" s="20">
        <f>'3_Maximum'!S78</f>
        <v>0.09</v>
      </c>
      <c r="AC78" s="20">
        <f>'4_Maximum'!S78</f>
        <v>0.09</v>
      </c>
      <c r="AD78" s="20">
        <v>399</v>
      </c>
      <c r="AE78" s="20">
        <v>399</v>
      </c>
      <c r="AF78" s="20">
        <v>399</v>
      </c>
      <c r="AG78" s="20">
        <v>399</v>
      </c>
    </row>
    <row r="79" spans="1:33">
      <c r="A79" s="20">
        <f t="shared" si="10"/>
        <v>5.54</v>
      </c>
      <c r="B79" s="20">
        <f t="shared" si="11"/>
        <v>0.1</v>
      </c>
      <c r="C79" s="20">
        <f t="shared" si="12"/>
        <v>0.1</v>
      </c>
      <c r="D79" s="20">
        <f t="shared" si="13"/>
        <v>0.1</v>
      </c>
      <c r="E79" s="20">
        <f t="shared" si="14"/>
        <v>0.1</v>
      </c>
      <c r="F79" s="20">
        <v>0.2</v>
      </c>
      <c r="G79" s="20">
        <v>0</v>
      </c>
      <c r="Q79" s="20">
        <f>'1_Maximum'!Q79</f>
        <v>5.54</v>
      </c>
      <c r="R79" s="20">
        <f>'1_Maximum'!R79</f>
        <v>1269.2090000000001</v>
      </c>
      <c r="S79" s="20">
        <f>'2_Maximum'!R79</f>
        <v>1289.0999999999999</v>
      </c>
      <c r="T79" s="20">
        <f>'3_Maximum'!R79</f>
        <v>1309.778</v>
      </c>
      <c r="U79" s="20">
        <f>'4_Maximum'!R79</f>
        <v>1329.1079999999999</v>
      </c>
      <c r="V79" s="20">
        <f>'1_Maximum'!T79</f>
        <v>8.9700000000000006</v>
      </c>
      <c r="W79" s="20">
        <f>'2_Maximum'!T79</f>
        <v>8.6999999999999993</v>
      </c>
      <c r="X79" s="20">
        <f>'3_Maximum'!T79</f>
        <v>9.51</v>
      </c>
      <c r="Y79" s="20">
        <f>'4_Maximum'!T79</f>
        <v>6.82</v>
      </c>
      <c r="Z79" s="20">
        <f>'1_Maximum'!S79</f>
        <v>0.1</v>
      </c>
      <c r="AA79" s="20">
        <f>'2_Maximum'!S79</f>
        <v>0.1</v>
      </c>
      <c r="AB79" s="20">
        <f>'3_Maximum'!S79</f>
        <v>0.1</v>
      </c>
      <c r="AC79" s="20">
        <f>'4_Maximum'!S79</f>
        <v>0.1</v>
      </c>
      <c r="AD79" s="20">
        <v>399</v>
      </c>
      <c r="AE79" s="20">
        <v>399</v>
      </c>
      <c r="AF79" s="20">
        <v>399</v>
      </c>
      <c r="AG79" s="20">
        <v>399</v>
      </c>
    </row>
    <row r="80" spans="1:33">
      <c r="A80" s="20">
        <f t="shared" si="10"/>
        <v>4.6900000000000004</v>
      </c>
      <c r="B80" s="20">
        <f t="shared" si="11"/>
        <v>0.09</v>
      </c>
      <c r="C80" s="20">
        <f t="shared" si="12"/>
        <v>0.09</v>
      </c>
      <c r="D80" s="20">
        <f t="shared" si="13"/>
        <v>0.09</v>
      </c>
      <c r="E80" s="20">
        <f t="shared" si="14"/>
        <v>0.09</v>
      </c>
      <c r="F80" s="20">
        <v>0.2</v>
      </c>
      <c r="G80" s="20">
        <v>0</v>
      </c>
      <c r="Q80" s="20">
        <f>'1_Maximum'!Q80</f>
        <v>4.6900000000000004</v>
      </c>
      <c r="R80" s="20">
        <f>'1_Maximum'!R80</f>
        <v>1269.133</v>
      </c>
      <c r="S80" s="20">
        <f>'2_Maximum'!R80</f>
        <v>1289.0239999999999</v>
      </c>
      <c r="T80" s="20">
        <f>'3_Maximum'!R80</f>
        <v>1309.702</v>
      </c>
      <c r="U80" s="20">
        <f>'4_Maximum'!R80</f>
        <v>1329.0319999999999</v>
      </c>
      <c r="V80" s="20">
        <f>'1_Maximum'!T80</f>
        <v>9.07</v>
      </c>
      <c r="W80" s="20">
        <f>'2_Maximum'!T80</f>
        <v>8.7100000000000009</v>
      </c>
      <c r="X80" s="20">
        <f>'3_Maximum'!T80</f>
        <v>9.6</v>
      </c>
      <c r="Y80" s="20">
        <f>'4_Maximum'!T80</f>
        <v>6.84</v>
      </c>
      <c r="Z80" s="20">
        <f>'1_Maximum'!S80</f>
        <v>0.09</v>
      </c>
      <c r="AA80" s="20">
        <f>'2_Maximum'!S80</f>
        <v>0.09</v>
      </c>
      <c r="AB80" s="20">
        <f>'3_Maximum'!S80</f>
        <v>0.09</v>
      </c>
      <c r="AC80" s="20">
        <f>'4_Maximum'!S80</f>
        <v>0.09</v>
      </c>
      <c r="AD80" s="20">
        <v>399</v>
      </c>
      <c r="AE80" s="20">
        <v>399</v>
      </c>
      <c r="AF80" s="20">
        <v>399</v>
      </c>
      <c r="AG80" s="20">
        <v>399</v>
      </c>
    </row>
    <row r="81" spans="1:33">
      <c r="A81" s="20">
        <f t="shared" si="10"/>
        <v>3.91</v>
      </c>
      <c r="B81" s="20">
        <f t="shared" si="11"/>
        <v>0.1</v>
      </c>
      <c r="C81" s="20">
        <f t="shared" si="12"/>
        <v>0.1</v>
      </c>
      <c r="D81" s="20">
        <f t="shared" si="13"/>
        <v>0.1</v>
      </c>
      <c r="E81" s="20">
        <f t="shared" si="14"/>
        <v>0.1</v>
      </c>
      <c r="F81" s="20">
        <v>0.2</v>
      </c>
      <c r="G81" s="20">
        <v>0</v>
      </c>
      <c r="Q81" s="20">
        <f>'1_Maximum'!Q81</f>
        <v>3.91</v>
      </c>
      <c r="R81" s="20">
        <f>'1_Maximum'!R81</f>
        <v>1269.056</v>
      </c>
      <c r="S81" s="20">
        <f>'2_Maximum'!R81</f>
        <v>1288.9459999999999</v>
      </c>
      <c r="T81" s="20">
        <f>'3_Maximum'!R81</f>
        <v>1309.624</v>
      </c>
      <c r="U81" s="20">
        <f>'4_Maximum'!R81</f>
        <v>1328.953</v>
      </c>
      <c r="V81" s="20">
        <f>'1_Maximum'!T81</f>
        <v>9.19</v>
      </c>
      <c r="W81" s="20">
        <f>'2_Maximum'!T81</f>
        <v>8.77</v>
      </c>
      <c r="X81" s="20">
        <f>'3_Maximum'!T81</f>
        <v>9.6</v>
      </c>
      <c r="Y81" s="20">
        <f>'4_Maximum'!T81</f>
        <v>6.91</v>
      </c>
      <c r="Z81" s="20">
        <f>'1_Maximum'!S81</f>
        <v>0.1</v>
      </c>
      <c r="AA81" s="20">
        <f>'2_Maximum'!S81</f>
        <v>0.1</v>
      </c>
      <c r="AB81" s="20">
        <f>'3_Maximum'!S81</f>
        <v>0.1</v>
      </c>
      <c r="AC81" s="20">
        <f>'4_Maximum'!S81</f>
        <v>0.1</v>
      </c>
      <c r="AD81" s="20">
        <v>399</v>
      </c>
      <c r="AE81" s="20">
        <v>399</v>
      </c>
      <c r="AF81" s="20">
        <v>399</v>
      </c>
      <c r="AG81" s="20">
        <v>399</v>
      </c>
    </row>
    <row r="82" spans="1:33">
      <c r="A82" s="20">
        <f t="shared" si="10"/>
        <v>3.06</v>
      </c>
      <c r="B82" s="20">
        <f t="shared" si="11"/>
        <v>0.09</v>
      </c>
      <c r="C82" s="20">
        <f t="shared" si="12"/>
        <v>0.09</v>
      </c>
      <c r="D82" s="20">
        <f t="shared" si="13"/>
        <v>0.09</v>
      </c>
      <c r="E82" s="20">
        <f t="shared" si="14"/>
        <v>0.09</v>
      </c>
      <c r="F82" s="20">
        <v>0.2</v>
      </c>
      <c r="G82" s="20">
        <v>0</v>
      </c>
      <c r="Q82" s="20">
        <f>'1_Maximum'!Q82</f>
        <v>3.06</v>
      </c>
      <c r="R82" s="20">
        <f>'1_Maximum'!R82</f>
        <v>1268.982</v>
      </c>
      <c r="S82" s="20">
        <f>'2_Maximum'!R82</f>
        <v>1288.8720000000001</v>
      </c>
      <c r="T82" s="20">
        <f>'3_Maximum'!R82</f>
        <v>1309.55</v>
      </c>
      <c r="U82" s="20">
        <f>'4_Maximum'!R82</f>
        <v>1328.8779999999999</v>
      </c>
      <c r="V82" s="20">
        <f>'1_Maximum'!T82</f>
        <v>9.15</v>
      </c>
      <c r="W82" s="20">
        <f>'2_Maximum'!T82</f>
        <v>8.73</v>
      </c>
      <c r="X82" s="20">
        <f>'3_Maximum'!T82</f>
        <v>9.6199999999999992</v>
      </c>
      <c r="Y82" s="20">
        <f>'4_Maximum'!T82</f>
        <v>6.96</v>
      </c>
      <c r="Z82" s="20">
        <f>'1_Maximum'!S82</f>
        <v>0.09</v>
      </c>
      <c r="AA82" s="20">
        <f>'2_Maximum'!S82</f>
        <v>0.09</v>
      </c>
      <c r="AB82" s="20">
        <f>'3_Maximum'!S82</f>
        <v>0.09</v>
      </c>
      <c r="AC82" s="20">
        <f>'4_Maximum'!S82</f>
        <v>0.09</v>
      </c>
      <c r="AD82" s="20">
        <v>399</v>
      </c>
      <c r="AE82" s="20">
        <v>399</v>
      </c>
      <c r="AF82" s="20">
        <v>399</v>
      </c>
      <c r="AG82" s="20">
        <v>399</v>
      </c>
    </row>
    <row r="83" spans="1:33">
      <c r="A83" s="20">
        <f t="shared" si="10"/>
        <v>2.2999999999999998</v>
      </c>
      <c r="B83" s="20">
        <f t="shared" si="11"/>
        <v>0.11</v>
      </c>
      <c r="C83" s="20">
        <f t="shared" si="12"/>
        <v>0.11</v>
      </c>
      <c r="D83" s="20">
        <f t="shared" si="13"/>
        <v>0.11</v>
      </c>
      <c r="E83" s="20">
        <f t="shared" si="14"/>
        <v>0.11</v>
      </c>
      <c r="F83" s="20">
        <v>0.2</v>
      </c>
      <c r="G83" s="20">
        <v>0</v>
      </c>
      <c r="Q83" s="20">
        <f>'1_Maximum'!Q83</f>
        <v>2.2999999999999998</v>
      </c>
      <c r="R83" s="20">
        <f>'1_Maximum'!R83</f>
        <v>1268.902</v>
      </c>
      <c r="S83" s="20">
        <f>'2_Maximum'!R83</f>
        <v>1288.7909999999999</v>
      </c>
      <c r="T83" s="20">
        <f>'3_Maximum'!R83</f>
        <v>1309.47</v>
      </c>
      <c r="U83" s="20">
        <f>'4_Maximum'!R83</f>
        <v>1328.796</v>
      </c>
      <c r="V83" s="20">
        <f>'1_Maximum'!T83</f>
        <v>9.1300000000000008</v>
      </c>
      <c r="W83" s="20">
        <f>'2_Maximum'!T83</f>
        <v>8.8000000000000007</v>
      </c>
      <c r="X83" s="20">
        <f>'3_Maximum'!T83</f>
        <v>9.64</v>
      </c>
      <c r="Y83" s="20">
        <f>'4_Maximum'!T83</f>
        <v>6.96</v>
      </c>
      <c r="Z83" s="20">
        <f>'1_Maximum'!S83</f>
        <v>0.11</v>
      </c>
      <c r="AA83" s="20">
        <f>'2_Maximum'!S83</f>
        <v>0.11</v>
      </c>
      <c r="AB83" s="20">
        <f>'3_Maximum'!S83</f>
        <v>0.11</v>
      </c>
      <c r="AC83" s="20">
        <f>'4_Maximum'!S83</f>
        <v>0.11</v>
      </c>
      <c r="AD83" s="20">
        <v>399</v>
      </c>
      <c r="AE83" s="20">
        <v>399</v>
      </c>
      <c r="AF83" s="20">
        <v>399</v>
      </c>
      <c r="AG83" s="20">
        <v>399</v>
      </c>
    </row>
    <row r="84" spans="1:33">
      <c r="A84" s="20">
        <f t="shared" si="10"/>
        <v>1.45</v>
      </c>
      <c r="B84" s="20">
        <f t="shared" si="11"/>
        <v>0.09</v>
      </c>
      <c r="C84" s="20">
        <f t="shared" si="12"/>
        <v>0.09</v>
      </c>
      <c r="D84" s="20">
        <f t="shared" si="13"/>
        <v>0.08</v>
      </c>
      <c r="E84" s="20">
        <f t="shared" si="14"/>
        <v>0.09</v>
      </c>
      <c r="F84" s="20">
        <v>0.2</v>
      </c>
      <c r="G84" s="20">
        <v>0</v>
      </c>
      <c r="Q84" s="20">
        <f>'1_Maximum'!Q84</f>
        <v>1.45</v>
      </c>
      <c r="R84" s="20">
        <f>'1_Maximum'!R84</f>
        <v>1268.829</v>
      </c>
      <c r="S84" s="20">
        <f>'2_Maximum'!R84</f>
        <v>1288.7170000000001</v>
      </c>
      <c r="T84" s="20">
        <f>'3_Maximum'!R84</f>
        <v>1309.3979999999999</v>
      </c>
      <c r="U84" s="20">
        <f>'4_Maximum'!R84</f>
        <v>1328.722</v>
      </c>
      <c r="V84" s="20">
        <f>'1_Maximum'!T84</f>
        <v>9.1300000000000008</v>
      </c>
      <c r="W84" s="20">
        <f>'2_Maximum'!T84</f>
        <v>8.76</v>
      </c>
      <c r="X84" s="20">
        <f>'3_Maximum'!T84</f>
        <v>9.6999999999999993</v>
      </c>
      <c r="Y84" s="20">
        <f>'4_Maximum'!T84</f>
        <v>7.01</v>
      </c>
      <c r="Z84" s="20">
        <f>'1_Maximum'!S84</f>
        <v>0.09</v>
      </c>
      <c r="AA84" s="20">
        <f>'2_Maximum'!S84</f>
        <v>0.09</v>
      </c>
      <c r="AB84" s="20">
        <f>'3_Maximum'!S84</f>
        <v>0.08</v>
      </c>
      <c r="AC84" s="20">
        <f>'4_Maximum'!S84</f>
        <v>0.09</v>
      </c>
      <c r="AD84" s="20">
        <v>399</v>
      </c>
      <c r="AE84" s="20">
        <v>399</v>
      </c>
      <c r="AF84" s="20">
        <v>399</v>
      </c>
      <c r="AG84" s="20">
        <v>399</v>
      </c>
    </row>
    <row r="85" spans="1:33">
      <c r="A85" s="20">
        <f t="shared" si="10"/>
        <v>0.65</v>
      </c>
      <c r="B85" s="20">
        <f t="shared" si="11"/>
        <v>0.09</v>
      </c>
      <c r="C85" s="20">
        <f t="shared" si="12"/>
        <v>0.1</v>
      </c>
      <c r="D85" s="20">
        <f t="shared" si="13"/>
        <v>0.09</v>
      </c>
      <c r="E85" s="20">
        <f t="shared" si="14"/>
        <v>0.1</v>
      </c>
      <c r="F85" s="20">
        <v>0.2</v>
      </c>
      <c r="G85" s="20">
        <v>0</v>
      </c>
      <c r="Q85" s="20">
        <f>'1_Maximum'!Q85</f>
        <v>0.65</v>
      </c>
      <c r="R85" s="20">
        <f>'1_Maximum'!R85</f>
        <v>1268.7539999999999</v>
      </c>
      <c r="S85" s="20">
        <f>'2_Maximum'!R85</f>
        <v>1288.6410000000001</v>
      </c>
      <c r="T85" s="20">
        <f>'3_Maximum'!R85</f>
        <v>1309.3230000000001</v>
      </c>
      <c r="U85" s="20">
        <f>'4_Maximum'!R85</f>
        <v>1328.645</v>
      </c>
      <c r="V85" s="20">
        <f>'1_Maximum'!T85</f>
        <v>9.17</v>
      </c>
      <c r="W85" s="20">
        <f>'2_Maximum'!T85</f>
        <v>8.8000000000000007</v>
      </c>
      <c r="X85" s="20">
        <f>'3_Maximum'!T85</f>
        <v>9.68</v>
      </c>
      <c r="Y85" s="20">
        <f>'4_Maximum'!T85</f>
        <v>6.98</v>
      </c>
      <c r="Z85" s="20">
        <f>'1_Maximum'!S85</f>
        <v>0.09</v>
      </c>
      <c r="AA85" s="20">
        <f>'2_Maximum'!S85</f>
        <v>0.1</v>
      </c>
      <c r="AB85" s="20">
        <f>'3_Maximum'!S85</f>
        <v>0.09</v>
      </c>
      <c r="AC85" s="20">
        <f>'4_Maximum'!S85</f>
        <v>0.1</v>
      </c>
      <c r="AD85" s="20">
        <v>399</v>
      </c>
      <c r="AE85" s="20">
        <v>399</v>
      </c>
      <c r="AF85" s="20">
        <v>399</v>
      </c>
      <c r="AG85" s="20">
        <v>399</v>
      </c>
    </row>
    <row r="86" spans="1:33">
      <c r="A86" s="20">
        <f t="shared" si="10"/>
        <v>-0.16</v>
      </c>
      <c r="B86" s="20">
        <f t="shared" si="11"/>
        <v>0.09</v>
      </c>
      <c r="C86" s="20">
        <f t="shared" si="12"/>
        <v>0.1</v>
      </c>
      <c r="D86" s="20">
        <f t="shared" si="13"/>
        <v>0.1</v>
      </c>
      <c r="E86" s="20">
        <f t="shared" si="14"/>
        <v>0.1</v>
      </c>
      <c r="F86" s="20">
        <v>0.2</v>
      </c>
      <c r="G86" s="20">
        <v>0</v>
      </c>
      <c r="Q86" s="20">
        <f>'1_Maximum'!Q86</f>
        <v>-0.16</v>
      </c>
      <c r="R86" s="20">
        <f>'1_Maximum'!R86</f>
        <v>1268.6780000000001</v>
      </c>
      <c r="S86" s="20">
        <f>'2_Maximum'!R86</f>
        <v>1288.5640000000001</v>
      </c>
      <c r="T86" s="20">
        <f>'3_Maximum'!R86</f>
        <v>1309.2449999999999</v>
      </c>
      <c r="U86" s="20">
        <f>'4_Maximum'!R86</f>
        <v>1328.566</v>
      </c>
      <c r="V86" s="20">
        <f>'1_Maximum'!T86</f>
        <v>9.1999999999999993</v>
      </c>
      <c r="W86" s="20">
        <f>'2_Maximum'!T86</f>
        <v>8.83</v>
      </c>
      <c r="X86" s="20">
        <f>'3_Maximum'!T86</f>
        <v>9.7200000000000006</v>
      </c>
      <c r="Y86" s="20">
        <f>'4_Maximum'!T86</f>
        <v>7.02</v>
      </c>
      <c r="Z86" s="20">
        <f>'1_Maximum'!S86</f>
        <v>0.09</v>
      </c>
      <c r="AA86" s="20">
        <f>'2_Maximum'!S86</f>
        <v>0.1</v>
      </c>
      <c r="AB86" s="20">
        <f>'3_Maximum'!S86</f>
        <v>0.1</v>
      </c>
      <c r="AC86" s="20">
        <f>'4_Maximum'!S86</f>
        <v>0.1</v>
      </c>
      <c r="AD86" s="20">
        <v>399</v>
      </c>
      <c r="AE86" s="20">
        <v>399</v>
      </c>
      <c r="AF86" s="20">
        <v>399</v>
      </c>
      <c r="AG86" s="20">
        <v>399</v>
      </c>
    </row>
    <row r="87" spans="1:33">
      <c r="A87" s="20">
        <f t="shared" ref="A87:A91" si="15">Q87</f>
        <v>0</v>
      </c>
      <c r="B87" s="20">
        <f t="shared" ref="B87:B91" si="16">Z87</f>
        <v>0</v>
      </c>
      <c r="C87" s="20">
        <f t="shared" ref="C87:C91" si="17">AA87</f>
        <v>0</v>
      </c>
      <c r="D87" s="20">
        <f t="shared" ref="D87:D91" si="18">AB87</f>
        <v>0</v>
      </c>
      <c r="E87" s="20">
        <f t="shared" ref="E87:E91" si="19">AC87</f>
        <v>0</v>
      </c>
      <c r="F87" s="20">
        <v>0.2</v>
      </c>
      <c r="G87" s="20">
        <v>0</v>
      </c>
      <c r="H87" s="20"/>
      <c r="I87" s="20"/>
      <c r="J87" s="20"/>
      <c r="K87" s="20"/>
      <c r="L87" s="20"/>
      <c r="M87" s="20"/>
      <c r="N87" s="20"/>
      <c r="O87" s="20"/>
      <c r="P87" s="20"/>
      <c r="Q87" s="20">
        <f>'1_Maximum'!Q87</f>
        <v>0</v>
      </c>
      <c r="R87" s="20">
        <f>'1_Maximum'!R87</f>
        <v>0</v>
      </c>
      <c r="S87" s="20">
        <f>'2_Maximum'!R87</f>
        <v>0</v>
      </c>
      <c r="T87" s="20">
        <f>'3_Maximum'!R87</f>
        <v>0</v>
      </c>
      <c r="U87" s="20">
        <f>'4_Maximum'!R87</f>
        <v>0</v>
      </c>
      <c r="V87" s="20">
        <f>'1_Maximum'!T87</f>
        <v>0</v>
      </c>
      <c r="W87" s="20">
        <f>'2_Maximum'!T87</f>
        <v>0</v>
      </c>
      <c r="X87" s="20">
        <f>'3_Maximum'!T87</f>
        <v>0</v>
      </c>
      <c r="Y87" s="20">
        <f>'4_Maximum'!T87</f>
        <v>0</v>
      </c>
      <c r="Z87" s="20">
        <f>'1_Maximum'!S87</f>
        <v>0</v>
      </c>
      <c r="AA87" s="20">
        <f>'2_Maximum'!S87</f>
        <v>0</v>
      </c>
      <c r="AB87" s="20">
        <f>'3_Maximum'!S87</f>
        <v>0</v>
      </c>
      <c r="AC87" s="20">
        <f>'4_Maximum'!S87</f>
        <v>0</v>
      </c>
      <c r="AD87" s="20">
        <v>399</v>
      </c>
      <c r="AE87" s="20">
        <v>399</v>
      </c>
      <c r="AF87" s="20">
        <v>399</v>
      </c>
      <c r="AG87" s="20">
        <v>399</v>
      </c>
    </row>
    <row r="88" spans="1:33">
      <c r="A88" s="20">
        <f t="shared" si="15"/>
        <v>0</v>
      </c>
      <c r="B88" s="20">
        <f t="shared" si="16"/>
        <v>0</v>
      </c>
      <c r="C88" s="20">
        <f t="shared" si="17"/>
        <v>0</v>
      </c>
      <c r="D88" s="20">
        <f t="shared" si="18"/>
        <v>0</v>
      </c>
      <c r="E88" s="20">
        <f t="shared" si="19"/>
        <v>0</v>
      </c>
      <c r="F88" s="20">
        <v>0.2</v>
      </c>
      <c r="G88" s="20">
        <v>0</v>
      </c>
      <c r="H88" s="20"/>
      <c r="I88" s="20"/>
      <c r="J88" s="20"/>
      <c r="K88" s="20"/>
      <c r="L88" s="20"/>
      <c r="M88" s="20"/>
      <c r="N88" s="20"/>
      <c r="O88" s="20"/>
      <c r="P88" s="20"/>
      <c r="Q88" s="20">
        <f>'1_Maximum'!Q88</f>
        <v>0</v>
      </c>
      <c r="R88" s="20">
        <f>'1_Maximum'!R88</f>
        <v>0</v>
      </c>
      <c r="S88" s="20">
        <f>'2_Maximum'!R88</f>
        <v>0</v>
      </c>
      <c r="T88" s="20">
        <f>'3_Maximum'!R88</f>
        <v>0</v>
      </c>
      <c r="U88" s="20">
        <f>'4_Maximum'!R88</f>
        <v>0</v>
      </c>
      <c r="V88" s="20">
        <f>'1_Maximum'!T88</f>
        <v>0</v>
      </c>
      <c r="W88" s="20">
        <f>'2_Maximum'!T88</f>
        <v>0</v>
      </c>
      <c r="X88" s="20">
        <f>'3_Maximum'!T88</f>
        <v>0</v>
      </c>
      <c r="Y88" s="20">
        <f>'4_Maximum'!T88</f>
        <v>0</v>
      </c>
      <c r="Z88" s="20">
        <f>'1_Maximum'!S88</f>
        <v>0</v>
      </c>
      <c r="AA88" s="20">
        <f>'2_Maximum'!S88</f>
        <v>0</v>
      </c>
      <c r="AB88" s="20">
        <f>'3_Maximum'!S88</f>
        <v>0</v>
      </c>
      <c r="AC88" s="20">
        <f>'4_Maximum'!S88</f>
        <v>0</v>
      </c>
      <c r="AD88" s="20">
        <v>399</v>
      </c>
      <c r="AE88" s="20">
        <v>399</v>
      </c>
      <c r="AF88" s="20">
        <v>399</v>
      </c>
      <c r="AG88" s="20">
        <v>399</v>
      </c>
    </row>
    <row r="89" spans="1:33">
      <c r="A89" s="20">
        <f t="shared" si="15"/>
        <v>0</v>
      </c>
      <c r="B89" s="20">
        <f t="shared" si="16"/>
        <v>0</v>
      </c>
      <c r="C89" s="20">
        <f t="shared" si="17"/>
        <v>0</v>
      </c>
      <c r="D89" s="20">
        <f t="shared" si="18"/>
        <v>0</v>
      </c>
      <c r="E89" s="20">
        <f t="shared" si="19"/>
        <v>0</v>
      </c>
      <c r="F89" s="20">
        <v>0.2</v>
      </c>
      <c r="G89" s="20">
        <v>0</v>
      </c>
      <c r="H89" s="20"/>
      <c r="I89" s="20"/>
      <c r="J89" s="20"/>
      <c r="K89" s="20"/>
      <c r="L89" s="20"/>
      <c r="M89" s="20"/>
      <c r="N89" s="20"/>
      <c r="O89" s="20"/>
      <c r="P89" s="20"/>
      <c r="Q89" s="20">
        <f>'1_Maximum'!Q89</f>
        <v>0</v>
      </c>
      <c r="R89" s="20">
        <f>'1_Maximum'!R89</f>
        <v>0</v>
      </c>
      <c r="S89" s="20">
        <f>'2_Maximum'!R89</f>
        <v>0</v>
      </c>
      <c r="T89" s="20">
        <f>'3_Maximum'!R89</f>
        <v>0</v>
      </c>
      <c r="U89" s="20">
        <f>'4_Maximum'!R89</f>
        <v>0</v>
      </c>
      <c r="V89" s="20">
        <f>'1_Maximum'!T89</f>
        <v>0</v>
      </c>
      <c r="W89" s="20">
        <f>'2_Maximum'!T89</f>
        <v>0</v>
      </c>
      <c r="X89" s="20">
        <f>'3_Maximum'!T89</f>
        <v>0</v>
      </c>
      <c r="Y89" s="20">
        <f>'4_Maximum'!T89</f>
        <v>0</v>
      </c>
      <c r="Z89" s="20">
        <f>'1_Maximum'!S89</f>
        <v>0</v>
      </c>
      <c r="AA89" s="20">
        <f>'2_Maximum'!S89</f>
        <v>0</v>
      </c>
      <c r="AB89" s="20">
        <f>'3_Maximum'!S89</f>
        <v>0</v>
      </c>
      <c r="AC89" s="20">
        <f>'4_Maximum'!S89</f>
        <v>0</v>
      </c>
      <c r="AD89" s="20">
        <v>399</v>
      </c>
      <c r="AE89" s="20">
        <v>399</v>
      </c>
      <c r="AF89" s="20">
        <v>399</v>
      </c>
      <c r="AG89" s="20">
        <v>399</v>
      </c>
    </row>
    <row r="90" spans="1:33">
      <c r="A90" s="20">
        <f t="shared" si="15"/>
        <v>0</v>
      </c>
      <c r="B90" s="20">
        <f t="shared" si="16"/>
        <v>0</v>
      </c>
      <c r="C90" s="20">
        <f t="shared" si="17"/>
        <v>0</v>
      </c>
      <c r="D90" s="20">
        <f t="shared" si="18"/>
        <v>0</v>
      </c>
      <c r="E90" s="20">
        <f t="shared" si="19"/>
        <v>0</v>
      </c>
      <c r="F90" s="20">
        <v>0.2</v>
      </c>
      <c r="G90" s="20">
        <v>0</v>
      </c>
      <c r="H90" s="20"/>
      <c r="I90" s="20"/>
      <c r="J90" s="20"/>
      <c r="K90" s="20"/>
      <c r="L90" s="20"/>
      <c r="M90" s="20"/>
      <c r="N90" s="20"/>
      <c r="O90" s="20"/>
      <c r="P90" s="20"/>
      <c r="Q90" s="20">
        <f>'1_Maximum'!Q90</f>
        <v>0</v>
      </c>
      <c r="R90" s="20">
        <f>'1_Maximum'!R90</f>
        <v>0</v>
      </c>
      <c r="S90" s="20">
        <f>'2_Maximum'!R90</f>
        <v>0</v>
      </c>
      <c r="T90" s="20">
        <f>'3_Maximum'!R90</f>
        <v>0</v>
      </c>
      <c r="U90" s="20">
        <f>'4_Maximum'!R90</f>
        <v>0</v>
      </c>
      <c r="V90" s="20">
        <f>'1_Maximum'!T90</f>
        <v>0</v>
      </c>
      <c r="W90" s="20">
        <f>'2_Maximum'!T90</f>
        <v>0</v>
      </c>
      <c r="X90" s="20">
        <f>'3_Maximum'!T90</f>
        <v>0</v>
      </c>
      <c r="Y90" s="20">
        <f>'4_Maximum'!T90</f>
        <v>0</v>
      </c>
      <c r="Z90" s="20">
        <f>'1_Maximum'!S90</f>
        <v>0</v>
      </c>
      <c r="AA90" s="20">
        <f>'2_Maximum'!S90</f>
        <v>0</v>
      </c>
      <c r="AB90" s="20">
        <f>'3_Maximum'!S90</f>
        <v>0</v>
      </c>
      <c r="AC90" s="20">
        <f>'4_Maximum'!S90</f>
        <v>0</v>
      </c>
      <c r="AD90" s="20">
        <v>399</v>
      </c>
      <c r="AE90" s="20">
        <v>399</v>
      </c>
      <c r="AF90" s="20">
        <v>399</v>
      </c>
      <c r="AG90" s="20">
        <v>399</v>
      </c>
    </row>
    <row r="91" spans="1:33">
      <c r="A91" s="20">
        <f t="shared" si="15"/>
        <v>0</v>
      </c>
      <c r="B91" s="20">
        <f t="shared" si="16"/>
        <v>0</v>
      </c>
      <c r="C91" s="20">
        <f t="shared" si="17"/>
        <v>0</v>
      </c>
      <c r="D91" s="20">
        <f t="shared" si="18"/>
        <v>0</v>
      </c>
      <c r="E91" s="20">
        <f t="shared" si="19"/>
        <v>0</v>
      </c>
      <c r="F91" s="20">
        <v>0.2</v>
      </c>
      <c r="G91" s="20">
        <v>0</v>
      </c>
      <c r="H91" s="20"/>
      <c r="I91" s="20"/>
      <c r="J91" s="20"/>
      <c r="K91" s="20"/>
      <c r="L91" s="20"/>
      <c r="M91" s="20"/>
      <c r="N91" s="20"/>
      <c r="O91" s="20"/>
      <c r="P91" s="20"/>
      <c r="Q91" s="20">
        <f>'1_Maximum'!Q91</f>
        <v>0</v>
      </c>
      <c r="R91" s="20">
        <f>'1_Maximum'!R91</f>
        <v>0</v>
      </c>
      <c r="S91" s="20">
        <f>'2_Maximum'!R91</f>
        <v>0</v>
      </c>
      <c r="T91" s="20">
        <f>'3_Maximum'!R91</f>
        <v>0</v>
      </c>
      <c r="U91" s="20">
        <f>'4_Maximum'!R91</f>
        <v>0</v>
      </c>
      <c r="V91" s="20">
        <f>'1_Maximum'!T91</f>
        <v>0</v>
      </c>
      <c r="W91" s="20">
        <f>'2_Maximum'!T91</f>
        <v>0</v>
      </c>
      <c r="X91" s="20">
        <f>'3_Maximum'!T91</f>
        <v>0</v>
      </c>
      <c r="Y91" s="20">
        <f>'4_Maximum'!T91</f>
        <v>0</v>
      </c>
      <c r="Z91" s="20">
        <f>'1_Maximum'!S91</f>
        <v>0</v>
      </c>
      <c r="AA91" s="20">
        <f>'2_Maximum'!S91</f>
        <v>0</v>
      </c>
      <c r="AB91" s="20">
        <f>'3_Maximum'!S91</f>
        <v>0</v>
      </c>
      <c r="AC91" s="20">
        <f>'4_Maximum'!S91</f>
        <v>0</v>
      </c>
      <c r="AD91" s="20">
        <v>399</v>
      </c>
      <c r="AE91" s="20">
        <v>399</v>
      </c>
      <c r="AF91" s="20">
        <v>399</v>
      </c>
      <c r="AG91" s="20">
        <v>399</v>
      </c>
    </row>
    <row r="92" spans="1:33">
      <c r="A92" s="20"/>
      <c r="B92" s="20"/>
      <c r="C92" s="20"/>
      <c r="D92" s="20"/>
      <c r="E92" s="20"/>
      <c r="F92" s="20"/>
      <c r="G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>
      <c r="A93" s="20"/>
      <c r="B93" s="20"/>
      <c r="C93" s="20"/>
      <c r="D93" s="20"/>
      <c r="E93" s="20"/>
      <c r="F93" s="20"/>
      <c r="G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>
      <c r="A94" s="20"/>
      <c r="B94" s="20"/>
      <c r="C94" s="20"/>
      <c r="D94" s="20"/>
      <c r="E94" s="20"/>
      <c r="F94" s="20"/>
      <c r="G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>
      <c r="A95" s="20"/>
      <c r="B95" s="20"/>
      <c r="C95" s="20"/>
      <c r="D95" s="20"/>
      <c r="E95" s="20"/>
      <c r="F95" s="20"/>
      <c r="G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>
      <c r="A96" s="20"/>
      <c r="B96" s="20"/>
      <c r="C96" s="20"/>
      <c r="D96" s="20"/>
      <c r="E96" s="20"/>
      <c r="F96" s="20"/>
      <c r="G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>
      <c r="A97" s="20"/>
      <c r="B97" s="20"/>
      <c r="C97" s="20"/>
      <c r="D97" s="20"/>
      <c r="E97" s="20"/>
      <c r="F97" s="20"/>
      <c r="G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>
      <c r="A98" s="20"/>
      <c r="B98" s="20"/>
      <c r="C98" s="20"/>
      <c r="D98" s="20"/>
      <c r="E98" s="20"/>
      <c r="F98" s="20"/>
      <c r="G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>
      <c r="A99" s="20"/>
      <c r="B99" s="20"/>
      <c r="C99" s="20"/>
      <c r="D99" s="20"/>
      <c r="E99" s="20"/>
      <c r="F99" s="20"/>
      <c r="G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>
      <c r="A100" s="20"/>
      <c r="B100" s="20"/>
      <c r="C100" s="20"/>
      <c r="D100" s="20"/>
      <c r="E100" s="20"/>
      <c r="F100" s="20"/>
      <c r="G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>
      <c r="A101" s="20"/>
      <c r="B101" s="20"/>
      <c r="C101" s="20"/>
      <c r="D101" s="20"/>
      <c r="E101" s="20"/>
      <c r="F101" s="20"/>
      <c r="G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>
      <c r="A102" s="20"/>
      <c r="B102" s="20"/>
      <c r="C102" s="20"/>
      <c r="D102" s="20"/>
      <c r="E102" s="20"/>
      <c r="F102" s="20"/>
      <c r="G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>
      <c r="A103" s="20"/>
      <c r="B103" s="20"/>
      <c r="C103" s="20"/>
      <c r="D103" s="20"/>
      <c r="E103" s="20"/>
      <c r="F103" s="20"/>
      <c r="G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>
      <c r="A104" s="20"/>
      <c r="B104" s="20"/>
      <c r="C104" s="20"/>
      <c r="D104" s="20"/>
      <c r="E104" s="20"/>
      <c r="F104" s="20"/>
      <c r="G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>
      <c r="A105" s="20"/>
      <c r="B105" s="20"/>
      <c r="C105" s="20"/>
      <c r="D105" s="20"/>
      <c r="E105" s="20"/>
      <c r="F105" s="20"/>
      <c r="G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>
      <c r="A106" s="20"/>
      <c r="B106" s="20"/>
      <c r="C106" s="20"/>
      <c r="D106" s="20"/>
      <c r="E106" s="20"/>
      <c r="F106" s="20"/>
      <c r="G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>
      <c r="A107" s="20"/>
      <c r="B107" s="20"/>
      <c r="C107" s="20"/>
      <c r="D107" s="20"/>
      <c r="E107" s="20"/>
      <c r="F107" s="20"/>
      <c r="G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>
      <c r="A108" s="20"/>
      <c r="B108" s="20"/>
      <c r="C108" s="20"/>
      <c r="D108" s="20"/>
      <c r="E108" s="20"/>
      <c r="F108" s="20"/>
      <c r="G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>
      <c r="A109" s="20"/>
      <c r="B109" s="20"/>
      <c r="C109" s="20"/>
      <c r="D109" s="20"/>
      <c r="E109" s="20"/>
      <c r="F109" s="20"/>
      <c r="G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>
      <c r="A110" s="20"/>
      <c r="B110" s="20"/>
      <c r="C110" s="20"/>
      <c r="D110" s="20"/>
      <c r="E110" s="20"/>
      <c r="F110" s="20"/>
      <c r="G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>
      <c r="A111" s="20"/>
      <c r="B111" s="20"/>
      <c r="C111" s="20"/>
      <c r="D111" s="20"/>
      <c r="E111" s="20"/>
      <c r="F111" s="20"/>
      <c r="G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>
      <c r="A112" s="20"/>
      <c r="B112" s="20"/>
      <c r="C112" s="20"/>
      <c r="D112" s="20"/>
      <c r="E112" s="20"/>
      <c r="F112" s="20"/>
      <c r="G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>
      <c r="A113" s="20"/>
      <c r="B113" s="20"/>
      <c r="C113" s="20"/>
      <c r="D113" s="20"/>
      <c r="E113" s="20"/>
      <c r="F113" s="20"/>
      <c r="G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>
      <c r="A114" s="20"/>
      <c r="B114" s="20"/>
      <c r="C114" s="20"/>
      <c r="D114" s="20"/>
      <c r="E114" s="20"/>
      <c r="F114" s="20"/>
      <c r="G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>
      <c r="A115" s="20"/>
      <c r="B115" s="20"/>
      <c r="C115" s="20"/>
      <c r="D115" s="20"/>
      <c r="E115" s="20"/>
      <c r="F115" s="20"/>
      <c r="G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>
      <c r="A116" s="20"/>
      <c r="B116" s="20"/>
      <c r="C116" s="20"/>
      <c r="D116" s="20"/>
      <c r="E116" s="20"/>
      <c r="F116" s="20"/>
      <c r="G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>
      <c r="A117" s="20"/>
      <c r="B117" s="20"/>
      <c r="C117" s="20"/>
      <c r="D117" s="20"/>
      <c r="E117" s="20"/>
      <c r="F117" s="20"/>
      <c r="G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>
      <c r="A118" s="20"/>
      <c r="B118" s="20"/>
      <c r="C118" s="20"/>
      <c r="D118" s="20"/>
      <c r="E118" s="20"/>
      <c r="F118" s="20"/>
      <c r="G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>
      <c r="A119" s="20"/>
      <c r="B119" s="20"/>
      <c r="C119" s="20"/>
      <c r="D119" s="20"/>
      <c r="E119" s="20"/>
      <c r="F119" s="20"/>
      <c r="G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>
      <c r="A120" s="20"/>
      <c r="B120" s="20"/>
      <c r="C120" s="20"/>
      <c r="D120" s="20"/>
      <c r="E120" s="20"/>
      <c r="F120" s="20"/>
      <c r="G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>
      <c r="A121" s="20"/>
      <c r="B121" s="20"/>
      <c r="C121" s="20"/>
      <c r="D121" s="20"/>
      <c r="E121" s="20"/>
      <c r="F121" s="20"/>
      <c r="G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>
      <c r="A122" s="20"/>
      <c r="B122" s="20"/>
      <c r="C122" s="20"/>
      <c r="D122" s="20"/>
      <c r="E122" s="20"/>
      <c r="F122" s="20"/>
      <c r="G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>
      <c r="A123" s="20"/>
      <c r="B123" s="20"/>
      <c r="C123" s="20"/>
      <c r="D123" s="20"/>
      <c r="E123" s="20"/>
      <c r="F123" s="20"/>
      <c r="G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>
      <c r="A124" s="20"/>
      <c r="B124" s="20"/>
      <c r="C124" s="20"/>
      <c r="D124" s="20"/>
      <c r="E124" s="20"/>
      <c r="F124" s="20"/>
      <c r="G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>
      <c r="A125" s="20"/>
      <c r="B125" s="20"/>
      <c r="C125" s="20"/>
      <c r="D125" s="20"/>
      <c r="E125" s="20"/>
      <c r="F125" s="20"/>
      <c r="G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>
      <c r="A126" s="20"/>
      <c r="B126" s="20"/>
      <c r="C126" s="20"/>
      <c r="D126" s="20"/>
      <c r="E126" s="20"/>
      <c r="F126" s="20"/>
      <c r="G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>
      <c r="A127" s="20"/>
      <c r="B127" s="20"/>
      <c r="C127" s="20"/>
      <c r="D127" s="20"/>
      <c r="E127" s="20"/>
      <c r="F127" s="20"/>
      <c r="G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>
      <c r="A128" s="20"/>
      <c r="B128" s="20"/>
      <c r="C128" s="20"/>
      <c r="D128" s="20"/>
      <c r="E128" s="20"/>
      <c r="F128" s="20"/>
      <c r="G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>
      <c r="A129" s="20"/>
      <c r="B129" s="20"/>
      <c r="C129" s="20"/>
      <c r="D129" s="20"/>
      <c r="E129" s="20"/>
      <c r="F129" s="20"/>
      <c r="G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>
      <c r="A130" s="20"/>
      <c r="B130" s="20"/>
      <c r="C130" s="20"/>
      <c r="D130" s="20"/>
      <c r="E130" s="20"/>
      <c r="F130" s="20"/>
      <c r="G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>
      <c r="A131" s="20"/>
      <c r="B131" s="20"/>
      <c r="C131" s="20"/>
      <c r="D131" s="20"/>
      <c r="E131" s="20"/>
      <c r="F131" s="20"/>
      <c r="G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>
      <c r="A132" s="20"/>
      <c r="B132" s="20"/>
      <c r="C132" s="20"/>
      <c r="D132" s="20"/>
      <c r="E132" s="20"/>
      <c r="F132" s="20"/>
      <c r="G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>
      <c r="A133" s="20"/>
      <c r="B133" s="20"/>
      <c r="C133" s="20"/>
      <c r="D133" s="20"/>
      <c r="E133" s="20"/>
      <c r="F133" s="20"/>
      <c r="G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>
      <c r="A134" s="20"/>
      <c r="B134" s="20"/>
      <c r="C134" s="20"/>
      <c r="D134" s="20"/>
      <c r="E134" s="20"/>
      <c r="F134" s="20"/>
      <c r="G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>
      <c r="A135" s="20"/>
      <c r="B135" s="20"/>
      <c r="C135" s="20"/>
      <c r="D135" s="20"/>
      <c r="E135" s="20"/>
      <c r="F135" s="20"/>
      <c r="G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>
      <c r="A136" s="20"/>
      <c r="B136" s="20"/>
      <c r="C136" s="20"/>
      <c r="D136" s="20"/>
      <c r="E136" s="20"/>
      <c r="F136" s="20"/>
      <c r="G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>
      <c r="A137" s="20"/>
      <c r="B137" s="20"/>
      <c r="C137" s="20"/>
      <c r="D137" s="20"/>
      <c r="E137" s="20"/>
      <c r="F137" s="20"/>
      <c r="G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>
      <c r="A138" s="20"/>
      <c r="B138" s="20"/>
      <c r="C138" s="20"/>
      <c r="D138" s="20"/>
      <c r="E138" s="20"/>
      <c r="F138" s="20"/>
      <c r="G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>
      <c r="A139" s="20"/>
      <c r="B139" s="20"/>
      <c r="C139" s="20"/>
      <c r="D139" s="20"/>
      <c r="E139" s="20"/>
      <c r="F139" s="20"/>
      <c r="G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>
      <c r="A140" s="20"/>
      <c r="B140" s="20"/>
      <c r="C140" s="20"/>
      <c r="D140" s="20"/>
      <c r="E140" s="20"/>
      <c r="F140" s="20"/>
      <c r="G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>
      <c r="A141" s="20"/>
      <c r="B141" s="20"/>
      <c r="C141" s="20"/>
      <c r="D141" s="20"/>
      <c r="E141" s="20"/>
      <c r="F141" s="20"/>
      <c r="G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>
      <c r="A142" s="20"/>
      <c r="B142" s="20"/>
      <c r="C142" s="20"/>
      <c r="D142" s="20"/>
      <c r="E142" s="20"/>
      <c r="F142" s="20"/>
      <c r="G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>
      <c r="A143" s="20"/>
      <c r="B143" s="20"/>
      <c r="C143" s="20"/>
      <c r="D143" s="20"/>
      <c r="E143" s="20"/>
      <c r="F143" s="20"/>
      <c r="G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>
      <c r="A144" s="20"/>
      <c r="B144" s="20"/>
      <c r="C144" s="20"/>
      <c r="D144" s="20"/>
      <c r="E144" s="20"/>
      <c r="F144" s="20"/>
      <c r="G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>
      <c r="A145" s="20"/>
      <c r="B145" s="20"/>
      <c r="C145" s="20"/>
      <c r="D145" s="20"/>
      <c r="E145" s="20"/>
      <c r="F145" s="20"/>
      <c r="G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>
      <c r="A146" s="20"/>
      <c r="B146" s="20"/>
      <c r="C146" s="20"/>
      <c r="D146" s="20"/>
      <c r="E146" s="20"/>
      <c r="F146" s="20"/>
      <c r="G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>
      <c r="A147" s="20"/>
      <c r="B147" s="20"/>
      <c r="C147" s="20"/>
      <c r="D147" s="20"/>
      <c r="E147" s="20"/>
      <c r="F147" s="20"/>
      <c r="G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>
      <c r="A148" s="20"/>
      <c r="B148" s="20"/>
      <c r="C148" s="20"/>
      <c r="D148" s="20"/>
      <c r="E148" s="20"/>
      <c r="F148" s="20"/>
      <c r="G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>
      <c r="A149" s="20"/>
      <c r="B149" s="20"/>
      <c r="C149" s="20"/>
      <c r="D149" s="20"/>
      <c r="E149" s="20"/>
      <c r="F149" s="20"/>
      <c r="G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>
      <c r="A150" s="20"/>
      <c r="B150" s="20"/>
      <c r="C150" s="20"/>
      <c r="D150" s="20"/>
      <c r="E150" s="20"/>
      <c r="F150" s="20"/>
      <c r="G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>
      <c r="A151" s="20"/>
      <c r="B151" s="20"/>
      <c r="C151" s="20"/>
      <c r="D151" s="20"/>
      <c r="E151" s="20"/>
      <c r="F151" s="20"/>
      <c r="G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>
      <c r="A152" s="20"/>
      <c r="B152" s="20"/>
      <c r="C152" s="20"/>
      <c r="D152" s="20"/>
      <c r="E152" s="20"/>
      <c r="F152" s="20"/>
      <c r="G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>
      <c r="A153" s="20"/>
      <c r="B153" s="20"/>
      <c r="C153" s="20"/>
      <c r="D153" s="20"/>
      <c r="E153" s="20"/>
      <c r="F153" s="20"/>
      <c r="G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>
      <c r="A154" s="20"/>
      <c r="B154" s="20"/>
      <c r="C154" s="20"/>
      <c r="D154" s="20"/>
      <c r="E154" s="20"/>
      <c r="F154" s="20"/>
      <c r="G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>
      <c r="A155" s="20"/>
      <c r="B155" s="20"/>
      <c r="C155" s="20"/>
      <c r="D155" s="20"/>
      <c r="E155" s="20"/>
      <c r="F155" s="20"/>
      <c r="G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>
      <c r="A156" s="20"/>
      <c r="B156" s="20"/>
      <c r="C156" s="20"/>
      <c r="D156" s="20"/>
      <c r="E156" s="20"/>
      <c r="F156" s="20"/>
      <c r="G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>
      <c r="A157" s="20"/>
      <c r="B157" s="20"/>
      <c r="C157" s="20"/>
      <c r="D157" s="20"/>
      <c r="E157" s="20"/>
      <c r="F157" s="20"/>
      <c r="G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>
      <c r="A158" s="20"/>
      <c r="B158" s="20"/>
      <c r="C158" s="20"/>
      <c r="D158" s="20"/>
      <c r="E158" s="20"/>
      <c r="F158" s="20"/>
      <c r="G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>
      <c r="A159" s="20"/>
      <c r="B159" s="20"/>
      <c r="C159" s="20"/>
      <c r="D159" s="20"/>
      <c r="E159" s="20"/>
      <c r="F159" s="20"/>
      <c r="G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>
      <c r="A160" s="20"/>
      <c r="B160" s="20"/>
      <c r="C160" s="20"/>
      <c r="D160" s="20"/>
      <c r="E160" s="20"/>
      <c r="F160" s="20"/>
      <c r="G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>
      <c r="A161" s="20"/>
      <c r="B161" s="20"/>
      <c r="C161" s="20"/>
      <c r="D161" s="20"/>
      <c r="E161" s="20"/>
      <c r="F161" s="20"/>
      <c r="G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>
      <c r="A162" s="20"/>
      <c r="B162" s="20"/>
      <c r="C162" s="20"/>
      <c r="D162" s="20"/>
      <c r="E162" s="20"/>
      <c r="F162" s="20"/>
      <c r="G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>
      <c r="A163" s="20"/>
      <c r="B163" s="20"/>
      <c r="C163" s="20"/>
      <c r="D163" s="20"/>
      <c r="E163" s="20"/>
      <c r="F163" s="20"/>
      <c r="G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>
      <c r="A164" s="20"/>
      <c r="B164" s="20"/>
      <c r="C164" s="20"/>
      <c r="D164" s="20"/>
      <c r="E164" s="20"/>
      <c r="F164" s="20"/>
      <c r="G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>
      <c r="A165" s="20"/>
      <c r="B165" s="20"/>
      <c r="C165" s="20"/>
      <c r="D165" s="20"/>
      <c r="E165" s="20"/>
      <c r="F165" s="20"/>
      <c r="G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19"/>
  <sheetViews>
    <sheetView topLeftCell="G1" zoomScale="70" zoomScaleNormal="70" workbookViewId="0">
      <selection activeCell="Z36" sqref="Z36"/>
    </sheetView>
  </sheetViews>
  <sheetFormatPr defaultRowHeight="15.6"/>
  <cols>
    <col min="1" max="1" width="12.09765625" style="1" customWidth="1"/>
    <col min="2" max="2" width="3.5" style="1" customWidth="1"/>
    <col min="3" max="3" width="6.5" style="1" customWidth="1"/>
    <col min="4" max="4" width="10.19921875" style="1" customWidth="1"/>
    <col min="5" max="5" width="3.296875" style="1" customWidth="1"/>
    <col min="6" max="6" width="9.8984375" style="1" customWidth="1"/>
    <col min="7" max="7" width="9.19921875" style="1" customWidth="1"/>
    <col min="8" max="8" width="10.296875" style="1" customWidth="1"/>
    <col min="9" max="9" width="6.796875" style="1" customWidth="1"/>
    <col min="10" max="10" width="12.09765625" style="1" customWidth="1"/>
    <col min="11" max="11" width="10.8984375" style="1" customWidth="1"/>
    <col min="12" max="12" width="11.5" style="1" customWidth="1"/>
    <col min="13" max="13" width="13.796875" style="1" customWidth="1"/>
    <col min="14" max="14" width="6" style="1" customWidth="1"/>
    <col min="15" max="15" width="9.19921875" style="1" customWidth="1"/>
    <col min="16" max="16" width="5.19921875" style="1" customWidth="1"/>
    <col min="17" max="17" width="9.19921875" style="1" customWidth="1"/>
    <col min="18" max="18" width="9.59765625" style="1" customWidth="1"/>
    <col min="19" max="19" width="6.69921875" style="1" customWidth="1"/>
    <col min="20" max="20" width="6.8984375" style="1" customWidth="1"/>
    <col min="21" max="21" width="9.3984375" style="1" customWidth="1"/>
    <col min="22" max="34" width="12.09765625" style="1" customWidth="1"/>
  </cols>
  <sheetData>
    <row r="1" spans="1:31" s="18" customFormat="1">
      <c r="A1" s="16" t="s">
        <v>56</v>
      </c>
      <c r="B1" s="16" t="s">
        <v>57</v>
      </c>
      <c r="C1" s="16" t="s">
        <v>58</v>
      </c>
      <c r="D1" s="16" t="s">
        <v>59</v>
      </c>
      <c r="E1" s="16" t="s">
        <v>60</v>
      </c>
      <c r="F1" s="16" t="s">
        <v>61</v>
      </c>
      <c r="G1" s="16" t="s">
        <v>62</v>
      </c>
      <c r="H1" s="16" t="s">
        <v>63</v>
      </c>
      <c r="I1" s="16" t="s">
        <v>64</v>
      </c>
      <c r="J1" s="16" t="s">
        <v>65</v>
      </c>
      <c r="K1" s="16" t="s">
        <v>66</v>
      </c>
      <c r="L1" s="16" t="s">
        <v>67</v>
      </c>
      <c r="M1" s="16" t="s">
        <v>68</v>
      </c>
      <c r="N1" s="16" t="s">
        <v>69</v>
      </c>
      <c r="O1" s="16" t="s">
        <v>70</v>
      </c>
      <c r="P1" s="17" t="s">
        <v>71</v>
      </c>
      <c r="Q1" s="17" t="s">
        <v>72</v>
      </c>
      <c r="R1" s="17" t="s">
        <v>73</v>
      </c>
      <c r="S1" s="17" t="s">
        <v>74</v>
      </c>
      <c r="T1" s="17" t="s">
        <v>75</v>
      </c>
      <c r="U1" s="17" t="s">
        <v>76</v>
      </c>
      <c r="V1" s="17" t="s">
        <v>77</v>
      </c>
      <c r="W1" s="17" t="s">
        <v>78</v>
      </c>
      <c r="X1" s="17" t="s">
        <v>79</v>
      </c>
      <c r="Y1" s="17" t="s">
        <v>80</v>
      </c>
      <c r="Z1" s="17" t="s">
        <v>81</v>
      </c>
      <c r="AA1" s="17" t="s">
        <v>82</v>
      </c>
      <c r="AB1" s="17" t="s">
        <v>83</v>
      </c>
      <c r="AC1" s="17" t="s">
        <v>84</v>
      </c>
      <c r="AD1" s="17" t="s">
        <v>85</v>
      </c>
      <c r="AE1" s="17" t="s">
        <v>86</v>
      </c>
    </row>
    <row r="2" spans="1:31">
      <c r="A2" s="20" t="s">
        <v>87</v>
      </c>
      <c r="B2" s="20">
        <v>220029640</v>
      </c>
      <c r="C2" s="20" t="s">
        <v>88</v>
      </c>
      <c r="D2" s="20" t="s">
        <v>89</v>
      </c>
      <c r="E2" s="20">
        <v>400454000062</v>
      </c>
      <c r="F2" s="20" t="s">
        <v>90</v>
      </c>
      <c r="G2" s="20" t="s">
        <v>90</v>
      </c>
      <c r="H2" s="20" t="s">
        <v>91</v>
      </c>
      <c r="I2" s="20" t="s">
        <v>92</v>
      </c>
      <c r="J2" s="20" t="s">
        <v>93</v>
      </c>
      <c r="L2" s="20">
        <v>0</v>
      </c>
      <c r="M2" s="20" t="s">
        <v>94</v>
      </c>
      <c r="N2" s="20" t="s">
        <v>91</v>
      </c>
      <c r="O2" s="20">
        <v>0</v>
      </c>
      <c r="P2" s="20">
        <v>40</v>
      </c>
      <c r="Q2" s="20">
        <v>-0.21</v>
      </c>
      <c r="R2" s="20">
        <v>1267.809</v>
      </c>
      <c r="S2" s="20">
        <v>0.08</v>
      </c>
      <c r="T2" s="20">
        <v>1.4</v>
      </c>
      <c r="U2" s="20">
        <v>0.17</v>
      </c>
      <c r="V2" s="20">
        <v>0.09</v>
      </c>
      <c r="W2" s="20">
        <v>0.06</v>
      </c>
      <c r="X2" s="20">
        <v>105</v>
      </c>
      <c r="Y2" s="20">
        <v>87</v>
      </c>
      <c r="Z2" s="20">
        <v>124</v>
      </c>
      <c r="AA2" s="20">
        <v>140</v>
      </c>
      <c r="AB2" s="20">
        <v>105</v>
      </c>
      <c r="AC2" s="20">
        <v>87</v>
      </c>
      <c r="AD2" s="20">
        <v>124</v>
      </c>
      <c r="AE2" s="20">
        <v>140</v>
      </c>
    </row>
    <row r="3" spans="1:31">
      <c r="A3" s="20" t="s">
        <v>87</v>
      </c>
      <c r="B3" s="20">
        <v>220029640</v>
      </c>
      <c r="C3" s="20" t="s">
        <v>88</v>
      </c>
      <c r="D3" s="20" t="s">
        <v>89</v>
      </c>
      <c r="E3" s="20">
        <v>400454000062</v>
      </c>
      <c r="F3" s="20" t="s">
        <v>90</v>
      </c>
      <c r="G3" s="20" t="s">
        <v>90</v>
      </c>
      <c r="H3" s="20" t="s">
        <v>91</v>
      </c>
      <c r="I3" s="20" t="s">
        <v>92</v>
      </c>
      <c r="J3" s="20" t="s">
        <v>93</v>
      </c>
      <c r="L3" s="20">
        <v>0</v>
      </c>
      <c r="M3" s="20" t="s">
        <v>94</v>
      </c>
      <c r="N3" s="20" t="s">
        <v>91</v>
      </c>
      <c r="O3" s="20">
        <v>0</v>
      </c>
      <c r="P3" s="20">
        <v>45</v>
      </c>
      <c r="Q3" s="20">
        <v>0.75</v>
      </c>
      <c r="R3" s="20">
        <v>1267.8920000000001</v>
      </c>
      <c r="S3" s="20">
        <v>0.09</v>
      </c>
      <c r="T3" s="20">
        <v>1.29</v>
      </c>
      <c r="U3" s="20">
        <v>0.17</v>
      </c>
      <c r="V3" s="20">
        <v>0.09</v>
      </c>
      <c r="W3" s="20">
        <v>0.06</v>
      </c>
      <c r="X3" s="20">
        <v>105</v>
      </c>
      <c r="Y3" s="20">
        <v>87</v>
      </c>
      <c r="Z3" s="20">
        <v>124</v>
      </c>
      <c r="AA3" s="20">
        <v>140</v>
      </c>
      <c r="AB3" s="20">
        <v>105</v>
      </c>
      <c r="AC3" s="20">
        <v>87</v>
      </c>
      <c r="AD3" s="20">
        <v>124</v>
      </c>
      <c r="AE3" s="20">
        <v>140</v>
      </c>
    </row>
    <row r="4" spans="1:31">
      <c r="A4" s="20" t="s">
        <v>87</v>
      </c>
      <c r="B4" s="20">
        <v>220029640</v>
      </c>
      <c r="C4" s="20" t="s">
        <v>88</v>
      </c>
      <c r="D4" s="20" t="s">
        <v>89</v>
      </c>
      <c r="E4" s="20">
        <v>400454000062</v>
      </c>
      <c r="F4" s="20" t="s">
        <v>90</v>
      </c>
      <c r="G4" s="20" t="s">
        <v>90</v>
      </c>
      <c r="H4" s="20" t="s">
        <v>91</v>
      </c>
      <c r="I4" s="20" t="s">
        <v>92</v>
      </c>
      <c r="J4" s="20" t="s">
        <v>93</v>
      </c>
      <c r="L4" s="20">
        <v>0</v>
      </c>
      <c r="M4" s="20" t="s">
        <v>94</v>
      </c>
      <c r="N4" s="20" t="s">
        <v>91</v>
      </c>
      <c r="O4" s="20">
        <v>0</v>
      </c>
      <c r="P4" s="20">
        <v>50</v>
      </c>
      <c r="Q4" s="20">
        <v>1.76</v>
      </c>
      <c r="R4" s="20">
        <v>1267.9760000000001</v>
      </c>
      <c r="S4" s="20">
        <v>0.08</v>
      </c>
      <c r="T4" s="20">
        <v>1.31</v>
      </c>
      <c r="U4" s="20">
        <v>0.17</v>
      </c>
      <c r="V4" s="20">
        <v>0.09</v>
      </c>
      <c r="W4" s="20">
        <v>0.06</v>
      </c>
      <c r="X4" s="20">
        <v>105</v>
      </c>
      <c r="Y4" s="20">
        <v>87</v>
      </c>
      <c r="Z4" s="20">
        <v>125</v>
      </c>
      <c r="AA4" s="20">
        <v>140</v>
      </c>
      <c r="AB4" s="20">
        <v>105</v>
      </c>
      <c r="AC4" s="20">
        <v>87</v>
      </c>
      <c r="AD4" s="20">
        <v>125</v>
      </c>
      <c r="AE4" s="20">
        <v>140</v>
      </c>
    </row>
    <row r="5" spans="1:31">
      <c r="A5" s="20" t="s">
        <v>87</v>
      </c>
      <c r="B5" s="20">
        <v>220029640</v>
      </c>
      <c r="C5" s="20" t="s">
        <v>88</v>
      </c>
      <c r="D5" s="20" t="s">
        <v>89</v>
      </c>
      <c r="E5" s="20">
        <v>400454000062</v>
      </c>
      <c r="F5" s="20" t="s">
        <v>90</v>
      </c>
      <c r="G5" s="20" t="s">
        <v>90</v>
      </c>
      <c r="H5" s="20" t="s">
        <v>91</v>
      </c>
      <c r="I5" s="20" t="s">
        <v>92</v>
      </c>
      <c r="J5" s="20" t="s">
        <v>93</v>
      </c>
      <c r="L5" s="20">
        <v>0</v>
      </c>
      <c r="M5" s="20" t="s">
        <v>94</v>
      </c>
      <c r="N5" s="20" t="s">
        <v>91</v>
      </c>
      <c r="O5" s="20">
        <v>0</v>
      </c>
      <c r="P5" s="20">
        <v>55</v>
      </c>
      <c r="Q5" s="20">
        <v>2.7</v>
      </c>
      <c r="R5" s="20">
        <v>1268.0609999999999</v>
      </c>
      <c r="S5" s="20">
        <v>0.09</v>
      </c>
      <c r="T5" s="20">
        <v>1.36</v>
      </c>
      <c r="U5" s="20">
        <v>0.17</v>
      </c>
      <c r="V5" s="20">
        <v>0.09</v>
      </c>
      <c r="W5" s="20">
        <v>0.06</v>
      </c>
      <c r="X5" s="20">
        <v>105</v>
      </c>
      <c r="Y5" s="20">
        <v>88</v>
      </c>
      <c r="Z5" s="20">
        <v>126</v>
      </c>
      <c r="AA5" s="20">
        <v>140</v>
      </c>
      <c r="AB5" s="20">
        <v>105</v>
      </c>
      <c r="AC5" s="20">
        <v>88</v>
      </c>
      <c r="AD5" s="20">
        <v>126</v>
      </c>
      <c r="AE5" s="20">
        <v>140</v>
      </c>
    </row>
    <row r="6" spans="1:31">
      <c r="A6" s="20" t="s">
        <v>87</v>
      </c>
      <c r="B6" s="20">
        <v>220029640</v>
      </c>
      <c r="C6" s="20" t="s">
        <v>88</v>
      </c>
      <c r="D6" s="20" t="s">
        <v>89</v>
      </c>
      <c r="E6" s="20">
        <v>400454000062</v>
      </c>
      <c r="F6" s="20" t="s">
        <v>90</v>
      </c>
      <c r="G6" s="20" t="s">
        <v>90</v>
      </c>
      <c r="H6" s="20" t="s">
        <v>91</v>
      </c>
      <c r="I6" s="20" t="s">
        <v>92</v>
      </c>
      <c r="J6" s="20" t="s">
        <v>93</v>
      </c>
      <c r="L6" s="20">
        <v>0</v>
      </c>
      <c r="M6" s="20" t="s">
        <v>94</v>
      </c>
      <c r="N6" s="20" t="s">
        <v>91</v>
      </c>
      <c r="O6" s="20">
        <v>0</v>
      </c>
      <c r="P6" s="20">
        <v>60</v>
      </c>
      <c r="Q6" s="20">
        <v>3.69</v>
      </c>
      <c r="R6" s="20">
        <v>1268.1479999999999</v>
      </c>
      <c r="S6" s="20">
        <v>0.09</v>
      </c>
      <c r="T6" s="20">
        <v>1.41</v>
      </c>
      <c r="U6" s="20">
        <v>0.17</v>
      </c>
      <c r="V6" s="20">
        <v>0.09</v>
      </c>
      <c r="W6" s="20">
        <v>0.06</v>
      </c>
      <c r="X6" s="20">
        <v>105</v>
      </c>
      <c r="Y6" s="20">
        <v>88</v>
      </c>
      <c r="Z6" s="20">
        <v>127</v>
      </c>
      <c r="AA6" s="20">
        <v>140</v>
      </c>
      <c r="AB6" s="20">
        <v>105</v>
      </c>
      <c r="AC6" s="20">
        <v>88</v>
      </c>
      <c r="AD6" s="20">
        <v>127</v>
      </c>
      <c r="AE6" s="20">
        <v>140</v>
      </c>
    </row>
    <row r="7" spans="1:31">
      <c r="A7" s="20" t="s">
        <v>87</v>
      </c>
      <c r="B7" s="20">
        <v>220029640</v>
      </c>
      <c r="C7" s="20" t="s">
        <v>88</v>
      </c>
      <c r="D7" s="20" t="s">
        <v>89</v>
      </c>
      <c r="E7" s="20">
        <v>400454000062</v>
      </c>
      <c r="F7" s="20" t="s">
        <v>90</v>
      </c>
      <c r="G7" s="20" t="s">
        <v>90</v>
      </c>
      <c r="H7" s="20" t="s">
        <v>91</v>
      </c>
      <c r="I7" s="20" t="s">
        <v>92</v>
      </c>
      <c r="J7" s="20" t="s">
        <v>93</v>
      </c>
      <c r="L7" s="20">
        <v>0</v>
      </c>
      <c r="M7" s="20" t="s">
        <v>94</v>
      </c>
      <c r="N7" s="20" t="s">
        <v>91</v>
      </c>
      <c r="O7" s="20">
        <v>0</v>
      </c>
      <c r="P7" s="20">
        <v>65</v>
      </c>
      <c r="Q7" s="20">
        <v>4.67</v>
      </c>
      <c r="R7" s="20">
        <v>1268.2329999999999</v>
      </c>
      <c r="S7" s="20">
        <v>0.09</v>
      </c>
      <c r="T7" s="20">
        <v>1.35</v>
      </c>
      <c r="U7" s="20">
        <v>0.17</v>
      </c>
      <c r="V7" s="20">
        <v>0.09</v>
      </c>
      <c r="W7" s="20">
        <v>0.06</v>
      </c>
      <c r="X7" s="20">
        <v>105</v>
      </c>
      <c r="Y7" s="20">
        <v>88</v>
      </c>
      <c r="Z7" s="20">
        <v>127</v>
      </c>
      <c r="AA7" s="20">
        <v>140</v>
      </c>
      <c r="AB7" s="20">
        <v>105</v>
      </c>
      <c r="AC7" s="20">
        <v>88</v>
      </c>
      <c r="AD7" s="20">
        <v>127</v>
      </c>
      <c r="AE7" s="20">
        <v>140</v>
      </c>
    </row>
    <row r="8" spans="1:31">
      <c r="A8" s="20" t="s">
        <v>87</v>
      </c>
      <c r="B8" s="20">
        <v>220029640</v>
      </c>
      <c r="C8" s="20" t="s">
        <v>88</v>
      </c>
      <c r="D8" s="20" t="s">
        <v>89</v>
      </c>
      <c r="E8" s="20">
        <v>400454000062</v>
      </c>
      <c r="F8" s="20" t="s">
        <v>90</v>
      </c>
      <c r="G8" s="20" t="s">
        <v>90</v>
      </c>
      <c r="H8" s="20" t="s">
        <v>91</v>
      </c>
      <c r="I8" s="20" t="s">
        <v>92</v>
      </c>
      <c r="J8" s="20" t="s">
        <v>93</v>
      </c>
      <c r="L8" s="20">
        <v>0</v>
      </c>
      <c r="M8" s="20" t="s">
        <v>94</v>
      </c>
      <c r="N8" s="20" t="s">
        <v>91</v>
      </c>
      <c r="O8" s="20">
        <v>0</v>
      </c>
      <c r="P8" s="20">
        <v>70</v>
      </c>
      <c r="Q8" s="20">
        <v>5.61</v>
      </c>
      <c r="R8" s="20">
        <v>1268.316</v>
      </c>
      <c r="S8" s="20">
        <v>0.09</v>
      </c>
      <c r="T8" s="20">
        <v>1.38</v>
      </c>
      <c r="U8" s="20">
        <v>0.17</v>
      </c>
      <c r="V8" s="20">
        <v>0.09</v>
      </c>
      <c r="W8" s="20">
        <v>0.06</v>
      </c>
      <c r="X8" s="20">
        <v>105</v>
      </c>
      <c r="Y8" s="20">
        <v>88</v>
      </c>
      <c r="Z8" s="20">
        <v>128</v>
      </c>
      <c r="AA8" s="20">
        <v>140</v>
      </c>
      <c r="AB8" s="20">
        <v>105</v>
      </c>
      <c r="AC8" s="20">
        <v>88</v>
      </c>
      <c r="AD8" s="20">
        <v>128</v>
      </c>
      <c r="AE8" s="20">
        <v>140</v>
      </c>
    </row>
    <row r="9" spans="1:31">
      <c r="A9" s="20" t="s">
        <v>87</v>
      </c>
      <c r="B9" s="20">
        <v>220029640</v>
      </c>
      <c r="C9" s="20" t="s">
        <v>88</v>
      </c>
      <c r="D9" s="20" t="s">
        <v>89</v>
      </c>
      <c r="E9" s="20">
        <v>400454000062</v>
      </c>
      <c r="F9" s="20" t="s">
        <v>90</v>
      </c>
      <c r="G9" s="20" t="s">
        <v>90</v>
      </c>
      <c r="H9" s="20" t="s">
        <v>91</v>
      </c>
      <c r="I9" s="20" t="s">
        <v>92</v>
      </c>
      <c r="J9" s="20" t="s">
        <v>93</v>
      </c>
      <c r="L9" s="20">
        <v>0</v>
      </c>
      <c r="M9" s="20" t="s">
        <v>94</v>
      </c>
      <c r="N9" s="20" t="s">
        <v>91</v>
      </c>
      <c r="O9" s="20">
        <v>0</v>
      </c>
      <c r="P9" s="20">
        <v>75</v>
      </c>
      <c r="Q9" s="20">
        <v>6.5</v>
      </c>
      <c r="R9" s="20">
        <v>1268.3979999999999</v>
      </c>
      <c r="S9" s="20">
        <v>0.09</v>
      </c>
      <c r="T9" s="20">
        <v>1.36</v>
      </c>
      <c r="U9" s="20">
        <v>0.17</v>
      </c>
      <c r="V9" s="20">
        <v>0.09</v>
      </c>
      <c r="W9" s="20">
        <v>0.06</v>
      </c>
      <c r="X9" s="20">
        <v>105</v>
      </c>
      <c r="Y9" s="20">
        <v>88</v>
      </c>
      <c r="Z9" s="20">
        <v>129</v>
      </c>
      <c r="AA9" s="20">
        <v>140</v>
      </c>
      <c r="AB9" s="20">
        <v>105</v>
      </c>
      <c r="AC9" s="20">
        <v>88</v>
      </c>
      <c r="AD9" s="20">
        <v>129</v>
      </c>
      <c r="AE9" s="20">
        <v>140</v>
      </c>
    </row>
    <row r="10" spans="1:31">
      <c r="A10" s="20" t="s">
        <v>87</v>
      </c>
      <c r="B10" s="20">
        <v>220029640</v>
      </c>
      <c r="C10" s="20" t="s">
        <v>88</v>
      </c>
      <c r="D10" s="20" t="s">
        <v>89</v>
      </c>
      <c r="E10" s="20">
        <v>400454000062</v>
      </c>
      <c r="F10" s="20" t="s">
        <v>90</v>
      </c>
      <c r="G10" s="20" t="s">
        <v>90</v>
      </c>
      <c r="H10" s="20" t="s">
        <v>91</v>
      </c>
      <c r="I10" s="20" t="s">
        <v>92</v>
      </c>
      <c r="J10" s="20" t="s">
        <v>93</v>
      </c>
      <c r="L10" s="20">
        <v>0</v>
      </c>
      <c r="M10" s="20" t="s">
        <v>94</v>
      </c>
      <c r="N10" s="20" t="s">
        <v>91</v>
      </c>
      <c r="O10" s="20">
        <v>0</v>
      </c>
      <c r="P10" s="20">
        <v>80</v>
      </c>
      <c r="Q10" s="20">
        <v>7.41</v>
      </c>
      <c r="R10" s="20">
        <v>1268.48</v>
      </c>
      <c r="S10" s="20">
        <v>0.09</v>
      </c>
      <c r="T10" s="20">
        <v>1.36</v>
      </c>
      <c r="U10" s="20">
        <v>0.17</v>
      </c>
      <c r="V10" s="20">
        <v>0.09</v>
      </c>
      <c r="W10" s="20">
        <v>0.06</v>
      </c>
      <c r="X10" s="20">
        <v>105</v>
      </c>
      <c r="Y10" s="20">
        <v>89</v>
      </c>
      <c r="Z10" s="20">
        <v>129</v>
      </c>
      <c r="AA10" s="20">
        <v>140</v>
      </c>
      <c r="AB10" s="20">
        <v>105</v>
      </c>
      <c r="AC10" s="20">
        <v>89</v>
      </c>
      <c r="AD10" s="20">
        <v>129</v>
      </c>
      <c r="AE10" s="20">
        <v>140</v>
      </c>
    </row>
    <row r="11" spans="1:31">
      <c r="A11" s="20" t="s">
        <v>87</v>
      </c>
      <c r="B11" s="20">
        <v>220029640</v>
      </c>
      <c r="C11" s="20" t="s">
        <v>88</v>
      </c>
      <c r="D11" s="20" t="s">
        <v>89</v>
      </c>
      <c r="E11" s="20">
        <v>400454000062</v>
      </c>
      <c r="F11" s="20" t="s">
        <v>90</v>
      </c>
      <c r="G11" s="20" t="s">
        <v>90</v>
      </c>
      <c r="H11" s="20" t="s">
        <v>91</v>
      </c>
      <c r="I11" s="20" t="s">
        <v>92</v>
      </c>
      <c r="J11" s="20" t="s">
        <v>93</v>
      </c>
      <c r="L11" s="20">
        <v>0</v>
      </c>
      <c r="M11" s="20" t="s">
        <v>94</v>
      </c>
      <c r="N11" s="20" t="s">
        <v>91</v>
      </c>
      <c r="O11" s="20">
        <v>0</v>
      </c>
      <c r="P11" s="20">
        <v>85</v>
      </c>
      <c r="Q11" s="20">
        <v>8.3000000000000007</v>
      </c>
      <c r="R11" s="20">
        <v>1268.559</v>
      </c>
      <c r="S11" s="20">
        <v>0.09</v>
      </c>
      <c r="T11" s="20">
        <v>1.35</v>
      </c>
      <c r="U11" s="20">
        <v>0.17</v>
      </c>
      <c r="V11" s="20">
        <v>0.09</v>
      </c>
      <c r="W11" s="20">
        <v>0.06</v>
      </c>
      <c r="X11" s="20">
        <v>105</v>
      </c>
      <c r="Y11" s="20">
        <v>89</v>
      </c>
      <c r="Z11" s="20">
        <v>130</v>
      </c>
      <c r="AA11" s="20">
        <v>141</v>
      </c>
      <c r="AB11" s="20">
        <v>105</v>
      </c>
      <c r="AC11" s="20">
        <v>89</v>
      </c>
      <c r="AD11" s="20">
        <v>130</v>
      </c>
      <c r="AE11" s="20">
        <v>141</v>
      </c>
    </row>
    <row r="12" spans="1:31">
      <c r="A12" s="20" t="s">
        <v>87</v>
      </c>
      <c r="B12" s="20">
        <v>220029640</v>
      </c>
      <c r="C12" s="20" t="s">
        <v>88</v>
      </c>
      <c r="D12" s="20" t="s">
        <v>89</v>
      </c>
      <c r="E12" s="20">
        <v>400454000062</v>
      </c>
      <c r="F12" s="20" t="s">
        <v>90</v>
      </c>
      <c r="G12" s="20" t="s">
        <v>90</v>
      </c>
      <c r="H12" s="20" t="s">
        <v>91</v>
      </c>
      <c r="I12" s="20" t="s">
        <v>92</v>
      </c>
      <c r="J12" s="20" t="s">
        <v>93</v>
      </c>
      <c r="L12" s="20">
        <v>0</v>
      </c>
      <c r="M12" s="20" t="s">
        <v>94</v>
      </c>
      <c r="N12" s="20" t="s">
        <v>91</v>
      </c>
      <c r="O12" s="20">
        <v>0</v>
      </c>
      <c r="P12" s="20">
        <v>90</v>
      </c>
      <c r="Q12" s="20">
        <v>9.17</v>
      </c>
      <c r="R12" s="20">
        <v>1268.6400000000001</v>
      </c>
      <c r="S12" s="20">
        <v>0.09</v>
      </c>
      <c r="T12" s="20">
        <v>1.33</v>
      </c>
      <c r="U12" s="20">
        <v>0.17</v>
      </c>
      <c r="V12" s="20">
        <v>0.09</v>
      </c>
      <c r="W12" s="20">
        <v>0.06</v>
      </c>
      <c r="X12" s="20">
        <v>105</v>
      </c>
      <c r="Y12" s="20">
        <v>89</v>
      </c>
      <c r="Z12" s="20">
        <v>131</v>
      </c>
      <c r="AA12" s="20">
        <v>141</v>
      </c>
      <c r="AB12" s="20">
        <v>105</v>
      </c>
      <c r="AC12" s="20">
        <v>89</v>
      </c>
      <c r="AD12" s="20">
        <v>131</v>
      </c>
      <c r="AE12" s="20">
        <v>141</v>
      </c>
    </row>
    <row r="13" spans="1:31">
      <c r="A13" s="20" t="s">
        <v>87</v>
      </c>
      <c r="B13" s="20">
        <v>220029640</v>
      </c>
      <c r="C13" s="20" t="s">
        <v>88</v>
      </c>
      <c r="D13" s="20" t="s">
        <v>89</v>
      </c>
      <c r="E13" s="20">
        <v>400454000062</v>
      </c>
      <c r="F13" s="20" t="s">
        <v>90</v>
      </c>
      <c r="G13" s="20" t="s">
        <v>90</v>
      </c>
      <c r="H13" s="20" t="s">
        <v>91</v>
      </c>
      <c r="I13" s="20" t="s">
        <v>92</v>
      </c>
      <c r="J13" s="20" t="s">
        <v>93</v>
      </c>
      <c r="L13" s="20">
        <v>0</v>
      </c>
      <c r="M13" s="20" t="s">
        <v>94</v>
      </c>
      <c r="N13" s="20" t="s">
        <v>91</v>
      </c>
      <c r="O13" s="20">
        <v>0</v>
      </c>
      <c r="P13" s="20">
        <v>95</v>
      </c>
      <c r="Q13" s="20">
        <v>10.050000000000001</v>
      </c>
      <c r="R13" s="20">
        <v>1268.7180000000001</v>
      </c>
      <c r="S13" s="20">
        <v>0.09</v>
      </c>
      <c r="T13" s="20">
        <v>1.32</v>
      </c>
      <c r="U13" s="20">
        <v>0.17</v>
      </c>
      <c r="V13" s="20">
        <v>0.09</v>
      </c>
      <c r="W13" s="20">
        <v>0.06</v>
      </c>
      <c r="X13" s="20">
        <v>105</v>
      </c>
      <c r="Y13" s="20">
        <v>90</v>
      </c>
      <c r="Z13" s="20">
        <v>132</v>
      </c>
      <c r="AA13" s="20">
        <v>141</v>
      </c>
      <c r="AB13" s="20">
        <v>105</v>
      </c>
      <c r="AC13" s="20">
        <v>90</v>
      </c>
      <c r="AD13" s="20">
        <v>132</v>
      </c>
      <c r="AE13" s="20">
        <v>141</v>
      </c>
    </row>
    <row r="14" spans="1:31">
      <c r="A14" s="20" t="s">
        <v>87</v>
      </c>
      <c r="B14" s="20">
        <v>220029640</v>
      </c>
      <c r="C14" s="20" t="s">
        <v>88</v>
      </c>
      <c r="D14" s="20" t="s">
        <v>89</v>
      </c>
      <c r="E14" s="20">
        <v>400454000062</v>
      </c>
      <c r="F14" s="20" t="s">
        <v>90</v>
      </c>
      <c r="G14" s="20" t="s">
        <v>90</v>
      </c>
      <c r="H14" s="20" t="s">
        <v>91</v>
      </c>
      <c r="I14" s="20" t="s">
        <v>92</v>
      </c>
      <c r="J14" s="20" t="s">
        <v>93</v>
      </c>
      <c r="L14" s="20">
        <v>0</v>
      </c>
      <c r="M14" s="20" t="s">
        <v>94</v>
      </c>
      <c r="N14" s="20" t="s">
        <v>91</v>
      </c>
      <c r="O14" s="20">
        <v>0</v>
      </c>
      <c r="P14" s="20">
        <v>100</v>
      </c>
      <c r="Q14" s="20">
        <v>10.95</v>
      </c>
      <c r="R14" s="20">
        <v>1268.7950000000001</v>
      </c>
      <c r="S14" s="20">
        <v>0.09</v>
      </c>
      <c r="T14" s="20">
        <v>1.31</v>
      </c>
      <c r="U14" s="20">
        <v>0.17</v>
      </c>
      <c r="V14" s="20">
        <v>0.09</v>
      </c>
      <c r="W14" s="20">
        <v>0.06</v>
      </c>
      <c r="X14" s="20">
        <v>106</v>
      </c>
      <c r="Y14" s="20">
        <v>90</v>
      </c>
      <c r="Z14" s="20">
        <v>133</v>
      </c>
      <c r="AA14" s="20">
        <v>141</v>
      </c>
      <c r="AB14" s="20">
        <v>106</v>
      </c>
      <c r="AC14" s="20">
        <v>90</v>
      </c>
      <c r="AD14" s="20">
        <v>133</v>
      </c>
      <c r="AE14" s="20">
        <v>141</v>
      </c>
    </row>
    <row r="15" spans="1:31">
      <c r="A15" s="20" t="s">
        <v>87</v>
      </c>
      <c r="B15" s="20">
        <v>220029640</v>
      </c>
      <c r="C15" s="20" t="s">
        <v>88</v>
      </c>
      <c r="D15" s="20" t="s">
        <v>89</v>
      </c>
      <c r="E15" s="20">
        <v>400454000062</v>
      </c>
      <c r="F15" s="20" t="s">
        <v>90</v>
      </c>
      <c r="G15" s="20" t="s">
        <v>90</v>
      </c>
      <c r="H15" s="20" t="s">
        <v>91</v>
      </c>
      <c r="I15" s="20" t="s">
        <v>92</v>
      </c>
      <c r="J15" s="20" t="s">
        <v>93</v>
      </c>
      <c r="L15" s="20">
        <v>0</v>
      </c>
      <c r="M15" s="20" t="s">
        <v>94</v>
      </c>
      <c r="N15" s="20" t="s">
        <v>91</v>
      </c>
      <c r="O15" s="20">
        <v>0</v>
      </c>
      <c r="P15" s="20">
        <v>105</v>
      </c>
      <c r="Q15" s="20">
        <v>11.82</v>
      </c>
      <c r="R15" s="20">
        <v>1268.875</v>
      </c>
      <c r="S15" s="20">
        <v>0.09</v>
      </c>
      <c r="T15" s="20">
        <v>1.33</v>
      </c>
      <c r="U15" s="20">
        <v>0.17</v>
      </c>
      <c r="V15" s="20">
        <v>0.09</v>
      </c>
      <c r="W15" s="20">
        <v>0.06</v>
      </c>
      <c r="X15" s="20">
        <v>106</v>
      </c>
      <c r="Y15" s="20">
        <v>90</v>
      </c>
      <c r="Z15" s="20">
        <v>134</v>
      </c>
      <c r="AA15" s="20">
        <v>141</v>
      </c>
      <c r="AB15" s="20">
        <v>106</v>
      </c>
      <c r="AC15" s="20">
        <v>90</v>
      </c>
      <c r="AD15" s="20">
        <v>134</v>
      </c>
      <c r="AE15" s="20">
        <v>141</v>
      </c>
    </row>
    <row r="16" spans="1:31">
      <c r="A16" s="20" t="s">
        <v>87</v>
      </c>
      <c r="B16" s="20">
        <v>220029640</v>
      </c>
      <c r="C16" s="20" t="s">
        <v>88</v>
      </c>
      <c r="D16" s="20" t="s">
        <v>89</v>
      </c>
      <c r="E16" s="20">
        <v>400454000062</v>
      </c>
      <c r="F16" s="20" t="s">
        <v>90</v>
      </c>
      <c r="G16" s="20" t="s">
        <v>90</v>
      </c>
      <c r="H16" s="20" t="s">
        <v>91</v>
      </c>
      <c r="I16" s="20" t="s">
        <v>92</v>
      </c>
      <c r="J16" s="20" t="s">
        <v>93</v>
      </c>
      <c r="L16" s="20">
        <v>0</v>
      </c>
      <c r="M16" s="20" t="s">
        <v>94</v>
      </c>
      <c r="N16" s="20" t="s">
        <v>91</v>
      </c>
      <c r="O16" s="20">
        <v>0</v>
      </c>
      <c r="P16" s="20">
        <v>110</v>
      </c>
      <c r="Q16" s="20">
        <v>12.69</v>
      </c>
      <c r="R16" s="20">
        <v>1268.9549999999999</v>
      </c>
      <c r="S16" s="20">
        <v>0.09</v>
      </c>
      <c r="T16" s="20">
        <v>1.38</v>
      </c>
      <c r="U16" s="20">
        <v>0.17</v>
      </c>
      <c r="V16" s="20">
        <v>0.09</v>
      </c>
      <c r="W16" s="20">
        <v>0.06</v>
      </c>
      <c r="X16" s="20">
        <v>106</v>
      </c>
      <c r="Y16" s="20">
        <v>90</v>
      </c>
      <c r="Z16" s="20">
        <v>135</v>
      </c>
      <c r="AA16" s="20">
        <v>141</v>
      </c>
      <c r="AB16" s="20">
        <v>106</v>
      </c>
      <c r="AC16" s="20">
        <v>90</v>
      </c>
      <c r="AD16" s="20">
        <v>135</v>
      </c>
      <c r="AE16" s="20">
        <v>141</v>
      </c>
    </row>
    <row r="17" spans="1:31">
      <c r="A17" s="20" t="s">
        <v>87</v>
      </c>
      <c r="B17" s="20">
        <v>220029640</v>
      </c>
      <c r="C17" s="20" t="s">
        <v>88</v>
      </c>
      <c r="D17" s="20" t="s">
        <v>89</v>
      </c>
      <c r="E17" s="20">
        <v>400454000062</v>
      </c>
      <c r="F17" s="20" t="s">
        <v>90</v>
      </c>
      <c r="G17" s="20" t="s">
        <v>90</v>
      </c>
      <c r="H17" s="20" t="s">
        <v>91</v>
      </c>
      <c r="I17" s="20" t="s">
        <v>92</v>
      </c>
      <c r="J17" s="20" t="s">
        <v>93</v>
      </c>
      <c r="L17" s="20">
        <v>0</v>
      </c>
      <c r="M17" s="20" t="s">
        <v>94</v>
      </c>
      <c r="N17" s="20" t="s">
        <v>91</v>
      </c>
      <c r="O17" s="20">
        <v>0</v>
      </c>
      <c r="P17" s="20">
        <v>115</v>
      </c>
      <c r="Q17" s="20">
        <v>13.56</v>
      </c>
      <c r="R17" s="20">
        <v>1269.0350000000001</v>
      </c>
      <c r="S17" s="20">
        <v>0.09</v>
      </c>
      <c r="T17" s="20">
        <v>1.42</v>
      </c>
      <c r="U17" s="20">
        <v>0.17</v>
      </c>
      <c r="V17" s="20">
        <v>0.09</v>
      </c>
      <c r="W17" s="20">
        <v>0.06</v>
      </c>
      <c r="X17" s="20">
        <v>106</v>
      </c>
      <c r="Y17" s="20">
        <v>91</v>
      </c>
      <c r="Z17" s="20">
        <v>136</v>
      </c>
      <c r="AA17" s="20">
        <v>141</v>
      </c>
      <c r="AB17" s="20">
        <v>106</v>
      </c>
      <c r="AC17" s="20">
        <v>91</v>
      </c>
      <c r="AD17" s="20">
        <v>136</v>
      </c>
      <c r="AE17" s="20">
        <v>141</v>
      </c>
    </row>
    <row r="18" spans="1:31">
      <c r="A18" s="20" t="s">
        <v>87</v>
      </c>
      <c r="B18" s="20">
        <v>220029640</v>
      </c>
      <c r="C18" s="20" t="s">
        <v>88</v>
      </c>
      <c r="D18" s="20" t="s">
        <v>89</v>
      </c>
      <c r="E18" s="20">
        <v>400454000062</v>
      </c>
      <c r="F18" s="20" t="s">
        <v>90</v>
      </c>
      <c r="G18" s="20" t="s">
        <v>90</v>
      </c>
      <c r="H18" s="20" t="s">
        <v>91</v>
      </c>
      <c r="I18" s="20" t="s">
        <v>92</v>
      </c>
      <c r="J18" s="20" t="s">
        <v>93</v>
      </c>
      <c r="L18" s="20">
        <v>0</v>
      </c>
      <c r="M18" s="20" t="s">
        <v>94</v>
      </c>
      <c r="N18" s="20" t="s">
        <v>91</v>
      </c>
      <c r="O18" s="20">
        <v>0</v>
      </c>
      <c r="P18" s="20">
        <v>120</v>
      </c>
      <c r="Q18" s="20">
        <v>14.41</v>
      </c>
      <c r="R18" s="20">
        <v>1269.114</v>
      </c>
      <c r="S18" s="20">
        <v>0.09</v>
      </c>
      <c r="T18" s="20">
        <v>1.45</v>
      </c>
      <c r="U18" s="20">
        <v>0.17</v>
      </c>
      <c r="V18" s="20">
        <v>0.09</v>
      </c>
      <c r="W18" s="20">
        <v>0.06</v>
      </c>
      <c r="X18" s="20">
        <v>106</v>
      </c>
      <c r="Y18" s="20">
        <v>91</v>
      </c>
      <c r="Z18" s="20">
        <v>137</v>
      </c>
      <c r="AA18" s="20">
        <v>142</v>
      </c>
      <c r="AB18" s="20">
        <v>106</v>
      </c>
      <c r="AC18" s="20">
        <v>91</v>
      </c>
      <c r="AD18" s="20">
        <v>137</v>
      </c>
      <c r="AE18" s="20">
        <v>142</v>
      </c>
    </row>
    <row r="19" spans="1:31">
      <c r="A19" s="20" t="s">
        <v>87</v>
      </c>
      <c r="B19" s="20">
        <v>220029640</v>
      </c>
      <c r="C19" s="20" t="s">
        <v>88</v>
      </c>
      <c r="D19" s="20" t="s">
        <v>89</v>
      </c>
      <c r="E19" s="20">
        <v>400454000062</v>
      </c>
      <c r="F19" s="20" t="s">
        <v>90</v>
      </c>
      <c r="G19" s="20" t="s">
        <v>90</v>
      </c>
      <c r="H19" s="20" t="s">
        <v>91</v>
      </c>
      <c r="I19" s="20" t="s">
        <v>92</v>
      </c>
      <c r="J19" s="20" t="s">
        <v>93</v>
      </c>
      <c r="L19" s="20">
        <v>0</v>
      </c>
      <c r="M19" s="20" t="s">
        <v>94</v>
      </c>
      <c r="N19" s="20" t="s">
        <v>91</v>
      </c>
      <c r="O19" s="20">
        <v>0</v>
      </c>
      <c r="P19" s="20">
        <v>125</v>
      </c>
      <c r="Q19" s="20">
        <v>15.26</v>
      </c>
      <c r="R19" s="20">
        <v>1269.193</v>
      </c>
      <c r="S19" s="20">
        <v>0.09</v>
      </c>
      <c r="T19" s="20">
        <v>1.39</v>
      </c>
      <c r="U19" s="20">
        <v>0.17</v>
      </c>
      <c r="V19" s="20">
        <v>0.09</v>
      </c>
      <c r="W19" s="20">
        <v>0.06</v>
      </c>
      <c r="X19" s="20">
        <v>106</v>
      </c>
      <c r="Y19" s="20">
        <v>92</v>
      </c>
      <c r="Z19" s="20">
        <v>138</v>
      </c>
      <c r="AA19" s="20">
        <v>142</v>
      </c>
      <c r="AB19" s="20">
        <v>106</v>
      </c>
      <c r="AC19" s="20">
        <v>92</v>
      </c>
      <c r="AD19" s="20">
        <v>138</v>
      </c>
      <c r="AE19" s="20">
        <v>142</v>
      </c>
    </row>
    <row r="20" spans="1:31">
      <c r="A20" s="20" t="s">
        <v>87</v>
      </c>
      <c r="B20" s="20">
        <v>220029640</v>
      </c>
      <c r="C20" s="20" t="s">
        <v>88</v>
      </c>
      <c r="D20" s="20" t="s">
        <v>89</v>
      </c>
      <c r="E20" s="20">
        <v>400454000062</v>
      </c>
      <c r="F20" s="20" t="s">
        <v>90</v>
      </c>
      <c r="G20" s="20" t="s">
        <v>90</v>
      </c>
      <c r="H20" s="20" t="s">
        <v>91</v>
      </c>
      <c r="I20" s="20" t="s">
        <v>92</v>
      </c>
      <c r="J20" s="20" t="s">
        <v>93</v>
      </c>
      <c r="L20" s="20">
        <v>0</v>
      </c>
      <c r="M20" s="20" t="s">
        <v>94</v>
      </c>
      <c r="N20" s="20" t="s">
        <v>91</v>
      </c>
      <c r="O20" s="20">
        <v>0</v>
      </c>
      <c r="P20" s="20">
        <v>130</v>
      </c>
      <c r="Q20" s="20">
        <v>16.12</v>
      </c>
      <c r="R20" s="20">
        <v>1269.27</v>
      </c>
      <c r="S20" s="20">
        <v>0.09</v>
      </c>
      <c r="T20" s="20">
        <v>1.29</v>
      </c>
      <c r="U20" s="20">
        <v>0.17</v>
      </c>
      <c r="V20" s="20">
        <v>0.09</v>
      </c>
      <c r="W20" s="20">
        <v>0.06</v>
      </c>
      <c r="X20" s="20">
        <v>107</v>
      </c>
      <c r="Y20" s="20">
        <v>92</v>
      </c>
      <c r="Z20" s="20">
        <v>138</v>
      </c>
      <c r="AA20" s="20">
        <v>142</v>
      </c>
      <c r="AB20" s="20">
        <v>107</v>
      </c>
      <c r="AC20" s="20">
        <v>92</v>
      </c>
      <c r="AD20" s="20">
        <v>138</v>
      </c>
      <c r="AE20" s="20">
        <v>142</v>
      </c>
    </row>
    <row r="21" spans="1:31">
      <c r="A21" s="20" t="s">
        <v>87</v>
      </c>
      <c r="B21" s="20">
        <v>220029640</v>
      </c>
      <c r="C21" s="20" t="s">
        <v>88</v>
      </c>
      <c r="D21" s="20" t="s">
        <v>89</v>
      </c>
      <c r="E21" s="20">
        <v>400454000062</v>
      </c>
      <c r="F21" s="20" t="s">
        <v>90</v>
      </c>
      <c r="G21" s="20" t="s">
        <v>90</v>
      </c>
      <c r="H21" s="20" t="s">
        <v>91</v>
      </c>
      <c r="I21" s="20" t="s">
        <v>92</v>
      </c>
      <c r="J21" s="20" t="s">
        <v>93</v>
      </c>
      <c r="L21" s="20">
        <v>0</v>
      </c>
      <c r="M21" s="20" t="s">
        <v>94</v>
      </c>
      <c r="N21" s="20" t="s">
        <v>91</v>
      </c>
      <c r="O21" s="20">
        <v>0</v>
      </c>
      <c r="P21" s="20">
        <v>135</v>
      </c>
      <c r="Q21" s="20">
        <v>16.989999999999998</v>
      </c>
      <c r="R21" s="20">
        <v>1269.348</v>
      </c>
      <c r="S21" s="20">
        <v>0.09</v>
      </c>
      <c r="T21" s="20">
        <v>1.24</v>
      </c>
      <c r="U21" s="20">
        <v>0.17</v>
      </c>
      <c r="V21" s="20">
        <v>0.09</v>
      </c>
      <c r="W21" s="20">
        <v>0.06</v>
      </c>
      <c r="X21" s="20">
        <v>107</v>
      </c>
      <c r="Y21" s="20">
        <v>92</v>
      </c>
      <c r="Z21" s="20">
        <v>138</v>
      </c>
      <c r="AA21" s="20">
        <v>142</v>
      </c>
      <c r="AB21" s="20">
        <v>107</v>
      </c>
      <c r="AC21" s="20">
        <v>92</v>
      </c>
      <c r="AD21" s="20">
        <v>138</v>
      </c>
      <c r="AE21" s="20">
        <v>142</v>
      </c>
    </row>
    <row r="22" spans="1:31">
      <c r="A22" s="20" t="s">
        <v>87</v>
      </c>
      <c r="B22" s="20">
        <v>220029640</v>
      </c>
      <c r="C22" s="20" t="s">
        <v>88</v>
      </c>
      <c r="D22" s="20" t="s">
        <v>89</v>
      </c>
      <c r="E22" s="20">
        <v>400454000062</v>
      </c>
      <c r="F22" s="20" t="s">
        <v>90</v>
      </c>
      <c r="G22" s="20" t="s">
        <v>90</v>
      </c>
      <c r="H22" s="20" t="s">
        <v>91</v>
      </c>
      <c r="I22" s="20" t="s">
        <v>92</v>
      </c>
      <c r="J22" s="20" t="s">
        <v>93</v>
      </c>
      <c r="L22" s="20">
        <v>0</v>
      </c>
      <c r="M22" s="20" t="s">
        <v>94</v>
      </c>
      <c r="N22" s="20" t="s">
        <v>91</v>
      </c>
      <c r="O22" s="20">
        <v>0</v>
      </c>
      <c r="P22" s="20">
        <v>140</v>
      </c>
      <c r="Q22" s="20">
        <v>17.829999999999998</v>
      </c>
      <c r="R22" s="20">
        <v>1269.424</v>
      </c>
      <c r="S22" s="20">
        <v>0.09</v>
      </c>
      <c r="T22" s="20">
        <v>1.28</v>
      </c>
      <c r="U22" s="20">
        <v>0.17</v>
      </c>
      <c r="V22" s="20">
        <v>0.09</v>
      </c>
      <c r="W22" s="20">
        <v>0.06</v>
      </c>
      <c r="X22" s="20">
        <v>107</v>
      </c>
      <c r="Y22" s="20">
        <v>92</v>
      </c>
      <c r="Z22" s="20">
        <v>138</v>
      </c>
      <c r="AA22" s="20">
        <v>143</v>
      </c>
      <c r="AB22" s="20">
        <v>107</v>
      </c>
      <c r="AC22" s="20">
        <v>92</v>
      </c>
      <c r="AD22" s="20">
        <v>138</v>
      </c>
      <c r="AE22" s="20">
        <v>143</v>
      </c>
    </row>
    <row r="23" spans="1:31">
      <c r="A23" s="20" t="s">
        <v>87</v>
      </c>
      <c r="B23" s="20">
        <v>220029640</v>
      </c>
      <c r="C23" s="20" t="s">
        <v>88</v>
      </c>
      <c r="D23" s="20" t="s">
        <v>89</v>
      </c>
      <c r="E23" s="20">
        <v>400454000062</v>
      </c>
      <c r="F23" s="20" t="s">
        <v>90</v>
      </c>
      <c r="G23" s="20" t="s">
        <v>90</v>
      </c>
      <c r="H23" s="20" t="s">
        <v>91</v>
      </c>
      <c r="I23" s="20" t="s">
        <v>92</v>
      </c>
      <c r="J23" s="20" t="s">
        <v>93</v>
      </c>
      <c r="L23" s="20">
        <v>0</v>
      </c>
      <c r="M23" s="20" t="s">
        <v>94</v>
      </c>
      <c r="N23" s="20" t="s">
        <v>91</v>
      </c>
      <c r="O23" s="20">
        <v>0</v>
      </c>
      <c r="P23" s="20">
        <v>145</v>
      </c>
      <c r="Q23" s="20">
        <v>18.68</v>
      </c>
      <c r="R23" s="20">
        <v>1269.5</v>
      </c>
      <c r="S23" s="20">
        <v>0.09</v>
      </c>
      <c r="T23" s="20">
        <v>1.32</v>
      </c>
      <c r="U23" s="20">
        <v>0.17</v>
      </c>
      <c r="V23" s="20">
        <v>0.09</v>
      </c>
      <c r="W23" s="20">
        <v>0.06</v>
      </c>
      <c r="X23" s="20">
        <v>107</v>
      </c>
      <c r="Y23" s="20">
        <v>93</v>
      </c>
      <c r="Z23" s="20">
        <v>138</v>
      </c>
      <c r="AA23" s="20">
        <v>143</v>
      </c>
      <c r="AB23" s="20">
        <v>107</v>
      </c>
      <c r="AC23" s="20">
        <v>93</v>
      </c>
      <c r="AD23" s="20">
        <v>138</v>
      </c>
      <c r="AE23" s="20">
        <v>143</v>
      </c>
    </row>
    <row r="24" spans="1:31">
      <c r="A24" s="20" t="s">
        <v>87</v>
      </c>
      <c r="B24" s="20">
        <v>220029640</v>
      </c>
      <c r="C24" s="20" t="s">
        <v>88</v>
      </c>
      <c r="D24" s="20" t="s">
        <v>89</v>
      </c>
      <c r="E24" s="20">
        <v>400454000062</v>
      </c>
      <c r="F24" s="20" t="s">
        <v>90</v>
      </c>
      <c r="G24" s="20" t="s">
        <v>90</v>
      </c>
      <c r="H24" s="20" t="s">
        <v>91</v>
      </c>
      <c r="I24" s="20" t="s">
        <v>92</v>
      </c>
      <c r="J24" s="20" t="s">
        <v>93</v>
      </c>
      <c r="L24" s="20">
        <v>0</v>
      </c>
      <c r="M24" s="20" t="s">
        <v>94</v>
      </c>
      <c r="N24" s="20" t="s">
        <v>91</v>
      </c>
      <c r="O24" s="20">
        <v>0</v>
      </c>
      <c r="P24" s="20">
        <v>150</v>
      </c>
      <c r="Q24" s="20">
        <v>19.5</v>
      </c>
      <c r="R24" s="20">
        <v>1269.577</v>
      </c>
      <c r="S24" s="20">
        <v>0.09</v>
      </c>
      <c r="T24" s="20">
        <v>1.35</v>
      </c>
      <c r="U24" s="20">
        <v>0.17</v>
      </c>
      <c r="V24" s="20">
        <v>0.09</v>
      </c>
      <c r="W24" s="20">
        <v>0.06</v>
      </c>
      <c r="X24" s="20">
        <v>107</v>
      </c>
      <c r="Y24" s="20">
        <v>93</v>
      </c>
      <c r="Z24" s="20">
        <v>139</v>
      </c>
      <c r="AA24" s="20">
        <v>143</v>
      </c>
      <c r="AB24" s="20">
        <v>107</v>
      </c>
      <c r="AC24" s="20">
        <v>93</v>
      </c>
      <c r="AD24" s="20">
        <v>139</v>
      </c>
      <c r="AE24" s="20">
        <v>143</v>
      </c>
    </row>
    <row r="25" spans="1:31">
      <c r="A25" s="20" t="s">
        <v>87</v>
      </c>
      <c r="B25" s="20">
        <v>220029640</v>
      </c>
      <c r="C25" s="20" t="s">
        <v>88</v>
      </c>
      <c r="D25" s="20" t="s">
        <v>89</v>
      </c>
      <c r="E25" s="20">
        <v>400454000062</v>
      </c>
      <c r="F25" s="20" t="s">
        <v>90</v>
      </c>
      <c r="G25" s="20" t="s">
        <v>90</v>
      </c>
      <c r="H25" s="20" t="s">
        <v>91</v>
      </c>
      <c r="I25" s="20" t="s">
        <v>92</v>
      </c>
      <c r="J25" s="20" t="s">
        <v>93</v>
      </c>
      <c r="L25" s="20">
        <v>0</v>
      </c>
      <c r="M25" s="20" t="s">
        <v>94</v>
      </c>
      <c r="N25" s="20" t="s">
        <v>91</v>
      </c>
      <c r="O25" s="20">
        <v>0</v>
      </c>
      <c r="P25" s="20">
        <v>155</v>
      </c>
      <c r="Q25" s="20">
        <v>20.36</v>
      </c>
      <c r="R25" s="20">
        <v>1269.652</v>
      </c>
      <c r="S25" s="20">
        <v>0.09</v>
      </c>
      <c r="T25" s="20">
        <v>1.34</v>
      </c>
      <c r="U25" s="20">
        <v>0.17</v>
      </c>
      <c r="V25" s="20">
        <v>0.09</v>
      </c>
      <c r="W25" s="20">
        <v>0.06</v>
      </c>
      <c r="X25" s="20">
        <v>107</v>
      </c>
      <c r="Y25" s="20">
        <v>93</v>
      </c>
      <c r="Z25" s="20">
        <v>139</v>
      </c>
      <c r="AA25" s="20">
        <v>144</v>
      </c>
      <c r="AB25" s="20">
        <v>107</v>
      </c>
      <c r="AC25" s="20">
        <v>93</v>
      </c>
      <c r="AD25" s="20">
        <v>139</v>
      </c>
      <c r="AE25" s="20">
        <v>144</v>
      </c>
    </row>
    <row r="26" spans="1:31">
      <c r="A26" s="20" t="s">
        <v>87</v>
      </c>
      <c r="B26" s="20">
        <v>220029640</v>
      </c>
      <c r="C26" s="20" t="s">
        <v>88</v>
      </c>
      <c r="D26" s="20" t="s">
        <v>89</v>
      </c>
      <c r="E26" s="20">
        <v>400454000062</v>
      </c>
      <c r="F26" s="20" t="s">
        <v>90</v>
      </c>
      <c r="G26" s="20" t="s">
        <v>90</v>
      </c>
      <c r="H26" s="20" t="s">
        <v>91</v>
      </c>
      <c r="I26" s="20" t="s">
        <v>92</v>
      </c>
      <c r="J26" s="20" t="s">
        <v>93</v>
      </c>
      <c r="L26" s="20">
        <v>0</v>
      </c>
      <c r="M26" s="20" t="s">
        <v>94</v>
      </c>
      <c r="N26" s="20" t="s">
        <v>91</v>
      </c>
      <c r="O26" s="20">
        <v>0</v>
      </c>
      <c r="P26" s="20">
        <v>160</v>
      </c>
      <c r="Q26" s="20">
        <v>21.21</v>
      </c>
      <c r="R26" s="20">
        <v>1269.7260000000001</v>
      </c>
      <c r="S26" s="20">
        <v>0.09</v>
      </c>
      <c r="T26" s="20">
        <v>1.36</v>
      </c>
      <c r="U26" s="20">
        <v>0.17</v>
      </c>
      <c r="V26" s="20">
        <v>0.09</v>
      </c>
      <c r="W26" s="20">
        <v>0.06</v>
      </c>
      <c r="X26" s="20">
        <v>107</v>
      </c>
      <c r="Y26" s="20">
        <v>94</v>
      </c>
      <c r="Z26" s="20">
        <v>140</v>
      </c>
      <c r="AA26" s="20">
        <v>144</v>
      </c>
      <c r="AB26" s="20">
        <v>107</v>
      </c>
      <c r="AC26" s="20">
        <v>94</v>
      </c>
      <c r="AD26" s="20">
        <v>140</v>
      </c>
      <c r="AE26" s="20">
        <v>144</v>
      </c>
    </row>
    <row r="27" spans="1:31">
      <c r="A27" s="20" t="s">
        <v>87</v>
      </c>
      <c r="B27" s="20">
        <v>220029640</v>
      </c>
      <c r="C27" s="20" t="s">
        <v>88</v>
      </c>
      <c r="D27" s="20" t="s">
        <v>89</v>
      </c>
      <c r="E27" s="20">
        <v>400454000062</v>
      </c>
      <c r="F27" s="20" t="s">
        <v>90</v>
      </c>
      <c r="G27" s="20" t="s">
        <v>90</v>
      </c>
      <c r="H27" s="20" t="s">
        <v>91</v>
      </c>
      <c r="I27" s="20" t="s">
        <v>92</v>
      </c>
      <c r="J27" s="20" t="s">
        <v>93</v>
      </c>
      <c r="L27" s="20">
        <v>0</v>
      </c>
      <c r="M27" s="20" t="s">
        <v>94</v>
      </c>
      <c r="N27" s="20" t="s">
        <v>91</v>
      </c>
      <c r="O27" s="20">
        <v>0</v>
      </c>
      <c r="P27" s="20">
        <v>165</v>
      </c>
      <c r="Q27" s="20">
        <v>22.08</v>
      </c>
      <c r="R27" s="20">
        <v>1269.8009999999999</v>
      </c>
      <c r="S27" s="20">
        <v>0.09</v>
      </c>
      <c r="T27" s="20">
        <v>1.4</v>
      </c>
      <c r="U27" s="20">
        <v>0.17</v>
      </c>
      <c r="V27" s="20">
        <v>0.09</v>
      </c>
      <c r="W27" s="20">
        <v>0.06</v>
      </c>
      <c r="X27" s="20">
        <v>108</v>
      </c>
      <c r="Y27" s="20">
        <v>94</v>
      </c>
      <c r="Z27" s="20">
        <v>140</v>
      </c>
      <c r="AA27" s="20">
        <v>144</v>
      </c>
      <c r="AB27" s="20">
        <v>108</v>
      </c>
      <c r="AC27" s="20">
        <v>94</v>
      </c>
      <c r="AD27" s="20">
        <v>140</v>
      </c>
      <c r="AE27" s="20">
        <v>144</v>
      </c>
    </row>
    <row r="28" spans="1:31">
      <c r="A28" s="20" t="s">
        <v>87</v>
      </c>
      <c r="B28" s="20">
        <v>220029640</v>
      </c>
      <c r="C28" s="20" t="s">
        <v>88</v>
      </c>
      <c r="D28" s="20" t="s">
        <v>89</v>
      </c>
      <c r="E28" s="20">
        <v>400454000062</v>
      </c>
      <c r="F28" s="20" t="s">
        <v>90</v>
      </c>
      <c r="G28" s="20" t="s">
        <v>90</v>
      </c>
      <c r="H28" s="20" t="s">
        <v>91</v>
      </c>
      <c r="I28" s="20" t="s">
        <v>92</v>
      </c>
      <c r="J28" s="20" t="s">
        <v>93</v>
      </c>
      <c r="L28" s="20">
        <v>0</v>
      </c>
      <c r="M28" s="20" t="s">
        <v>94</v>
      </c>
      <c r="N28" s="20" t="s">
        <v>91</v>
      </c>
      <c r="O28" s="20">
        <v>0</v>
      </c>
      <c r="P28" s="20">
        <v>170</v>
      </c>
      <c r="Q28" s="20">
        <v>22.97</v>
      </c>
      <c r="R28" s="20">
        <v>1269.8779999999999</v>
      </c>
      <c r="S28" s="20">
        <v>0.09</v>
      </c>
      <c r="T28" s="20">
        <v>1.4</v>
      </c>
      <c r="U28" s="20">
        <v>0.17</v>
      </c>
      <c r="V28" s="20">
        <v>0.09</v>
      </c>
      <c r="W28" s="20">
        <v>0.06</v>
      </c>
      <c r="X28" s="20">
        <v>108</v>
      </c>
      <c r="Y28" s="20">
        <v>95</v>
      </c>
      <c r="Z28" s="20">
        <v>141</v>
      </c>
      <c r="AA28" s="20">
        <v>145</v>
      </c>
      <c r="AB28" s="20">
        <v>108</v>
      </c>
      <c r="AC28" s="20">
        <v>95</v>
      </c>
      <c r="AD28" s="20">
        <v>141</v>
      </c>
      <c r="AE28" s="20">
        <v>145</v>
      </c>
    </row>
    <row r="29" spans="1:31">
      <c r="A29" s="20" t="s">
        <v>87</v>
      </c>
      <c r="B29" s="20">
        <v>220029640</v>
      </c>
      <c r="C29" s="20" t="s">
        <v>88</v>
      </c>
      <c r="D29" s="20" t="s">
        <v>89</v>
      </c>
      <c r="E29" s="20">
        <v>400454000062</v>
      </c>
      <c r="F29" s="20" t="s">
        <v>90</v>
      </c>
      <c r="G29" s="20" t="s">
        <v>90</v>
      </c>
      <c r="H29" s="20" t="s">
        <v>91</v>
      </c>
      <c r="I29" s="20" t="s">
        <v>92</v>
      </c>
      <c r="J29" s="20" t="s">
        <v>93</v>
      </c>
      <c r="L29" s="20">
        <v>0</v>
      </c>
      <c r="M29" s="20" t="s">
        <v>94</v>
      </c>
      <c r="N29" s="20" t="s">
        <v>91</v>
      </c>
      <c r="O29" s="20">
        <v>0</v>
      </c>
      <c r="P29" s="20">
        <v>175</v>
      </c>
      <c r="Q29" s="20">
        <v>23.82</v>
      </c>
      <c r="R29" s="20">
        <v>1269.9580000000001</v>
      </c>
      <c r="S29" s="20">
        <v>0.09</v>
      </c>
      <c r="T29" s="20">
        <v>1.4</v>
      </c>
      <c r="U29" s="20">
        <v>0.17</v>
      </c>
      <c r="V29" s="20">
        <v>0.09</v>
      </c>
      <c r="W29" s="20">
        <v>0.06</v>
      </c>
      <c r="X29" s="20">
        <v>109</v>
      </c>
      <c r="Y29" s="20">
        <v>95</v>
      </c>
      <c r="Z29" s="20">
        <v>142</v>
      </c>
      <c r="AA29" s="20">
        <v>145</v>
      </c>
      <c r="AB29" s="20">
        <v>109</v>
      </c>
      <c r="AC29" s="20">
        <v>95</v>
      </c>
      <c r="AD29" s="20">
        <v>142</v>
      </c>
      <c r="AE29" s="20">
        <v>145</v>
      </c>
    </row>
    <row r="30" spans="1:31">
      <c r="A30" s="20" t="s">
        <v>87</v>
      </c>
      <c r="B30" s="20">
        <v>220029640</v>
      </c>
      <c r="C30" s="20" t="s">
        <v>88</v>
      </c>
      <c r="D30" s="20" t="s">
        <v>89</v>
      </c>
      <c r="E30" s="20">
        <v>400454000062</v>
      </c>
      <c r="F30" s="20" t="s">
        <v>90</v>
      </c>
      <c r="G30" s="20" t="s">
        <v>90</v>
      </c>
      <c r="H30" s="20" t="s">
        <v>91</v>
      </c>
      <c r="I30" s="20" t="s">
        <v>92</v>
      </c>
      <c r="J30" s="20" t="s">
        <v>93</v>
      </c>
      <c r="L30" s="20">
        <v>0</v>
      </c>
      <c r="M30" s="20" t="s">
        <v>94</v>
      </c>
      <c r="N30" s="20" t="s">
        <v>91</v>
      </c>
      <c r="O30" s="20">
        <v>0</v>
      </c>
      <c r="P30" s="20">
        <v>180</v>
      </c>
      <c r="Q30" s="20">
        <v>24.62</v>
      </c>
      <c r="R30" s="20">
        <v>1270.0350000000001</v>
      </c>
      <c r="S30" s="20">
        <v>0.1</v>
      </c>
      <c r="T30" s="20">
        <v>1.32</v>
      </c>
      <c r="U30" s="20">
        <v>0.17</v>
      </c>
      <c r="V30" s="20">
        <v>0.09</v>
      </c>
      <c r="W30" s="20">
        <v>0.06</v>
      </c>
      <c r="X30" s="20">
        <v>109</v>
      </c>
      <c r="Y30" s="20">
        <v>95</v>
      </c>
      <c r="Z30" s="20">
        <v>142</v>
      </c>
      <c r="AA30" s="20">
        <v>145</v>
      </c>
      <c r="AB30" s="20">
        <v>109</v>
      </c>
      <c r="AC30" s="20">
        <v>95</v>
      </c>
      <c r="AD30" s="20">
        <v>142</v>
      </c>
      <c r="AE30" s="20">
        <v>145</v>
      </c>
    </row>
    <row r="31" spans="1:31">
      <c r="A31" s="20" t="s">
        <v>87</v>
      </c>
      <c r="B31" s="20">
        <v>220029640</v>
      </c>
      <c r="C31" s="20" t="s">
        <v>88</v>
      </c>
      <c r="D31" s="20" t="s">
        <v>89</v>
      </c>
      <c r="E31" s="20">
        <v>400454000062</v>
      </c>
      <c r="F31" s="20" t="s">
        <v>90</v>
      </c>
      <c r="G31" s="20" t="s">
        <v>90</v>
      </c>
      <c r="H31" s="20" t="s">
        <v>91</v>
      </c>
      <c r="I31" s="20" t="s">
        <v>92</v>
      </c>
      <c r="J31" s="20" t="s">
        <v>93</v>
      </c>
      <c r="L31" s="20">
        <v>0</v>
      </c>
      <c r="M31" s="20" t="s">
        <v>94</v>
      </c>
      <c r="N31" s="20" t="s">
        <v>91</v>
      </c>
      <c r="O31" s="20">
        <v>0</v>
      </c>
      <c r="P31" s="20">
        <v>185</v>
      </c>
      <c r="Q31" s="20">
        <v>25.45</v>
      </c>
      <c r="R31" s="20">
        <v>1270.1089999999999</v>
      </c>
      <c r="S31" s="20">
        <v>0.09</v>
      </c>
      <c r="T31" s="20">
        <v>1.3</v>
      </c>
      <c r="U31" s="20">
        <v>0.17</v>
      </c>
      <c r="V31" s="20">
        <v>0.09</v>
      </c>
      <c r="W31" s="20">
        <v>0.06</v>
      </c>
      <c r="X31" s="20">
        <v>109</v>
      </c>
      <c r="Y31" s="20">
        <v>96</v>
      </c>
      <c r="Z31" s="20">
        <v>143</v>
      </c>
      <c r="AA31" s="20">
        <v>146</v>
      </c>
      <c r="AB31" s="20">
        <v>109</v>
      </c>
      <c r="AC31" s="20">
        <v>96</v>
      </c>
      <c r="AD31" s="20">
        <v>143</v>
      </c>
      <c r="AE31" s="20">
        <v>146</v>
      </c>
    </row>
    <row r="32" spans="1:31">
      <c r="A32" s="20" t="s">
        <v>87</v>
      </c>
      <c r="B32" s="20">
        <v>220029640</v>
      </c>
      <c r="C32" s="20" t="s">
        <v>88</v>
      </c>
      <c r="D32" s="20" t="s">
        <v>89</v>
      </c>
      <c r="E32" s="20">
        <v>400454000062</v>
      </c>
      <c r="F32" s="20" t="s">
        <v>90</v>
      </c>
      <c r="G32" s="20" t="s">
        <v>90</v>
      </c>
      <c r="H32" s="20" t="s">
        <v>91</v>
      </c>
      <c r="I32" s="20" t="s">
        <v>92</v>
      </c>
      <c r="J32" s="20" t="s">
        <v>93</v>
      </c>
      <c r="L32" s="20">
        <v>0</v>
      </c>
      <c r="M32" s="20" t="s">
        <v>94</v>
      </c>
      <c r="N32" s="20" t="s">
        <v>91</v>
      </c>
      <c r="O32" s="20">
        <v>0</v>
      </c>
      <c r="P32" s="20">
        <v>190</v>
      </c>
      <c r="Q32" s="20">
        <v>26.29</v>
      </c>
      <c r="R32" s="20">
        <v>1270.183</v>
      </c>
      <c r="S32" s="20">
        <v>0.09</v>
      </c>
      <c r="T32" s="20">
        <v>1.32</v>
      </c>
      <c r="U32" s="20">
        <v>0.17</v>
      </c>
      <c r="V32" s="20">
        <v>0.09</v>
      </c>
      <c r="W32" s="20">
        <v>0.06</v>
      </c>
      <c r="X32" s="20">
        <v>110</v>
      </c>
      <c r="Y32" s="20">
        <v>96</v>
      </c>
      <c r="Z32" s="20">
        <v>143</v>
      </c>
      <c r="AA32" s="20">
        <v>146</v>
      </c>
      <c r="AB32" s="20">
        <v>110</v>
      </c>
      <c r="AC32" s="20">
        <v>96</v>
      </c>
      <c r="AD32" s="20">
        <v>143</v>
      </c>
      <c r="AE32" s="20">
        <v>146</v>
      </c>
    </row>
    <row r="33" spans="1:31">
      <c r="A33" s="20" t="s">
        <v>87</v>
      </c>
      <c r="B33" s="20">
        <v>220029640</v>
      </c>
      <c r="C33" s="20" t="s">
        <v>88</v>
      </c>
      <c r="D33" s="20" t="s">
        <v>89</v>
      </c>
      <c r="E33" s="20">
        <v>400454000062</v>
      </c>
      <c r="F33" s="20" t="s">
        <v>90</v>
      </c>
      <c r="G33" s="20" t="s">
        <v>90</v>
      </c>
      <c r="H33" s="20" t="s">
        <v>91</v>
      </c>
      <c r="I33" s="20" t="s">
        <v>92</v>
      </c>
      <c r="J33" s="20" t="s">
        <v>93</v>
      </c>
      <c r="L33" s="20">
        <v>0</v>
      </c>
      <c r="M33" s="20" t="s">
        <v>94</v>
      </c>
      <c r="N33" s="20" t="s">
        <v>91</v>
      </c>
      <c r="O33" s="20">
        <v>0</v>
      </c>
      <c r="P33" s="20">
        <v>195</v>
      </c>
      <c r="Q33" s="20">
        <v>27.11</v>
      </c>
      <c r="R33" s="20">
        <v>1270.259</v>
      </c>
      <c r="S33" s="20">
        <v>0.09</v>
      </c>
      <c r="T33" s="20">
        <v>1.28</v>
      </c>
      <c r="U33" s="20">
        <v>0.17</v>
      </c>
      <c r="V33" s="20">
        <v>0.09</v>
      </c>
      <c r="W33" s="20">
        <v>0.06</v>
      </c>
      <c r="X33" s="20">
        <v>111</v>
      </c>
      <c r="Y33" s="20">
        <v>97</v>
      </c>
      <c r="Z33" s="20">
        <v>144</v>
      </c>
      <c r="AA33" s="20">
        <v>147</v>
      </c>
      <c r="AB33" s="20">
        <v>111</v>
      </c>
      <c r="AC33" s="20">
        <v>97</v>
      </c>
      <c r="AD33" s="20">
        <v>144</v>
      </c>
      <c r="AE33" s="20">
        <v>147</v>
      </c>
    </row>
    <row r="34" spans="1:31">
      <c r="A34" s="20" t="s">
        <v>87</v>
      </c>
      <c r="B34" s="20">
        <v>220029640</v>
      </c>
      <c r="C34" s="20" t="s">
        <v>88</v>
      </c>
      <c r="D34" s="20" t="s">
        <v>89</v>
      </c>
      <c r="E34" s="20">
        <v>400454000062</v>
      </c>
      <c r="F34" s="20" t="s">
        <v>90</v>
      </c>
      <c r="G34" s="20" t="s">
        <v>90</v>
      </c>
      <c r="H34" s="20" t="s">
        <v>91</v>
      </c>
      <c r="I34" s="20" t="s">
        <v>92</v>
      </c>
      <c r="J34" s="20" t="s">
        <v>93</v>
      </c>
      <c r="L34" s="20">
        <v>0</v>
      </c>
      <c r="M34" s="20" t="s">
        <v>94</v>
      </c>
      <c r="N34" s="20" t="s">
        <v>91</v>
      </c>
      <c r="O34" s="20">
        <v>0</v>
      </c>
      <c r="P34" s="20">
        <v>200</v>
      </c>
      <c r="Q34" s="20">
        <v>27.99</v>
      </c>
      <c r="R34" s="20">
        <v>1270.336</v>
      </c>
      <c r="S34" s="20">
        <v>0.09</v>
      </c>
      <c r="T34" s="20">
        <v>1.36</v>
      </c>
      <c r="U34" s="20">
        <v>0.17</v>
      </c>
      <c r="V34" s="20">
        <v>0.09</v>
      </c>
      <c r="W34" s="20">
        <v>0.06</v>
      </c>
      <c r="X34" s="20">
        <v>111</v>
      </c>
      <c r="Y34" s="20">
        <v>97</v>
      </c>
      <c r="Z34" s="20">
        <v>145</v>
      </c>
      <c r="AA34" s="20">
        <v>148</v>
      </c>
      <c r="AB34" s="20">
        <v>111</v>
      </c>
      <c r="AC34" s="20">
        <v>97</v>
      </c>
      <c r="AD34" s="20">
        <v>145</v>
      </c>
      <c r="AE34" s="20">
        <v>148</v>
      </c>
    </row>
    <row r="35" spans="1:31">
      <c r="A35" s="20" t="s">
        <v>87</v>
      </c>
      <c r="B35" s="20">
        <v>220029640</v>
      </c>
      <c r="C35" s="20" t="s">
        <v>88</v>
      </c>
      <c r="D35" s="20" t="s">
        <v>89</v>
      </c>
      <c r="E35" s="20">
        <v>400454000062</v>
      </c>
      <c r="F35" s="20" t="s">
        <v>90</v>
      </c>
      <c r="G35" s="20" t="s">
        <v>90</v>
      </c>
      <c r="H35" s="20" t="s">
        <v>91</v>
      </c>
      <c r="I35" s="20" t="s">
        <v>92</v>
      </c>
      <c r="J35" s="20" t="s">
        <v>93</v>
      </c>
      <c r="L35" s="20">
        <v>0</v>
      </c>
      <c r="M35" s="20" t="s">
        <v>94</v>
      </c>
      <c r="N35" s="20" t="s">
        <v>91</v>
      </c>
      <c r="O35" s="20">
        <v>0</v>
      </c>
      <c r="P35" s="20">
        <v>205</v>
      </c>
      <c r="Q35" s="20">
        <v>28.8</v>
      </c>
      <c r="R35" s="20">
        <v>1270.414</v>
      </c>
      <c r="S35" s="20">
        <v>0.1</v>
      </c>
      <c r="T35" s="20">
        <v>1.38</v>
      </c>
      <c r="U35" s="20">
        <v>0.17</v>
      </c>
      <c r="V35" s="20">
        <v>0.09</v>
      </c>
      <c r="W35" s="20">
        <v>0.06</v>
      </c>
      <c r="X35" s="20">
        <v>111</v>
      </c>
      <c r="Y35" s="20">
        <v>98</v>
      </c>
      <c r="Z35" s="20">
        <v>145</v>
      </c>
      <c r="AA35" s="20">
        <v>148</v>
      </c>
      <c r="AB35" s="20">
        <v>111</v>
      </c>
      <c r="AC35" s="20">
        <v>98</v>
      </c>
      <c r="AD35" s="20">
        <v>145</v>
      </c>
      <c r="AE35" s="20">
        <v>148</v>
      </c>
    </row>
    <row r="36" spans="1:31">
      <c r="A36" s="20" t="s">
        <v>87</v>
      </c>
      <c r="B36" s="20">
        <v>220029640</v>
      </c>
      <c r="C36" s="20" t="s">
        <v>88</v>
      </c>
      <c r="D36" s="20" t="s">
        <v>89</v>
      </c>
      <c r="E36" s="20">
        <v>400454000062</v>
      </c>
      <c r="F36" s="20" t="s">
        <v>90</v>
      </c>
      <c r="G36" s="20" t="s">
        <v>90</v>
      </c>
      <c r="H36" s="20" t="s">
        <v>91</v>
      </c>
      <c r="I36" s="20" t="s">
        <v>92</v>
      </c>
      <c r="J36" s="20" t="s">
        <v>93</v>
      </c>
      <c r="L36" s="20">
        <v>0</v>
      </c>
      <c r="M36" s="20" t="s">
        <v>94</v>
      </c>
      <c r="N36" s="20" t="s">
        <v>91</v>
      </c>
      <c r="O36" s="20">
        <v>0</v>
      </c>
      <c r="P36" s="20">
        <v>210</v>
      </c>
      <c r="Q36" s="20">
        <v>29.64</v>
      </c>
      <c r="R36" s="20">
        <v>1270.49</v>
      </c>
      <c r="S36" s="20">
        <v>0.09</v>
      </c>
      <c r="T36" s="20">
        <v>1.39</v>
      </c>
      <c r="U36" s="20">
        <v>0.17</v>
      </c>
      <c r="V36" s="20">
        <v>0.09</v>
      </c>
      <c r="W36" s="20">
        <v>0.06</v>
      </c>
      <c r="X36" s="20">
        <v>112</v>
      </c>
      <c r="Y36" s="20">
        <v>98</v>
      </c>
      <c r="Z36" s="20">
        <v>146</v>
      </c>
      <c r="AA36" s="20">
        <v>148</v>
      </c>
      <c r="AB36" s="20">
        <v>112</v>
      </c>
      <c r="AC36" s="20">
        <v>98</v>
      </c>
      <c r="AD36" s="20">
        <v>146</v>
      </c>
      <c r="AE36" s="20">
        <v>148</v>
      </c>
    </row>
    <row r="37" spans="1:31">
      <c r="A37" s="20" t="s">
        <v>87</v>
      </c>
      <c r="B37" s="20">
        <v>220029640</v>
      </c>
      <c r="C37" s="20" t="s">
        <v>88</v>
      </c>
      <c r="D37" s="20" t="s">
        <v>89</v>
      </c>
      <c r="E37" s="20">
        <v>400454000062</v>
      </c>
      <c r="F37" s="20" t="s">
        <v>90</v>
      </c>
      <c r="G37" s="20" t="s">
        <v>90</v>
      </c>
      <c r="H37" s="20" t="s">
        <v>91</v>
      </c>
      <c r="I37" s="20" t="s">
        <v>92</v>
      </c>
      <c r="J37" s="20" t="s">
        <v>93</v>
      </c>
      <c r="L37" s="20">
        <v>0</v>
      </c>
      <c r="M37" s="20" t="s">
        <v>94</v>
      </c>
      <c r="N37" s="20" t="s">
        <v>91</v>
      </c>
      <c r="O37" s="20">
        <v>0</v>
      </c>
      <c r="P37" s="20">
        <v>215</v>
      </c>
      <c r="Q37" s="20">
        <v>30.49</v>
      </c>
      <c r="R37" s="20">
        <v>1270.566</v>
      </c>
      <c r="S37" s="20">
        <v>0.09</v>
      </c>
      <c r="T37" s="20">
        <v>1.34</v>
      </c>
      <c r="U37" s="20">
        <v>0.17</v>
      </c>
      <c r="V37" s="20">
        <v>0.09</v>
      </c>
      <c r="W37" s="20">
        <v>0.06</v>
      </c>
      <c r="X37" s="20">
        <v>113</v>
      </c>
      <c r="Y37" s="20">
        <v>99</v>
      </c>
      <c r="Z37" s="20">
        <v>146</v>
      </c>
      <c r="AA37" s="20">
        <v>149</v>
      </c>
      <c r="AB37" s="20">
        <v>113</v>
      </c>
      <c r="AC37" s="20">
        <v>99</v>
      </c>
      <c r="AD37" s="20">
        <v>146</v>
      </c>
      <c r="AE37" s="20">
        <v>149</v>
      </c>
    </row>
    <row r="38" spans="1:31">
      <c r="A38" s="20" t="s">
        <v>87</v>
      </c>
      <c r="B38" s="20">
        <v>220029640</v>
      </c>
      <c r="C38" s="20" t="s">
        <v>88</v>
      </c>
      <c r="D38" s="20" t="s">
        <v>89</v>
      </c>
      <c r="E38" s="20">
        <v>400454000062</v>
      </c>
      <c r="F38" s="20" t="s">
        <v>90</v>
      </c>
      <c r="G38" s="20" t="s">
        <v>90</v>
      </c>
      <c r="H38" s="20" t="s">
        <v>91</v>
      </c>
      <c r="I38" s="20" t="s">
        <v>92</v>
      </c>
      <c r="J38" s="20" t="s">
        <v>93</v>
      </c>
      <c r="L38" s="20">
        <v>0</v>
      </c>
      <c r="M38" s="20" t="s">
        <v>94</v>
      </c>
      <c r="N38" s="20" t="s">
        <v>91</v>
      </c>
      <c r="O38" s="20">
        <v>0</v>
      </c>
      <c r="P38" s="20">
        <v>220</v>
      </c>
      <c r="Q38" s="20">
        <v>31.32</v>
      </c>
      <c r="R38" s="20">
        <v>1270.6410000000001</v>
      </c>
      <c r="S38" s="20">
        <v>0.09</v>
      </c>
      <c r="T38" s="20">
        <v>1.3</v>
      </c>
      <c r="U38" s="20">
        <v>0.17</v>
      </c>
      <c r="V38" s="20">
        <v>0.09</v>
      </c>
      <c r="W38" s="20">
        <v>0.06</v>
      </c>
      <c r="X38" s="20">
        <v>113</v>
      </c>
      <c r="Y38" s="20">
        <v>99</v>
      </c>
      <c r="Z38" s="20">
        <v>147</v>
      </c>
      <c r="AA38" s="20">
        <v>149</v>
      </c>
      <c r="AB38" s="20">
        <v>113</v>
      </c>
      <c r="AC38" s="20">
        <v>99</v>
      </c>
      <c r="AD38" s="20">
        <v>147</v>
      </c>
      <c r="AE38" s="20">
        <v>149</v>
      </c>
    </row>
    <row r="39" spans="1:31">
      <c r="A39" s="20" t="s">
        <v>87</v>
      </c>
      <c r="B39" s="20">
        <v>220029640</v>
      </c>
      <c r="C39" s="20" t="s">
        <v>88</v>
      </c>
      <c r="D39" s="20" t="s">
        <v>89</v>
      </c>
      <c r="E39" s="20">
        <v>400454000062</v>
      </c>
      <c r="F39" s="20" t="s">
        <v>90</v>
      </c>
      <c r="G39" s="20" t="s">
        <v>90</v>
      </c>
      <c r="H39" s="20" t="s">
        <v>91</v>
      </c>
      <c r="I39" s="20" t="s">
        <v>92</v>
      </c>
      <c r="J39" s="20" t="s">
        <v>93</v>
      </c>
      <c r="L39" s="20">
        <v>0</v>
      </c>
      <c r="M39" s="20" t="s">
        <v>94</v>
      </c>
      <c r="N39" s="20" t="s">
        <v>91</v>
      </c>
      <c r="O39" s="20">
        <v>0</v>
      </c>
      <c r="P39" s="20">
        <v>225</v>
      </c>
      <c r="Q39" s="20">
        <v>32.159999999999997</v>
      </c>
      <c r="R39" s="20">
        <v>1270.7180000000001</v>
      </c>
      <c r="S39" s="20">
        <v>0.09</v>
      </c>
      <c r="T39" s="20">
        <v>1.27</v>
      </c>
      <c r="U39" s="20">
        <v>0.17</v>
      </c>
      <c r="V39" s="20">
        <v>0.09</v>
      </c>
      <c r="W39" s="20">
        <v>0.06</v>
      </c>
      <c r="X39" s="20">
        <v>114</v>
      </c>
      <c r="Y39" s="20">
        <v>100</v>
      </c>
      <c r="Z39" s="20">
        <v>147</v>
      </c>
      <c r="AA39" s="20">
        <v>150</v>
      </c>
      <c r="AB39" s="20">
        <v>114</v>
      </c>
      <c r="AC39" s="20">
        <v>100</v>
      </c>
      <c r="AD39" s="20">
        <v>147</v>
      </c>
      <c r="AE39" s="20">
        <v>150</v>
      </c>
    </row>
    <row r="40" spans="1:31">
      <c r="A40" s="20" t="s">
        <v>87</v>
      </c>
      <c r="B40" s="20">
        <v>220029640</v>
      </c>
      <c r="C40" s="20" t="s">
        <v>88</v>
      </c>
      <c r="D40" s="20" t="s">
        <v>89</v>
      </c>
      <c r="E40" s="20">
        <v>400454000062</v>
      </c>
      <c r="F40" s="20" t="s">
        <v>90</v>
      </c>
      <c r="G40" s="20" t="s">
        <v>90</v>
      </c>
      <c r="H40" s="20" t="s">
        <v>91</v>
      </c>
      <c r="I40" s="20" t="s">
        <v>92</v>
      </c>
      <c r="J40" s="20" t="s">
        <v>93</v>
      </c>
      <c r="L40" s="20">
        <v>0</v>
      </c>
      <c r="M40" s="20" t="s">
        <v>94</v>
      </c>
      <c r="N40" s="20" t="s">
        <v>91</v>
      </c>
      <c r="O40" s="20">
        <v>0</v>
      </c>
      <c r="P40" s="20">
        <v>230</v>
      </c>
      <c r="Q40" s="20">
        <v>33.01</v>
      </c>
      <c r="R40" s="20">
        <v>1270.7919999999999</v>
      </c>
      <c r="S40" s="20">
        <v>0.09</v>
      </c>
      <c r="T40" s="20">
        <v>1.24</v>
      </c>
      <c r="U40" s="20">
        <v>0.17</v>
      </c>
      <c r="V40" s="20">
        <v>0.09</v>
      </c>
      <c r="W40" s="20">
        <v>0.06</v>
      </c>
      <c r="X40" s="20">
        <v>115</v>
      </c>
      <c r="Y40" s="20">
        <v>101</v>
      </c>
      <c r="Z40" s="20">
        <v>148</v>
      </c>
      <c r="AA40" s="20">
        <v>151</v>
      </c>
      <c r="AB40" s="20">
        <v>115</v>
      </c>
      <c r="AC40" s="20">
        <v>101</v>
      </c>
      <c r="AD40" s="20">
        <v>148</v>
      </c>
      <c r="AE40" s="20">
        <v>151</v>
      </c>
    </row>
    <row r="41" spans="1:31">
      <c r="A41" s="20" t="s">
        <v>87</v>
      </c>
      <c r="B41" s="20">
        <v>220029640</v>
      </c>
      <c r="C41" s="20" t="s">
        <v>88</v>
      </c>
      <c r="D41" s="20" t="s">
        <v>89</v>
      </c>
      <c r="E41" s="20">
        <v>400454000062</v>
      </c>
      <c r="F41" s="20" t="s">
        <v>90</v>
      </c>
      <c r="G41" s="20" t="s">
        <v>90</v>
      </c>
      <c r="H41" s="20" t="s">
        <v>91</v>
      </c>
      <c r="I41" s="20" t="s">
        <v>92</v>
      </c>
      <c r="J41" s="20" t="s">
        <v>93</v>
      </c>
      <c r="L41" s="20">
        <v>0</v>
      </c>
      <c r="M41" s="20" t="s">
        <v>94</v>
      </c>
      <c r="N41" s="20" t="s">
        <v>91</v>
      </c>
      <c r="O41" s="20">
        <v>0</v>
      </c>
      <c r="P41" s="20">
        <v>235</v>
      </c>
      <c r="Q41" s="20">
        <v>33.840000000000003</v>
      </c>
      <c r="R41" s="20">
        <v>1270.8689999999999</v>
      </c>
      <c r="S41" s="20">
        <v>0.09</v>
      </c>
      <c r="T41" s="20">
        <v>1.26</v>
      </c>
      <c r="U41" s="20">
        <v>0.17</v>
      </c>
      <c r="V41" s="20">
        <v>0.09</v>
      </c>
      <c r="W41" s="20">
        <v>0.06</v>
      </c>
      <c r="X41" s="20">
        <v>115</v>
      </c>
      <c r="Y41" s="20">
        <v>101</v>
      </c>
      <c r="Z41" s="20">
        <v>148</v>
      </c>
      <c r="AA41" s="20">
        <v>151</v>
      </c>
      <c r="AB41" s="20">
        <v>115</v>
      </c>
      <c r="AC41" s="20">
        <v>101</v>
      </c>
      <c r="AD41" s="20">
        <v>148</v>
      </c>
      <c r="AE41" s="20">
        <v>151</v>
      </c>
    </row>
    <row r="42" spans="1:31">
      <c r="A42" s="20" t="s">
        <v>87</v>
      </c>
      <c r="B42" s="20">
        <v>220029640</v>
      </c>
      <c r="C42" s="20" t="s">
        <v>88</v>
      </c>
      <c r="D42" s="20" t="s">
        <v>89</v>
      </c>
      <c r="E42" s="20">
        <v>400454000062</v>
      </c>
      <c r="F42" s="20" t="s">
        <v>90</v>
      </c>
      <c r="G42" s="20" t="s">
        <v>90</v>
      </c>
      <c r="H42" s="20" t="s">
        <v>91</v>
      </c>
      <c r="I42" s="20" t="s">
        <v>92</v>
      </c>
      <c r="J42" s="20" t="s">
        <v>93</v>
      </c>
      <c r="L42" s="20">
        <v>0</v>
      </c>
      <c r="M42" s="20" t="s">
        <v>94</v>
      </c>
      <c r="N42" s="20" t="s">
        <v>91</v>
      </c>
      <c r="O42" s="20">
        <v>0</v>
      </c>
      <c r="P42" s="20">
        <v>240</v>
      </c>
      <c r="Q42" s="20">
        <v>34.68</v>
      </c>
      <c r="R42" s="20">
        <v>1270.944</v>
      </c>
      <c r="S42" s="20">
        <v>0.09</v>
      </c>
      <c r="T42" s="20">
        <v>1.17</v>
      </c>
      <c r="U42" s="20">
        <v>0.17</v>
      </c>
      <c r="V42" s="20">
        <v>0.09</v>
      </c>
      <c r="W42" s="20">
        <v>0.06</v>
      </c>
      <c r="X42" s="20">
        <v>116</v>
      </c>
      <c r="Y42" s="20">
        <v>102</v>
      </c>
      <c r="Z42" s="20">
        <v>149</v>
      </c>
      <c r="AA42" s="20">
        <v>152</v>
      </c>
      <c r="AB42" s="20">
        <v>116</v>
      </c>
      <c r="AC42" s="20">
        <v>102</v>
      </c>
      <c r="AD42" s="20">
        <v>149</v>
      </c>
      <c r="AE42" s="20">
        <v>152</v>
      </c>
    </row>
    <row r="43" spans="1:31">
      <c r="A43" s="20" t="s">
        <v>87</v>
      </c>
      <c r="B43" s="20">
        <v>220029640</v>
      </c>
      <c r="C43" s="20" t="s">
        <v>88</v>
      </c>
      <c r="D43" s="20" t="s">
        <v>89</v>
      </c>
      <c r="E43" s="20">
        <v>400454000062</v>
      </c>
      <c r="F43" s="20" t="s">
        <v>90</v>
      </c>
      <c r="G43" s="20" t="s">
        <v>90</v>
      </c>
      <c r="H43" s="20" t="s">
        <v>91</v>
      </c>
      <c r="I43" s="20" t="s">
        <v>92</v>
      </c>
      <c r="J43" s="20" t="s">
        <v>93</v>
      </c>
      <c r="L43" s="20">
        <v>0</v>
      </c>
      <c r="M43" s="20" t="s">
        <v>94</v>
      </c>
      <c r="N43" s="20" t="s">
        <v>91</v>
      </c>
      <c r="O43" s="20">
        <v>0</v>
      </c>
      <c r="P43" s="20">
        <v>245</v>
      </c>
      <c r="Q43" s="20">
        <v>35.54</v>
      </c>
      <c r="R43" s="20">
        <v>1271.019</v>
      </c>
      <c r="S43" s="20">
        <v>0.09</v>
      </c>
      <c r="T43" s="20">
        <v>1.18</v>
      </c>
      <c r="U43" s="20">
        <v>0.17</v>
      </c>
      <c r="V43" s="20">
        <v>0.09</v>
      </c>
      <c r="W43" s="20">
        <v>0.06</v>
      </c>
      <c r="X43" s="20">
        <v>116</v>
      </c>
      <c r="Y43" s="20">
        <v>103</v>
      </c>
      <c r="Z43" s="20">
        <v>150</v>
      </c>
      <c r="AA43" s="20">
        <v>153</v>
      </c>
      <c r="AB43" s="20">
        <v>116</v>
      </c>
      <c r="AC43" s="20">
        <v>103</v>
      </c>
      <c r="AD43" s="20">
        <v>150</v>
      </c>
      <c r="AE43" s="20">
        <v>153</v>
      </c>
    </row>
    <row r="44" spans="1:31">
      <c r="A44" s="20" t="s">
        <v>87</v>
      </c>
      <c r="B44" s="20">
        <v>220029640</v>
      </c>
      <c r="C44" s="20" t="s">
        <v>88</v>
      </c>
      <c r="D44" s="20" t="s">
        <v>89</v>
      </c>
      <c r="E44" s="20">
        <v>400454000062</v>
      </c>
      <c r="F44" s="20" t="s">
        <v>90</v>
      </c>
      <c r="G44" s="20" t="s">
        <v>90</v>
      </c>
      <c r="H44" s="20" t="s">
        <v>91</v>
      </c>
      <c r="I44" s="20" t="s">
        <v>92</v>
      </c>
      <c r="J44" s="20" t="s">
        <v>93</v>
      </c>
      <c r="L44" s="20">
        <v>0</v>
      </c>
      <c r="M44" s="20" t="s">
        <v>94</v>
      </c>
      <c r="N44" s="20" t="s">
        <v>91</v>
      </c>
      <c r="O44" s="20">
        <v>0</v>
      </c>
      <c r="P44" s="20">
        <v>250</v>
      </c>
      <c r="Q44" s="20">
        <v>36.369999999999997</v>
      </c>
      <c r="R44" s="20">
        <v>1271.095</v>
      </c>
      <c r="S44" s="20">
        <v>0.09</v>
      </c>
      <c r="T44" s="20">
        <v>1.18</v>
      </c>
      <c r="U44" s="20">
        <v>0.17</v>
      </c>
      <c r="V44" s="20">
        <v>0.09</v>
      </c>
      <c r="W44" s="20">
        <v>0.06</v>
      </c>
      <c r="X44" s="20">
        <v>117</v>
      </c>
      <c r="Y44" s="20">
        <v>104</v>
      </c>
      <c r="Z44" s="20">
        <v>150</v>
      </c>
      <c r="AA44" s="20">
        <v>154</v>
      </c>
      <c r="AB44" s="20">
        <v>117</v>
      </c>
      <c r="AC44" s="20">
        <v>104</v>
      </c>
      <c r="AD44" s="20">
        <v>150</v>
      </c>
      <c r="AE44" s="20">
        <v>154</v>
      </c>
    </row>
    <row r="45" spans="1:31">
      <c r="A45" s="20" t="s">
        <v>87</v>
      </c>
      <c r="B45" s="20">
        <v>220029640</v>
      </c>
      <c r="C45" s="20" t="s">
        <v>88</v>
      </c>
      <c r="D45" s="20" t="s">
        <v>89</v>
      </c>
      <c r="E45" s="20">
        <v>400454000062</v>
      </c>
      <c r="F45" s="20" t="s">
        <v>90</v>
      </c>
      <c r="G45" s="20" t="s">
        <v>90</v>
      </c>
      <c r="H45" s="20" t="s">
        <v>91</v>
      </c>
      <c r="I45" s="20" t="s">
        <v>92</v>
      </c>
      <c r="J45" s="20" t="s">
        <v>93</v>
      </c>
      <c r="L45" s="20">
        <v>0</v>
      </c>
      <c r="M45" s="20" t="s">
        <v>94</v>
      </c>
      <c r="N45" s="20" t="s">
        <v>91</v>
      </c>
      <c r="O45" s="20">
        <v>0</v>
      </c>
      <c r="P45" s="20">
        <v>255</v>
      </c>
      <c r="Q45" s="20">
        <v>37.21</v>
      </c>
      <c r="R45" s="20">
        <v>1271.17</v>
      </c>
      <c r="S45" s="20">
        <v>0.09</v>
      </c>
      <c r="T45" s="20">
        <v>1.24</v>
      </c>
      <c r="U45" s="20">
        <v>0.17</v>
      </c>
      <c r="V45" s="20">
        <v>0.09</v>
      </c>
      <c r="W45" s="20">
        <v>0.06</v>
      </c>
      <c r="X45" s="20">
        <v>118</v>
      </c>
      <c r="Y45" s="20">
        <v>104</v>
      </c>
      <c r="Z45" s="20">
        <v>151</v>
      </c>
      <c r="AA45" s="20">
        <v>154</v>
      </c>
      <c r="AB45" s="20">
        <v>118</v>
      </c>
      <c r="AC45" s="20">
        <v>104</v>
      </c>
      <c r="AD45" s="20">
        <v>151</v>
      </c>
      <c r="AE45" s="20">
        <v>154</v>
      </c>
    </row>
    <row r="46" spans="1:31">
      <c r="A46" s="20" t="s">
        <v>87</v>
      </c>
      <c r="B46" s="20">
        <v>220029640</v>
      </c>
      <c r="C46" s="20" t="s">
        <v>88</v>
      </c>
      <c r="D46" s="20" t="s">
        <v>89</v>
      </c>
      <c r="E46" s="20">
        <v>400454000062</v>
      </c>
      <c r="F46" s="20" t="s">
        <v>90</v>
      </c>
      <c r="G46" s="20" t="s">
        <v>90</v>
      </c>
      <c r="H46" s="20" t="s">
        <v>91</v>
      </c>
      <c r="I46" s="20" t="s">
        <v>92</v>
      </c>
      <c r="J46" s="20" t="s">
        <v>93</v>
      </c>
      <c r="L46" s="20">
        <v>0</v>
      </c>
      <c r="M46" s="20" t="s">
        <v>94</v>
      </c>
      <c r="N46" s="20" t="s">
        <v>91</v>
      </c>
      <c r="O46" s="20">
        <v>0</v>
      </c>
      <c r="P46" s="20">
        <v>260</v>
      </c>
      <c r="Q46" s="20">
        <v>38.04</v>
      </c>
      <c r="R46" s="20">
        <v>1271.2470000000001</v>
      </c>
      <c r="S46" s="20">
        <v>0.09</v>
      </c>
      <c r="T46" s="20">
        <v>1.28</v>
      </c>
      <c r="U46" s="20">
        <v>0.17</v>
      </c>
      <c r="V46" s="20">
        <v>0.09</v>
      </c>
      <c r="W46" s="20">
        <v>0.06</v>
      </c>
      <c r="X46" s="20">
        <v>119</v>
      </c>
      <c r="Y46" s="20">
        <v>105</v>
      </c>
      <c r="Z46" s="20">
        <v>152</v>
      </c>
      <c r="AA46" s="20">
        <v>155</v>
      </c>
      <c r="AB46" s="20">
        <v>119</v>
      </c>
      <c r="AC46" s="20">
        <v>105</v>
      </c>
      <c r="AD46" s="20">
        <v>152</v>
      </c>
      <c r="AE46" s="20">
        <v>155</v>
      </c>
    </row>
    <row r="47" spans="1:31">
      <c r="A47" s="20" t="s">
        <v>87</v>
      </c>
      <c r="B47" s="20">
        <v>220029640</v>
      </c>
      <c r="C47" s="20" t="s">
        <v>88</v>
      </c>
      <c r="D47" s="20" t="s">
        <v>89</v>
      </c>
      <c r="E47" s="20">
        <v>400454000062</v>
      </c>
      <c r="F47" s="20" t="s">
        <v>90</v>
      </c>
      <c r="G47" s="20" t="s">
        <v>90</v>
      </c>
      <c r="H47" s="20" t="s">
        <v>91</v>
      </c>
      <c r="I47" s="20" t="s">
        <v>92</v>
      </c>
      <c r="J47" s="20" t="s">
        <v>93</v>
      </c>
      <c r="L47" s="20">
        <v>0</v>
      </c>
      <c r="M47" s="20" t="s">
        <v>94</v>
      </c>
      <c r="N47" s="20" t="s">
        <v>91</v>
      </c>
      <c r="O47" s="20">
        <v>0</v>
      </c>
      <c r="P47" s="20">
        <v>265</v>
      </c>
      <c r="Q47" s="20">
        <v>38.9</v>
      </c>
      <c r="R47" s="20">
        <v>1271.325</v>
      </c>
      <c r="S47" s="20">
        <v>0.09</v>
      </c>
      <c r="T47" s="20">
        <v>1.29</v>
      </c>
      <c r="U47" s="20">
        <v>0.17</v>
      </c>
      <c r="V47" s="20">
        <v>0.09</v>
      </c>
      <c r="W47" s="20">
        <v>0.06</v>
      </c>
      <c r="X47" s="20">
        <v>119</v>
      </c>
      <c r="Y47" s="20">
        <v>106</v>
      </c>
      <c r="Z47" s="20">
        <v>153</v>
      </c>
      <c r="AA47" s="20">
        <v>156</v>
      </c>
      <c r="AB47" s="20">
        <v>119</v>
      </c>
      <c r="AC47" s="20">
        <v>106</v>
      </c>
      <c r="AD47" s="20">
        <v>153</v>
      </c>
      <c r="AE47" s="20">
        <v>156</v>
      </c>
    </row>
    <row r="48" spans="1:31">
      <c r="A48" s="20" t="s">
        <v>87</v>
      </c>
      <c r="B48" s="20">
        <v>220029640</v>
      </c>
      <c r="C48" s="20" t="s">
        <v>88</v>
      </c>
      <c r="D48" s="20" t="s">
        <v>89</v>
      </c>
      <c r="E48" s="20">
        <v>400454000062</v>
      </c>
      <c r="F48" s="20" t="s">
        <v>90</v>
      </c>
      <c r="G48" s="20" t="s">
        <v>90</v>
      </c>
      <c r="H48" s="20" t="s">
        <v>91</v>
      </c>
      <c r="I48" s="20" t="s">
        <v>92</v>
      </c>
      <c r="J48" s="20" t="s">
        <v>93</v>
      </c>
      <c r="L48" s="20">
        <v>0</v>
      </c>
      <c r="M48" s="20" t="s">
        <v>94</v>
      </c>
      <c r="N48" s="20" t="s">
        <v>91</v>
      </c>
      <c r="O48" s="20">
        <v>0</v>
      </c>
      <c r="P48" s="20">
        <v>270</v>
      </c>
      <c r="Q48" s="20">
        <v>39.75</v>
      </c>
      <c r="R48" s="20">
        <v>1271.4010000000001</v>
      </c>
      <c r="S48" s="20">
        <v>0.09</v>
      </c>
      <c r="T48" s="20">
        <v>1.31</v>
      </c>
      <c r="U48" s="20">
        <v>0.17</v>
      </c>
      <c r="V48" s="20">
        <v>0.09</v>
      </c>
      <c r="W48" s="20">
        <v>0.06</v>
      </c>
      <c r="X48" s="20">
        <v>120</v>
      </c>
      <c r="Y48" s="20">
        <v>107</v>
      </c>
      <c r="Z48" s="20">
        <v>155</v>
      </c>
      <c r="AA48" s="20">
        <v>156</v>
      </c>
      <c r="AB48" s="20">
        <v>120</v>
      </c>
      <c r="AC48" s="20">
        <v>107</v>
      </c>
      <c r="AD48" s="20">
        <v>155</v>
      </c>
      <c r="AE48" s="20">
        <v>156</v>
      </c>
    </row>
    <row r="49" spans="1:31">
      <c r="A49" s="20" t="s">
        <v>87</v>
      </c>
      <c r="B49" s="20">
        <v>220029640</v>
      </c>
      <c r="C49" s="20" t="s">
        <v>88</v>
      </c>
      <c r="D49" s="20" t="s">
        <v>89</v>
      </c>
      <c r="E49" s="20">
        <v>400454000062</v>
      </c>
      <c r="F49" s="20" t="s">
        <v>90</v>
      </c>
      <c r="G49" s="20" t="s">
        <v>90</v>
      </c>
      <c r="H49" s="20" t="s">
        <v>91</v>
      </c>
      <c r="I49" s="20" t="s">
        <v>92</v>
      </c>
      <c r="J49" s="20" t="s">
        <v>93</v>
      </c>
      <c r="L49" s="20">
        <v>0</v>
      </c>
      <c r="M49" s="20" t="s">
        <v>94</v>
      </c>
      <c r="N49" s="20" t="s">
        <v>91</v>
      </c>
      <c r="O49" s="20">
        <v>0</v>
      </c>
      <c r="P49" s="20">
        <v>275</v>
      </c>
      <c r="Q49" s="20">
        <v>40.58</v>
      </c>
      <c r="R49" s="20">
        <v>1271.479</v>
      </c>
      <c r="S49" s="20">
        <v>0.09</v>
      </c>
      <c r="T49" s="20">
        <v>1.29</v>
      </c>
      <c r="U49" s="20">
        <v>0.17</v>
      </c>
      <c r="V49" s="20">
        <v>0.09</v>
      </c>
      <c r="W49" s="20">
        <v>0.06</v>
      </c>
      <c r="X49" s="20">
        <v>121</v>
      </c>
      <c r="Y49" s="20">
        <v>108</v>
      </c>
      <c r="Z49" s="20">
        <v>156</v>
      </c>
      <c r="AA49" s="20">
        <v>157</v>
      </c>
      <c r="AB49" s="20">
        <v>121</v>
      </c>
      <c r="AC49" s="20">
        <v>108</v>
      </c>
      <c r="AD49" s="20">
        <v>156</v>
      </c>
      <c r="AE49" s="20">
        <v>157</v>
      </c>
    </row>
    <row r="50" spans="1:31">
      <c r="A50" s="20" t="s">
        <v>87</v>
      </c>
      <c r="B50" s="20">
        <v>220029640</v>
      </c>
      <c r="C50" s="20" t="s">
        <v>88</v>
      </c>
      <c r="D50" s="20" t="s">
        <v>89</v>
      </c>
      <c r="E50" s="20">
        <v>400454000062</v>
      </c>
      <c r="F50" s="20" t="s">
        <v>90</v>
      </c>
      <c r="G50" s="20" t="s">
        <v>90</v>
      </c>
      <c r="H50" s="20" t="s">
        <v>91</v>
      </c>
      <c r="I50" s="20" t="s">
        <v>92</v>
      </c>
      <c r="J50" s="20" t="s">
        <v>93</v>
      </c>
      <c r="L50" s="20">
        <v>0</v>
      </c>
      <c r="M50" s="20" t="s">
        <v>94</v>
      </c>
      <c r="N50" s="20" t="s">
        <v>91</v>
      </c>
      <c r="O50" s="20">
        <v>0</v>
      </c>
      <c r="P50" s="20">
        <v>280</v>
      </c>
      <c r="Q50" s="20">
        <v>41.42</v>
      </c>
      <c r="R50" s="20">
        <v>1271.556</v>
      </c>
      <c r="S50" s="20">
        <v>0.09</v>
      </c>
      <c r="T50" s="20">
        <v>1.19</v>
      </c>
      <c r="U50" s="20">
        <v>0.17</v>
      </c>
      <c r="V50" s="20">
        <v>0.09</v>
      </c>
      <c r="W50" s="20">
        <v>0.06</v>
      </c>
      <c r="X50" s="20">
        <v>122</v>
      </c>
      <c r="Y50" s="20">
        <v>108</v>
      </c>
      <c r="Z50" s="20">
        <v>157</v>
      </c>
      <c r="AA50" s="20">
        <v>158</v>
      </c>
      <c r="AB50" s="20">
        <v>122</v>
      </c>
      <c r="AC50" s="20">
        <v>108</v>
      </c>
      <c r="AD50" s="20">
        <v>157</v>
      </c>
      <c r="AE50" s="20">
        <v>158</v>
      </c>
    </row>
    <row r="51" spans="1:31">
      <c r="A51" s="20" t="s">
        <v>87</v>
      </c>
      <c r="B51" s="20">
        <v>220029640</v>
      </c>
      <c r="C51" s="20" t="s">
        <v>88</v>
      </c>
      <c r="D51" s="20" t="s">
        <v>89</v>
      </c>
      <c r="E51" s="20">
        <v>400454000062</v>
      </c>
      <c r="F51" s="20" t="s">
        <v>90</v>
      </c>
      <c r="G51" s="20" t="s">
        <v>90</v>
      </c>
      <c r="H51" s="20" t="s">
        <v>91</v>
      </c>
      <c r="I51" s="20" t="s">
        <v>92</v>
      </c>
      <c r="J51" s="20" t="s">
        <v>93</v>
      </c>
      <c r="L51" s="20">
        <v>0</v>
      </c>
      <c r="M51" s="20" t="s">
        <v>94</v>
      </c>
      <c r="N51" s="20" t="s">
        <v>91</v>
      </c>
      <c r="O51" s="20">
        <v>0</v>
      </c>
      <c r="P51" s="20">
        <v>285</v>
      </c>
      <c r="Q51" s="20">
        <v>42.24</v>
      </c>
      <c r="R51" s="20">
        <v>1271.634</v>
      </c>
      <c r="S51" s="20">
        <v>0.1</v>
      </c>
      <c r="T51" s="20">
        <v>1.2</v>
      </c>
      <c r="U51" s="20">
        <v>0.17</v>
      </c>
      <c r="V51" s="20">
        <v>0.09</v>
      </c>
      <c r="W51" s="20">
        <v>0.06</v>
      </c>
      <c r="X51" s="20">
        <v>123</v>
      </c>
      <c r="Y51" s="20">
        <v>109</v>
      </c>
      <c r="Z51" s="20">
        <v>158</v>
      </c>
      <c r="AA51" s="20">
        <v>159</v>
      </c>
      <c r="AB51" s="20">
        <v>123</v>
      </c>
      <c r="AC51" s="20">
        <v>109</v>
      </c>
      <c r="AD51" s="20">
        <v>158</v>
      </c>
      <c r="AE51" s="20">
        <v>159</v>
      </c>
    </row>
    <row r="52" spans="1:31">
      <c r="A52" s="20" t="s">
        <v>87</v>
      </c>
      <c r="B52" s="20">
        <v>220029640</v>
      </c>
      <c r="C52" s="20" t="s">
        <v>88</v>
      </c>
      <c r="D52" s="20" t="s">
        <v>89</v>
      </c>
      <c r="E52" s="20">
        <v>400454000062</v>
      </c>
      <c r="F52" s="20" t="s">
        <v>90</v>
      </c>
      <c r="G52" s="20" t="s">
        <v>90</v>
      </c>
      <c r="H52" s="20" t="s">
        <v>91</v>
      </c>
      <c r="I52" s="20" t="s">
        <v>92</v>
      </c>
      <c r="J52" s="20" t="s">
        <v>93</v>
      </c>
      <c r="L52" s="20">
        <v>0</v>
      </c>
      <c r="M52" s="20" t="s">
        <v>94</v>
      </c>
      <c r="N52" s="20" t="s">
        <v>91</v>
      </c>
      <c r="O52" s="20">
        <v>0</v>
      </c>
      <c r="P52" s="20">
        <v>290</v>
      </c>
      <c r="Q52" s="20">
        <v>43.48</v>
      </c>
      <c r="R52" s="20">
        <v>1271.712</v>
      </c>
      <c r="S52" s="20">
        <v>0.06</v>
      </c>
      <c r="T52" s="20">
        <v>1.21</v>
      </c>
      <c r="U52" s="20">
        <v>0.17</v>
      </c>
      <c r="V52" s="20">
        <v>0.09</v>
      </c>
      <c r="W52" s="20">
        <v>0.06</v>
      </c>
      <c r="X52" s="20">
        <v>124</v>
      </c>
      <c r="Y52" s="20">
        <v>111</v>
      </c>
      <c r="Z52" s="20">
        <v>159</v>
      </c>
      <c r="AA52" s="20">
        <v>160</v>
      </c>
      <c r="AB52" s="20">
        <v>124</v>
      </c>
      <c r="AC52" s="20">
        <v>111</v>
      </c>
      <c r="AD52" s="20">
        <v>159</v>
      </c>
      <c r="AE52" s="20">
        <v>160</v>
      </c>
    </row>
    <row r="53" spans="1:31">
      <c r="A53" s="20" t="s">
        <v>87</v>
      </c>
      <c r="B53" s="20">
        <v>220029640</v>
      </c>
      <c r="C53" s="20" t="s">
        <v>88</v>
      </c>
      <c r="D53" s="20" t="s">
        <v>89</v>
      </c>
      <c r="E53" s="20">
        <v>400454000062</v>
      </c>
      <c r="F53" s="20" t="s">
        <v>90</v>
      </c>
      <c r="G53" s="20" t="s">
        <v>90</v>
      </c>
      <c r="H53" s="20" t="s">
        <v>91</v>
      </c>
      <c r="I53" s="20" t="s">
        <v>92</v>
      </c>
      <c r="J53" s="20" t="s">
        <v>93</v>
      </c>
      <c r="L53" s="20">
        <v>0</v>
      </c>
      <c r="M53" s="20" t="s">
        <v>94</v>
      </c>
      <c r="N53" s="20" t="s">
        <v>91</v>
      </c>
      <c r="O53" s="20">
        <v>0</v>
      </c>
      <c r="P53" s="20">
        <v>295</v>
      </c>
      <c r="Q53" s="20">
        <v>44.27</v>
      </c>
      <c r="R53" s="20">
        <v>1271.8499999999999</v>
      </c>
      <c r="S53" s="20">
        <v>0.17</v>
      </c>
      <c r="T53" s="20">
        <v>1.27</v>
      </c>
      <c r="U53" s="20">
        <v>0.17</v>
      </c>
      <c r="V53" s="20">
        <v>0.09</v>
      </c>
      <c r="W53" s="20">
        <v>0.06</v>
      </c>
      <c r="X53" s="20">
        <v>125</v>
      </c>
      <c r="Y53" s="20">
        <v>112</v>
      </c>
      <c r="Z53" s="20">
        <v>160</v>
      </c>
      <c r="AA53" s="20">
        <v>161</v>
      </c>
      <c r="AB53" s="20">
        <v>125</v>
      </c>
      <c r="AC53" s="20">
        <v>112</v>
      </c>
      <c r="AD53" s="20">
        <v>160</v>
      </c>
      <c r="AE53" s="20">
        <v>161</v>
      </c>
    </row>
    <row r="54" spans="1:31">
      <c r="A54" s="20" t="s">
        <v>87</v>
      </c>
      <c r="B54" s="20">
        <v>220029640</v>
      </c>
      <c r="C54" s="20" t="s">
        <v>88</v>
      </c>
      <c r="D54" s="20" t="s">
        <v>89</v>
      </c>
      <c r="E54" s="20">
        <v>400454000062</v>
      </c>
      <c r="F54" s="20" t="s">
        <v>90</v>
      </c>
      <c r="G54" s="20" t="s">
        <v>90</v>
      </c>
      <c r="H54" s="20" t="s">
        <v>91</v>
      </c>
      <c r="I54" s="20" t="s">
        <v>92</v>
      </c>
      <c r="J54" s="20" t="s">
        <v>93</v>
      </c>
      <c r="L54" s="20">
        <v>0</v>
      </c>
      <c r="M54" s="20" t="s">
        <v>94</v>
      </c>
      <c r="N54" s="20" t="s">
        <v>91</v>
      </c>
      <c r="O54" s="20">
        <v>0</v>
      </c>
      <c r="P54" s="20">
        <v>300</v>
      </c>
      <c r="Q54" s="20">
        <v>45.09</v>
      </c>
      <c r="R54" s="20">
        <v>1271.9059999999999</v>
      </c>
      <c r="S54" s="20">
        <v>7.0000000000000007E-2</v>
      </c>
      <c r="T54" s="20">
        <v>1.27</v>
      </c>
      <c r="U54" s="20">
        <v>0.17</v>
      </c>
      <c r="V54" s="20">
        <v>0.09</v>
      </c>
      <c r="W54" s="20">
        <v>0.06</v>
      </c>
      <c r="X54" s="20">
        <v>126</v>
      </c>
      <c r="Y54" s="20">
        <v>113</v>
      </c>
      <c r="Z54" s="20">
        <v>161</v>
      </c>
      <c r="AA54" s="20">
        <v>162</v>
      </c>
      <c r="AB54" s="20">
        <v>126</v>
      </c>
      <c r="AC54" s="20">
        <v>113</v>
      </c>
      <c r="AD54" s="20">
        <v>161</v>
      </c>
      <c r="AE54" s="20">
        <v>162</v>
      </c>
    </row>
    <row r="55" spans="1:31">
      <c r="A55" s="20" t="s">
        <v>87</v>
      </c>
      <c r="B55" s="20">
        <v>220029640</v>
      </c>
      <c r="C55" s="20" t="s">
        <v>88</v>
      </c>
      <c r="D55" s="20" t="s">
        <v>89</v>
      </c>
      <c r="E55" s="20">
        <v>400454000062</v>
      </c>
      <c r="F55" s="20" t="s">
        <v>90</v>
      </c>
      <c r="G55" s="20" t="s">
        <v>90</v>
      </c>
      <c r="H55" s="20" t="s">
        <v>91</v>
      </c>
      <c r="I55" s="20" t="s">
        <v>92</v>
      </c>
      <c r="J55" s="20" t="s">
        <v>93</v>
      </c>
      <c r="L55" s="20">
        <v>0</v>
      </c>
      <c r="M55" s="20" t="s">
        <v>94</v>
      </c>
      <c r="N55" s="20" t="s">
        <v>91</v>
      </c>
      <c r="O55" s="20">
        <v>0</v>
      </c>
      <c r="P55" s="20">
        <v>305</v>
      </c>
      <c r="Q55" s="20">
        <v>45.94</v>
      </c>
      <c r="R55" s="20">
        <v>1271.9860000000001</v>
      </c>
      <c r="S55" s="20">
        <v>0.09</v>
      </c>
      <c r="T55" s="20">
        <v>1.27</v>
      </c>
      <c r="U55" s="20">
        <v>0.17</v>
      </c>
      <c r="V55" s="20">
        <v>0.09</v>
      </c>
      <c r="W55" s="20">
        <v>0.06</v>
      </c>
      <c r="X55" s="20">
        <v>127</v>
      </c>
      <c r="Y55" s="20">
        <v>114</v>
      </c>
      <c r="Z55" s="20">
        <v>162</v>
      </c>
      <c r="AA55" s="20">
        <v>163</v>
      </c>
      <c r="AB55" s="20">
        <v>127</v>
      </c>
      <c r="AC55" s="20">
        <v>114</v>
      </c>
      <c r="AD55" s="20">
        <v>162</v>
      </c>
      <c r="AE55" s="20">
        <v>163</v>
      </c>
    </row>
    <row r="56" spans="1:31">
      <c r="A56" s="20" t="s">
        <v>87</v>
      </c>
      <c r="B56" s="20">
        <v>220029640</v>
      </c>
      <c r="C56" s="20" t="s">
        <v>88</v>
      </c>
      <c r="D56" s="20" t="s">
        <v>89</v>
      </c>
      <c r="E56" s="20">
        <v>400454000062</v>
      </c>
      <c r="F56" s="20" t="s">
        <v>90</v>
      </c>
      <c r="G56" s="20" t="s">
        <v>90</v>
      </c>
      <c r="H56" s="20" t="s">
        <v>91</v>
      </c>
      <c r="I56" s="20" t="s">
        <v>92</v>
      </c>
      <c r="J56" s="20" t="s">
        <v>93</v>
      </c>
      <c r="L56" s="20">
        <v>0</v>
      </c>
      <c r="M56" s="20" t="s">
        <v>94</v>
      </c>
      <c r="N56" s="20" t="s">
        <v>91</v>
      </c>
      <c r="O56" s="20">
        <v>0</v>
      </c>
      <c r="P56" s="20">
        <v>310</v>
      </c>
      <c r="Q56" s="20">
        <v>46.76</v>
      </c>
      <c r="R56" s="20">
        <v>1272.066</v>
      </c>
      <c r="S56" s="20">
        <v>0.1</v>
      </c>
      <c r="T56" s="20">
        <v>1.29</v>
      </c>
      <c r="U56" s="20">
        <v>0.17</v>
      </c>
      <c r="V56" s="20">
        <v>0.09</v>
      </c>
      <c r="W56" s="20">
        <v>0.06</v>
      </c>
      <c r="X56" s="20">
        <v>129</v>
      </c>
      <c r="Y56" s="20">
        <v>115</v>
      </c>
      <c r="Z56" s="20">
        <v>163</v>
      </c>
      <c r="AA56" s="20">
        <v>165</v>
      </c>
      <c r="AB56" s="20">
        <v>129</v>
      </c>
      <c r="AC56" s="20">
        <v>115</v>
      </c>
      <c r="AD56" s="20">
        <v>163</v>
      </c>
      <c r="AE56" s="20">
        <v>165</v>
      </c>
    </row>
    <row r="57" spans="1:31">
      <c r="A57" s="20" t="s">
        <v>87</v>
      </c>
      <c r="B57" s="20">
        <v>220029640</v>
      </c>
      <c r="C57" s="20" t="s">
        <v>88</v>
      </c>
      <c r="D57" s="20" t="s">
        <v>89</v>
      </c>
      <c r="E57" s="20">
        <v>400454000062</v>
      </c>
      <c r="F57" s="20" t="s">
        <v>90</v>
      </c>
      <c r="G57" s="20" t="s">
        <v>90</v>
      </c>
      <c r="H57" s="20" t="s">
        <v>91</v>
      </c>
      <c r="I57" s="20" t="s">
        <v>92</v>
      </c>
      <c r="J57" s="20" t="s">
        <v>93</v>
      </c>
      <c r="L57" s="20">
        <v>0</v>
      </c>
      <c r="M57" s="20" t="s">
        <v>94</v>
      </c>
      <c r="N57" s="20" t="s">
        <v>91</v>
      </c>
      <c r="O57" s="20">
        <v>0</v>
      </c>
      <c r="P57" s="20">
        <v>315</v>
      </c>
      <c r="Q57" s="20">
        <v>47.6</v>
      </c>
      <c r="R57" s="20">
        <v>1272.144</v>
      </c>
      <c r="S57" s="20">
        <v>0.09</v>
      </c>
      <c r="T57" s="20">
        <v>1.23</v>
      </c>
      <c r="U57" s="20">
        <v>0.17</v>
      </c>
      <c r="V57" s="20">
        <v>0.09</v>
      </c>
      <c r="W57" s="20">
        <v>0.06</v>
      </c>
      <c r="X57" s="20">
        <v>130</v>
      </c>
      <c r="Y57" s="20">
        <v>116</v>
      </c>
      <c r="Z57" s="20">
        <v>164</v>
      </c>
      <c r="AA57" s="20">
        <v>166</v>
      </c>
      <c r="AB57" s="20">
        <v>130</v>
      </c>
      <c r="AC57" s="20">
        <v>116</v>
      </c>
      <c r="AD57" s="20">
        <v>164</v>
      </c>
      <c r="AE57" s="20">
        <v>166</v>
      </c>
    </row>
    <row r="58" spans="1:31">
      <c r="A58" s="20" t="s">
        <v>87</v>
      </c>
      <c r="B58" s="20">
        <v>220029640</v>
      </c>
      <c r="C58" s="20" t="s">
        <v>88</v>
      </c>
      <c r="D58" s="20" t="s">
        <v>89</v>
      </c>
      <c r="E58" s="20">
        <v>400454000062</v>
      </c>
      <c r="F58" s="20" t="s">
        <v>90</v>
      </c>
      <c r="G58" s="20" t="s">
        <v>90</v>
      </c>
      <c r="H58" s="20" t="s">
        <v>91</v>
      </c>
      <c r="I58" s="20" t="s">
        <v>92</v>
      </c>
      <c r="J58" s="20" t="s">
        <v>93</v>
      </c>
      <c r="L58" s="20">
        <v>0</v>
      </c>
      <c r="M58" s="20" t="s">
        <v>94</v>
      </c>
      <c r="N58" s="20" t="s">
        <v>91</v>
      </c>
      <c r="O58" s="20">
        <v>0</v>
      </c>
      <c r="P58" s="20">
        <v>320</v>
      </c>
      <c r="Q58" s="20">
        <v>48.45</v>
      </c>
      <c r="R58" s="20">
        <v>1272.222</v>
      </c>
      <c r="S58" s="20">
        <v>0.09</v>
      </c>
      <c r="T58" s="20">
        <v>1.17</v>
      </c>
      <c r="U58" s="20">
        <v>0.17</v>
      </c>
      <c r="V58" s="20">
        <v>0.09</v>
      </c>
      <c r="W58" s="20">
        <v>0.06</v>
      </c>
      <c r="X58" s="20">
        <v>131</v>
      </c>
      <c r="Y58" s="20">
        <v>117</v>
      </c>
      <c r="Z58" s="20">
        <v>165</v>
      </c>
      <c r="AA58" s="20">
        <v>167</v>
      </c>
      <c r="AB58" s="20">
        <v>131</v>
      </c>
      <c r="AC58" s="20">
        <v>117</v>
      </c>
      <c r="AD58" s="20">
        <v>165</v>
      </c>
      <c r="AE58" s="20">
        <v>167</v>
      </c>
    </row>
    <row r="59" spans="1:31">
      <c r="A59" s="20" t="s">
        <v>87</v>
      </c>
      <c r="B59" s="20">
        <v>220029640</v>
      </c>
      <c r="C59" s="20" t="s">
        <v>88</v>
      </c>
      <c r="D59" s="20" t="s">
        <v>89</v>
      </c>
      <c r="E59" s="20">
        <v>400454000062</v>
      </c>
      <c r="F59" s="20" t="s">
        <v>90</v>
      </c>
      <c r="G59" s="20" t="s">
        <v>90</v>
      </c>
      <c r="H59" s="20" t="s">
        <v>91</v>
      </c>
      <c r="I59" s="20" t="s">
        <v>92</v>
      </c>
      <c r="J59" s="20" t="s">
        <v>93</v>
      </c>
      <c r="L59" s="20">
        <v>0</v>
      </c>
      <c r="M59" s="20" t="s">
        <v>94</v>
      </c>
      <c r="N59" s="20" t="s">
        <v>91</v>
      </c>
      <c r="O59" s="20">
        <v>0</v>
      </c>
      <c r="P59" s="20">
        <v>325</v>
      </c>
      <c r="Q59" s="20">
        <v>49.28</v>
      </c>
      <c r="R59" s="20">
        <v>1272.3</v>
      </c>
      <c r="S59" s="20">
        <v>0.09</v>
      </c>
      <c r="T59" s="20">
        <v>1.1299999999999999</v>
      </c>
      <c r="U59" s="20">
        <v>0.17</v>
      </c>
      <c r="V59" s="20">
        <v>0.09</v>
      </c>
      <c r="W59" s="20">
        <v>0.06</v>
      </c>
      <c r="X59" s="20">
        <v>132</v>
      </c>
      <c r="Y59" s="20">
        <v>118</v>
      </c>
      <c r="Z59" s="20">
        <v>166</v>
      </c>
      <c r="AA59" s="20">
        <v>168</v>
      </c>
      <c r="AB59" s="20">
        <v>132</v>
      </c>
      <c r="AC59" s="20">
        <v>118</v>
      </c>
      <c r="AD59" s="20">
        <v>166</v>
      </c>
      <c r="AE59" s="20">
        <v>168</v>
      </c>
    </row>
    <row r="60" spans="1:31">
      <c r="A60" s="20" t="s">
        <v>87</v>
      </c>
      <c r="B60" s="20">
        <v>220029640</v>
      </c>
      <c r="C60" s="20" t="s">
        <v>88</v>
      </c>
      <c r="D60" s="20" t="s">
        <v>89</v>
      </c>
      <c r="E60" s="20">
        <v>400454000062</v>
      </c>
      <c r="F60" s="20" t="s">
        <v>90</v>
      </c>
      <c r="G60" s="20" t="s">
        <v>90</v>
      </c>
      <c r="H60" s="20" t="s">
        <v>91</v>
      </c>
      <c r="I60" s="20" t="s">
        <v>92</v>
      </c>
      <c r="J60" s="20" t="s">
        <v>93</v>
      </c>
      <c r="L60" s="20">
        <v>0</v>
      </c>
      <c r="M60" s="20" t="s">
        <v>94</v>
      </c>
      <c r="N60" s="20" t="s">
        <v>91</v>
      </c>
      <c r="O60" s="20">
        <v>0</v>
      </c>
      <c r="P60" s="20">
        <v>330</v>
      </c>
      <c r="Q60" s="20">
        <v>50.12</v>
      </c>
      <c r="R60" s="20">
        <v>1272.3789999999999</v>
      </c>
      <c r="S60" s="20">
        <v>0.09</v>
      </c>
      <c r="T60" s="20">
        <v>1.1499999999999999</v>
      </c>
      <c r="U60" s="20">
        <v>0.17</v>
      </c>
      <c r="V60" s="20">
        <v>0.09</v>
      </c>
      <c r="W60" s="20">
        <v>0.06</v>
      </c>
      <c r="X60" s="20">
        <v>134</v>
      </c>
      <c r="Y60" s="20">
        <v>120</v>
      </c>
      <c r="Z60" s="20">
        <v>167</v>
      </c>
      <c r="AA60" s="20">
        <v>169</v>
      </c>
      <c r="AB60" s="20">
        <v>134</v>
      </c>
      <c r="AC60" s="20">
        <v>120</v>
      </c>
      <c r="AD60" s="20">
        <v>167</v>
      </c>
      <c r="AE60" s="20">
        <v>169</v>
      </c>
    </row>
    <row r="61" spans="1:31">
      <c r="A61" s="20" t="s">
        <v>87</v>
      </c>
      <c r="B61" s="20">
        <v>220029640</v>
      </c>
      <c r="C61" s="20" t="s">
        <v>88</v>
      </c>
      <c r="D61" s="20" t="s">
        <v>89</v>
      </c>
      <c r="E61" s="20">
        <v>400454000062</v>
      </c>
      <c r="F61" s="20" t="s">
        <v>90</v>
      </c>
      <c r="G61" s="20" t="s">
        <v>90</v>
      </c>
      <c r="H61" s="20" t="s">
        <v>91</v>
      </c>
      <c r="I61" s="20" t="s">
        <v>92</v>
      </c>
      <c r="J61" s="20" t="s">
        <v>93</v>
      </c>
      <c r="L61" s="20">
        <v>0</v>
      </c>
      <c r="M61" s="20" t="s">
        <v>94</v>
      </c>
      <c r="N61" s="20" t="s">
        <v>91</v>
      </c>
      <c r="O61" s="20">
        <v>0</v>
      </c>
      <c r="P61" s="20">
        <v>335</v>
      </c>
      <c r="Q61" s="20">
        <v>50.94</v>
      </c>
      <c r="R61" s="20">
        <v>1272.4570000000001</v>
      </c>
      <c r="S61" s="20">
        <v>0.1</v>
      </c>
      <c r="T61" s="20">
        <v>1.1200000000000001</v>
      </c>
      <c r="U61" s="20">
        <v>0.17</v>
      </c>
      <c r="V61" s="20">
        <v>0.09</v>
      </c>
      <c r="W61" s="20">
        <v>0.06</v>
      </c>
      <c r="X61" s="20">
        <v>135</v>
      </c>
      <c r="Y61" s="20">
        <v>121</v>
      </c>
      <c r="Z61" s="20">
        <v>169</v>
      </c>
      <c r="AA61" s="20">
        <v>170</v>
      </c>
      <c r="AB61" s="20">
        <v>135</v>
      </c>
      <c r="AC61" s="20">
        <v>121</v>
      </c>
      <c r="AD61" s="20">
        <v>169</v>
      </c>
      <c r="AE61" s="20">
        <v>170</v>
      </c>
    </row>
    <row r="62" spans="1:31">
      <c r="A62" s="20" t="s">
        <v>87</v>
      </c>
      <c r="B62" s="20">
        <v>220029640</v>
      </c>
      <c r="C62" s="20" t="s">
        <v>88</v>
      </c>
      <c r="D62" s="20" t="s">
        <v>89</v>
      </c>
      <c r="E62" s="20">
        <v>400454000062</v>
      </c>
      <c r="F62" s="20" t="s">
        <v>90</v>
      </c>
      <c r="G62" s="20" t="s">
        <v>90</v>
      </c>
      <c r="H62" s="20" t="s">
        <v>91</v>
      </c>
      <c r="I62" s="20" t="s">
        <v>92</v>
      </c>
      <c r="J62" s="20" t="s">
        <v>93</v>
      </c>
      <c r="L62" s="20">
        <v>0</v>
      </c>
      <c r="M62" s="20" t="s">
        <v>94</v>
      </c>
      <c r="N62" s="20" t="s">
        <v>91</v>
      </c>
      <c r="O62" s="20">
        <v>0</v>
      </c>
      <c r="P62" s="20">
        <v>340</v>
      </c>
      <c r="Q62" s="20">
        <v>51.77</v>
      </c>
      <c r="R62" s="20">
        <v>1272.5350000000001</v>
      </c>
      <c r="S62" s="20">
        <v>0.09</v>
      </c>
      <c r="T62" s="20">
        <v>1.1100000000000001</v>
      </c>
      <c r="U62" s="20">
        <v>0.17</v>
      </c>
      <c r="V62" s="20">
        <v>0.09</v>
      </c>
      <c r="W62" s="20">
        <v>0.06</v>
      </c>
      <c r="X62" s="20">
        <v>137</v>
      </c>
      <c r="Y62" s="20">
        <v>122</v>
      </c>
      <c r="Z62" s="20">
        <v>170</v>
      </c>
      <c r="AA62" s="20">
        <v>171</v>
      </c>
      <c r="AB62" s="20">
        <v>137</v>
      </c>
      <c r="AC62" s="20">
        <v>122</v>
      </c>
      <c r="AD62" s="20">
        <v>170</v>
      </c>
      <c r="AE62" s="20">
        <v>171</v>
      </c>
    </row>
    <row r="63" spans="1:31">
      <c r="A63" s="20" t="s">
        <v>87</v>
      </c>
      <c r="B63" s="20">
        <v>220029640</v>
      </c>
      <c r="C63" s="20" t="s">
        <v>88</v>
      </c>
      <c r="D63" s="20" t="s">
        <v>89</v>
      </c>
      <c r="E63" s="20">
        <v>400454000062</v>
      </c>
      <c r="F63" s="20" t="s">
        <v>90</v>
      </c>
      <c r="G63" s="20" t="s">
        <v>90</v>
      </c>
      <c r="H63" s="20" t="s">
        <v>91</v>
      </c>
      <c r="I63" s="20" t="s">
        <v>92</v>
      </c>
      <c r="J63" s="20" t="s">
        <v>93</v>
      </c>
      <c r="L63" s="20">
        <v>0</v>
      </c>
      <c r="M63" s="20" t="s">
        <v>94</v>
      </c>
      <c r="N63" s="20" t="s">
        <v>91</v>
      </c>
      <c r="O63" s="20">
        <v>0</v>
      </c>
      <c r="P63" s="20">
        <v>345</v>
      </c>
      <c r="Q63" s="20">
        <v>52.62</v>
      </c>
      <c r="R63" s="20">
        <v>1272.614</v>
      </c>
      <c r="S63" s="20">
        <v>0.09</v>
      </c>
      <c r="T63" s="20">
        <v>1.1100000000000001</v>
      </c>
      <c r="U63" s="20">
        <v>0.17</v>
      </c>
      <c r="V63" s="20">
        <v>0.09</v>
      </c>
      <c r="W63" s="20">
        <v>0.06</v>
      </c>
      <c r="X63" s="20">
        <v>138</v>
      </c>
      <c r="Y63" s="20">
        <v>124</v>
      </c>
      <c r="Z63" s="20">
        <v>171</v>
      </c>
      <c r="AA63" s="20">
        <v>173</v>
      </c>
      <c r="AB63" s="20">
        <v>138</v>
      </c>
      <c r="AC63" s="20">
        <v>124</v>
      </c>
      <c r="AD63" s="20">
        <v>171</v>
      </c>
      <c r="AE63" s="20">
        <v>173</v>
      </c>
    </row>
    <row r="64" spans="1:31">
      <c r="A64" s="20" t="s">
        <v>87</v>
      </c>
      <c r="B64" s="20">
        <v>220029640</v>
      </c>
      <c r="C64" s="20" t="s">
        <v>88</v>
      </c>
      <c r="D64" s="20" t="s">
        <v>89</v>
      </c>
      <c r="E64" s="20">
        <v>400454000062</v>
      </c>
      <c r="F64" s="20" t="s">
        <v>90</v>
      </c>
      <c r="G64" s="20" t="s">
        <v>90</v>
      </c>
      <c r="H64" s="20" t="s">
        <v>91</v>
      </c>
      <c r="I64" s="20" t="s">
        <v>92</v>
      </c>
      <c r="J64" s="20" t="s">
        <v>93</v>
      </c>
      <c r="L64" s="20">
        <v>0</v>
      </c>
      <c r="M64" s="20" t="s">
        <v>94</v>
      </c>
      <c r="N64" s="20" t="s">
        <v>91</v>
      </c>
      <c r="O64" s="20">
        <v>0</v>
      </c>
      <c r="P64" s="20">
        <v>350</v>
      </c>
      <c r="Q64" s="20">
        <v>53.45</v>
      </c>
      <c r="R64" s="20">
        <v>1272.6949999999999</v>
      </c>
      <c r="S64" s="20">
        <v>0.1</v>
      </c>
      <c r="T64" s="20">
        <v>1.1399999999999999</v>
      </c>
      <c r="U64" s="20">
        <v>0.17</v>
      </c>
      <c r="V64" s="20">
        <v>0.09</v>
      </c>
      <c r="W64" s="20">
        <v>0.06</v>
      </c>
      <c r="X64" s="20">
        <v>140</v>
      </c>
      <c r="Y64" s="20">
        <v>125</v>
      </c>
      <c r="Z64" s="20">
        <v>172</v>
      </c>
      <c r="AA64" s="20">
        <v>174</v>
      </c>
      <c r="AB64" s="20">
        <v>140</v>
      </c>
      <c r="AC64" s="20">
        <v>125</v>
      </c>
      <c r="AD64" s="20">
        <v>172</v>
      </c>
      <c r="AE64" s="20">
        <v>174</v>
      </c>
    </row>
    <row r="65" spans="1:31">
      <c r="A65" s="20" t="s">
        <v>87</v>
      </c>
      <c r="B65" s="20">
        <v>220029640</v>
      </c>
      <c r="C65" s="20" t="s">
        <v>88</v>
      </c>
      <c r="D65" s="20" t="s">
        <v>89</v>
      </c>
      <c r="E65" s="20">
        <v>400454000062</v>
      </c>
      <c r="F65" s="20" t="s">
        <v>90</v>
      </c>
      <c r="G65" s="20" t="s">
        <v>90</v>
      </c>
      <c r="H65" s="20" t="s">
        <v>91</v>
      </c>
      <c r="I65" s="20" t="s">
        <v>92</v>
      </c>
      <c r="J65" s="20" t="s">
        <v>93</v>
      </c>
      <c r="L65" s="20">
        <v>0</v>
      </c>
      <c r="M65" s="20" t="s">
        <v>94</v>
      </c>
      <c r="N65" s="20" t="s">
        <v>91</v>
      </c>
      <c r="O65" s="20">
        <v>0</v>
      </c>
      <c r="P65" s="20">
        <v>355</v>
      </c>
      <c r="Q65" s="20">
        <v>54.29</v>
      </c>
      <c r="R65" s="20">
        <v>1272.7760000000001</v>
      </c>
      <c r="S65" s="20">
        <v>0.1</v>
      </c>
      <c r="T65" s="20">
        <v>1.1299999999999999</v>
      </c>
      <c r="U65" s="20">
        <v>0.17</v>
      </c>
      <c r="V65" s="20">
        <v>0.09</v>
      </c>
      <c r="W65" s="20">
        <v>0.06</v>
      </c>
      <c r="X65" s="20">
        <v>142</v>
      </c>
      <c r="Y65" s="20">
        <v>127</v>
      </c>
      <c r="Z65" s="20">
        <v>174</v>
      </c>
      <c r="AA65" s="20">
        <v>175</v>
      </c>
      <c r="AB65" s="20">
        <v>142</v>
      </c>
      <c r="AC65" s="20">
        <v>127</v>
      </c>
      <c r="AD65" s="20">
        <v>174</v>
      </c>
      <c r="AE65" s="20">
        <v>175</v>
      </c>
    </row>
    <row r="66" spans="1:31">
      <c r="A66" s="20" t="s">
        <v>87</v>
      </c>
      <c r="B66" s="20">
        <v>220029640</v>
      </c>
      <c r="C66" s="20" t="s">
        <v>88</v>
      </c>
      <c r="D66" s="20" t="s">
        <v>89</v>
      </c>
      <c r="E66" s="20">
        <v>400454000062</v>
      </c>
      <c r="F66" s="20" t="s">
        <v>90</v>
      </c>
      <c r="G66" s="20" t="s">
        <v>90</v>
      </c>
      <c r="H66" s="20" t="s">
        <v>91</v>
      </c>
      <c r="I66" s="20" t="s">
        <v>92</v>
      </c>
      <c r="J66" s="20" t="s">
        <v>93</v>
      </c>
      <c r="L66" s="20">
        <v>0</v>
      </c>
      <c r="M66" s="20" t="s">
        <v>94</v>
      </c>
      <c r="N66" s="20" t="s">
        <v>91</v>
      </c>
      <c r="O66" s="20">
        <v>0</v>
      </c>
      <c r="P66" s="20">
        <v>360</v>
      </c>
      <c r="Q66" s="20">
        <v>55.14</v>
      </c>
      <c r="R66" s="20">
        <v>1272.856</v>
      </c>
      <c r="S66" s="20">
        <v>0.09</v>
      </c>
      <c r="T66" s="20">
        <v>1.1399999999999999</v>
      </c>
      <c r="U66" s="20">
        <v>0.17</v>
      </c>
      <c r="V66" s="20">
        <v>0.09</v>
      </c>
      <c r="W66" s="20">
        <v>0.06</v>
      </c>
      <c r="X66" s="20">
        <v>143</v>
      </c>
      <c r="Y66" s="20">
        <v>129</v>
      </c>
      <c r="Z66" s="20">
        <v>176</v>
      </c>
      <c r="AA66" s="20">
        <v>177</v>
      </c>
      <c r="AB66" s="20">
        <v>143</v>
      </c>
      <c r="AC66" s="20">
        <v>129</v>
      </c>
      <c r="AD66" s="20">
        <v>176</v>
      </c>
      <c r="AE66" s="20">
        <v>177</v>
      </c>
    </row>
    <row r="67" spans="1:31">
      <c r="A67" s="20" t="s">
        <v>87</v>
      </c>
      <c r="B67" s="20">
        <v>220029640</v>
      </c>
      <c r="C67" s="20" t="s">
        <v>88</v>
      </c>
      <c r="D67" s="20" t="s">
        <v>89</v>
      </c>
      <c r="E67" s="20">
        <v>400454000062</v>
      </c>
      <c r="F67" s="20" t="s">
        <v>90</v>
      </c>
      <c r="G67" s="20" t="s">
        <v>90</v>
      </c>
      <c r="H67" s="20" t="s">
        <v>91</v>
      </c>
      <c r="I67" s="20" t="s">
        <v>92</v>
      </c>
      <c r="J67" s="20" t="s">
        <v>93</v>
      </c>
      <c r="L67" s="20">
        <v>0</v>
      </c>
      <c r="M67" s="20" t="s">
        <v>94</v>
      </c>
      <c r="N67" s="20" t="s">
        <v>91</v>
      </c>
      <c r="O67" s="20">
        <v>0</v>
      </c>
      <c r="P67" s="20">
        <v>365</v>
      </c>
      <c r="Q67" s="20">
        <v>55.97</v>
      </c>
      <c r="R67" s="20">
        <v>1272.9359999999999</v>
      </c>
      <c r="S67" s="20">
        <v>0.1</v>
      </c>
      <c r="T67" s="20">
        <v>1.1399999999999999</v>
      </c>
      <c r="U67" s="20">
        <v>0.17</v>
      </c>
      <c r="V67" s="20">
        <v>0.09</v>
      </c>
      <c r="W67" s="20">
        <v>0.06</v>
      </c>
      <c r="X67" s="20">
        <v>145</v>
      </c>
      <c r="Y67" s="20">
        <v>130</v>
      </c>
      <c r="Z67" s="20">
        <v>178</v>
      </c>
      <c r="AA67" s="20">
        <v>178</v>
      </c>
      <c r="AB67" s="20">
        <v>145</v>
      </c>
      <c r="AC67" s="20">
        <v>130</v>
      </c>
      <c r="AD67" s="20">
        <v>178</v>
      </c>
      <c r="AE67" s="20">
        <v>178</v>
      </c>
    </row>
    <row r="68" spans="1:31">
      <c r="A68" s="20" t="s">
        <v>87</v>
      </c>
      <c r="B68" s="20">
        <v>220029640</v>
      </c>
      <c r="C68" s="20" t="s">
        <v>88</v>
      </c>
      <c r="D68" s="20" t="s">
        <v>89</v>
      </c>
      <c r="E68" s="20">
        <v>400454000062</v>
      </c>
      <c r="F68" s="20" t="s">
        <v>90</v>
      </c>
      <c r="G68" s="20" t="s">
        <v>90</v>
      </c>
      <c r="H68" s="20" t="s">
        <v>91</v>
      </c>
      <c r="I68" s="20" t="s">
        <v>92</v>
      </c>
      <c r="J68" s="20" t="s">
        <v>93</v>
      </c>
      <c r="L68" s="20">
        <v>0</v>
      </c>
      <c r="M68" s="20" t="s">
        <v>94</v>
      </c>
      <c r="N68" s="20" t="s">
        <v>91</v>
      </c>
      <c r="O68" s="20">
        <v>0</v>
      </c>
      <c r="P68" s="20">
        <v>370</v>
      </c>
      <c r="Q68" s="20">
        <v>56.81</v>
      </c>
      <c r="R68" s="20">
        <v>1273.0170000000001</v>
      </c>
      <c r="S68" s="20">
        <v>0.1</v>
      </c>
      <c r="T68" s="20">
        <v>1.1599999999999999</v>
      </c>
      <c r="U68" s="20">
        <v>0.17</v>
      </c>
      <c r="V68" s="20">
        <v>0.09</v>
      </c>
      <c r="W68" s="20">
        <v>0.06</v>
      </c>
      <c r="X68" s="20">
        <v>147</v>
      </c>
      <c r="Y68" s="20">
        <v>132</v>
      </c>
      <c r="Z68" s="20">
        <v>179</v>
      </c>
      <c r="AA68" s="20">
        <v>180</v>
      </c>
      <c r="AB68" s="20">
        <v>147</v>
      </c>
      <c r="AC68" s="20">
        <v>132</v>
      </c>
      <c r="AD68" s="20">
        <v>179</v>
      </c>
      <c r="AE68" s="20">
        <v>180</v>
      </c>
    </row>
    <row r="69" spans="1:31">
      <c r="A69" s="20" t="s">
        <v>87</v>
      </c>
      <c r="B69" s="20">
        <v>220029640</v>
      </c>
      <c r="C69" s="20" t="s">
        <v>88</v>
      </c>
      <c r="D69" s="20" t="s">
        <v>89</v>
      </c>
      <c r="E69" s="20">
        <v>400454000062</v>
      </c>
      <c r="F69" s="20" t="s">
        <v>90</v>
      </c>
      <c r="G69" s="20" t="s">
        <v>90</v>
      </c>
      <c r="H69" s="20" t="s">
        <v>91</v>
      </c>
      <c r="I69" s="20" t="s">
        <v>92</v>
      </c>
      <c r="J69" s="20" t="s">
        <v>93</v>
      </c>
      <c r="L69" s="20">
        <v>0</v>
      </c>
      <c r="M69" s="20" t="s">
        <v>94</v>
      </c>
      <c r="N69" s="20" t="s">
        <v>91</v>
      </c>
      <c r="O69" s="20">
        <v>0</v>
      </c>
      <c r="P69" s="20">
        <v>375</v>
      </c>
      <c r="Q69" s="20">
        <v>57.67</v>
      </c>
      <c r="R69" s="20">
        <v>1273.098</v>
      </c>
      <c r="S69" s="20">
        <v>0.09</v>
      </c>
      <c r="T69" s="20">
        <v>1.1399999999999999</v>
      </c>
      <c r="U69" s="20">
        <v>0.17</v>
      </c>
      <c r="V69" s="20">
        <v>0.09</v>
      </c>
      <c r="W69" s="20">
        <v>0.06</v>
      </c>
      <c r="X69" s="20">
        <v>149</v>
      </c>
      <c r="Y69" s="20">
        <v>134</v>
      </c>
      <c r="Z69" s="20">
        <v>181</v>
      </c>
      <c r="AA69" s="20">
        <v>181</v>
      </c>
      <c r="AB69" s="20">
        <v>149</v>
      </c>
      <c r="AC69" s="20">
        <v>134</v>
      </c>
      <c r="AD69" s="20">
        <v>181</v>
      </c>
      <c r="AE69" s="20">
        <v>181</v>
      </c>
    </row>
    <row r="70" spans="1:31">
      <c r="A70" s="20" t="s">
        <v>87</v>
      </c>
      <c r="B70" s="20">
        <v>220029640</v>
      </c>
      <c r="C70" s="20" t="s">
        <v>88</v>
      </c>
      <c r="D70" s="20" t="s">
        <v>89</v>
      </c>
      <c r="E70" s="20">
        <v>400454000062</v>
      </c>
      <c r="F70" s="20" t="s">
        <v>90</v>
      </c>
      <c r="G70" s="20" t="s">
        <v>90</v>
      </c>
      <c r="H70" s="20" t="s">
        <v>91</v>
      </c>
      <c r="I70" s="20" t="s">
        <v>92</v>
      </c>
      <c r="J70" s="20" t="s">
        <v>93</v>
      </c>
      <c r="L70" s="20">
        <v>0</v>
      </c>
      <c r="M70" s="20" t="s">
        <v>94</v>
      </c>
      <c r="N70" s="20" t="s">
        <v>91</v>
      </c>
      <c r="O70" s="20">
        <v>0</v>
      </c>
      <c r="P70" s="20">
        <v>380</v>
      </c>
      <c r="Q70" s="20">
        <v>58.45</v>
      </c>
      <c r="R70" s="20">
        <v>1273.1790000000001</v>
      </c>
      <c r="S70" s="20">
        <v>0.1</v>
      </c>
      <c r="T70" s="20">
        <v>1.1000000000000001</v>
      </c>
      <c r="U70" s="20">
        <v>0.17</v>
      </c>
      <c r="V70" s="20">
        <v>0.09</v>
      </c>
      <c r="W70" s="20">
        <v>0.06</v>
      </c>
      <c r="X70" s="20">
        <v>150</v>
      </c>
      <c r="Y70" s="20">
        <v>136</v>
      </c>
      <c r="Z70" s="20">
        <v>183</v>
      </c>
      <c r="AA70" s="20">
        <v>183</v>
      </c>
      <c r="AB70" s="20">
        <v>150</v>
      </c>
      <c r="AC70" s="20">
        <v>136</v>
      </c>
      <c r="AD70" s="20">
        <v>183</v>
      </c>
      <c r="AE70" s="20">
        <v>183</v>
      </c>
    </row>
    <row r="71" spans="1:31">
      <c r="A71" s="20" t="s">
        <v>87</v>
      </c>
      <c r="B71" s="20">
        <v>220029640</v>
      </c>
      <c r="C71" s="20" t="s">
        <v>88</v>
      </c>
      <c r="D71" s="20" t="s">
        <v>89</v>
      </c>
      <c r="E71" s="20">
        <v>400454000062</v>
      </c>
      <c r="F71" s="20" t="s">
        <v>90</v>
      </c>
      <c r="G71" s="20" t="s">
        <v>90</v>
      </c>
      <c r="H71" s="20" t="s">
        <v>91</v>
      </c>
      <c r="I71" s="20" t="s">
        <v>92</v>
      </c>
      <c r="J71" s="20" t="s">
        <v>93</v>
      </c>
      <c r="L71" s="20">
        <v>0</v>
      </c>
      <c r="M71" s="20" t="s">
        <v>94</v>
      </c>
      <c r="N71" s="20" t="s">
        <v>91</v>
      </c>
      <c r="O71" s="20">
        <v>0</v>
      </c>
      <c r="P71" s="20">
        <v>385</v>
      </c>
      <c r="Q71" s="20">
        <v>59.3</v>
      </c>
      <c r="R71" s="20">
        <v>1273.26</v>
      </c>
      <c r="S71" s="20">
        <v>0.1</v>
      </c>
      <c r="T71" s="20">
        <v>1.01</v>
      </c>
      <c r="U71" s="20">
        <v>0.17</v>
      </c>
      <c r="V71" s="20">
        <v>0.09</v>
      </c>
      <c r="W71" s="20">
        <v>0.06</v>
      </c>
      <c r="X71" s="20">
        <v>153</v>
      </c>
      <c r="Y71" s="20">
        <v>137</v>
      </c>
      <c r="Z71" s="20">
        <v>184</v>
      </c>
      <c r="AA71" s="20">
        <v>184</v>
      </c>
      <c r="AB71" s="20">
        <v>153</v>
      </c>
      <c r="AC71" s="20">
        <v>137</v>
      </c>
      <c r="AD71" s="20">
        <v>184</v>
      </c>
      <c r="AE71" s="20">
        <v>184</v>
      </c>
    </row>
    <row r="72" spans="1:31">
      <c r="A72" s="20" t="s">
        <v>87</v>
      </c>
      <c r="B72" s="20">
        <v>220029640</v>
      </c>
      <c r="C72" s="20" t="s">
        <v>88</v>
      </c>
      <c r="D72" s="20" t="s">
        <v>89</v>
      </c>
      <c r="E72" s="20">
        <v>400454000062</v>
      </c>
      <c r="F72" s="20" t="s">
        <v>90</v>
      </c>
      <c r="G72" s="20" t="s">
        <v>90</v>
      </c>
      <c r="H72" s="20" t="s">
        <v>91</v>
      </c>
      <c r="I72" s="20" t="s">
        <v>92</v>
      </c>
      <c r="J72" s="20" t="s">
        <v>93</v>
      </c>
      <c r="L72" s="20">
        <v>0</v>
      </c>
      <c r="M72" s="20" t="s">
        <v>94</v>
      </c>
      <c r="N72" s="20" t="s">
        <v>91</v>
      </c>
      <c r="O72" s="20">
        <v>0</v>
      </c>
      <c r="P72" s="20">
        <v>390</v>
      </c>
      <c r="Q72" s="20">
        <v>60.16</v>
      </c>
      <c r="R72" s="20">
        <v>1273.3420000000001</v>
      </c>
      <c r="S72" s="20">
        <v>0.1</v>
      </c>
      <c r="T72" s="20">
        <v>1.02</v>
      </c>
      <c r="U72" s="20">
        <v>0.17</v>
      </c>
      <c r="V72" s="20">
        <v>0.09</v>
      </c>
      <c r="W72" s="20">
        <v>0.06</v>
      </c>
      <c r="X72" s="20">
        <v>155</v>
      </c>
      <c r="Y72" s="20">
        <v>139</v>
      </c>
      <c r="Z72" s="20">
        <v>186</v>
      </c>
      <c r="AA72" s="20">
        <v>186</v>
      </c>
      <c r="AB72" s="20">
        <v>155</v>
      </c>
      <c r="AC72" s="20">
        <v>139</v>
      </c>
      <c r="AD72" s="20">
        <v>186</v>
      </c>
      <c r="AE72" s="20">
        <v>186</v>
      </c>
    </row>
    <row r="73" spans="1:31">
      <c r="A73" s="20" t="s">
        <v>87</v>
      </c>
      <c r="B73" s="20">
        <v>220029640</v>
      </c>
      <c r="C73" s="20" t="s">
        <v>88</v>
      </c>
      <c r="D73" s="20" t="s">
        <v>89</v>
      </c>
      <c r="E73" s="20">
        <v>400454000062</v>
      </c>
      <c r="F73" s="20" t="s">
        <v>90</v>
      </c>
      <c r="G73" s="20" t="s">
        <v>90</v>
      </c>
      <c r="H73" s="20" t="s">
        <v>91</v>
      </c>
      <c r="I73" s="20" t="s">
        <v>92</v>
      </c>
      <c r="J73" s="20" t="s">
        <v>93</v>
      </c>
      <c r="L73" s="20">
        <v>0</v>
      </c>
      <c r="M73" s="20" t="s">
        <v>94</v>
      </c>
      <c r="N73" s="20" t="s">
        <v>91</v>
      </c>
      <c r="O73" s="20">
        <v>0</v>
      </c>
      <c r="P73" s="20">
        <v>395</v>
      </c>
      <c r="Q73" s="20">
        <v>60.95</v>
      </c>
      <c r="R73" s="20">
        <v>1273.424</v>
      </c>
      <c r="S73" s="20">
        <v>0.1</v>
      </c>
      <c r="T73" s="20">
        <v>1.07</v>
      </c>
      <c r="U73" s="20">
        <v>0.17</v>
      </c>
      <c r="V73" s="20">
        <v>0.09</v>
      </c>
      <c r="W73" s="20">
        <v>0.06</v>
      </c>
      <c r="X73" s="20">
        <v>157</v>
      </c>
      <c r="Y73" s="20">
        <v>142</v>
      </c>
      <c r="Z73" s="20">
        <v>187</v>
      </c>
      <c r="AA73" s="20">
        <v>188</v>
      </c>
      <c r="AB73" s="20">
        <v>157</v>
      </c>
      <c r="AC73" s="20">
        <v>142</v>
      </c>
      <c r="AD73" s="20">
        <v>187</v>
      </c>
      <c r="AE73" s="20">
        <v>188</v>
      </c>
    </row>
    <row r="74" spans="1:31">
      <c r="A74" s="20" t="s">
        <v>87</v>
      </c>
      <c r="B74" s="20">
        <v>220029640</v>
      </c>
      <c r="C74" s="20" t="s">
        <v>88</v>
      </c>
      <c r="D74" s="20" t="s">
        <v>89</v>
      </c>
      <c r="E74" s="20">
        <v>400454000062</v>
      </c>
      <c r="F74" s="20" t="s">
        <v>90</v>
      </c>
      <c r="G74" s="20" t="s">
        <v>90</v>
      </c>
      <c r="H74" s="20" t="s">
        <v>91</v>
      </c>
      <c r="I74" s="20" t="s">
        <v>92</v>
      </c>
      <c r="J74" s="20" t="s">
        <v>93</v>
      </c>
      <c r="L74" s="20">
        <v>0</v>
      </c>
      <c r="M74" s="20" t="s">
        <v>94</v>
      </c>
      <c r="N74" s="20" t="s">
        <v>91</v>
      </c>
      <c r="O74" s="20">
        <v>0</v>
      </c>
      <c r="P74" s="20">
        <v>400</v>
      </c>
      <c r="Q74" s="20">
        <v>61.75</v>
      </c>
      <c r="R74" s="20">
        <v>1273.5060000000001</v>
      </c>
      <c r="S74" s="20">
        <v>0.1</v>
      </c>
      <c r="T74" s="20">
        <v>1.17</v>
      </c>
      <c r="U74" s="20">
        <v>0.17</v>
      </c>
      <c r="V74" s="20">
        <v>0.09</v>
      </c>
      <c r="W74" s="20">
        <v>0.06</v>
      </c>
      <c r="X74" s="20">
        <v>160</v>
      </c>
      <c r="Y74" s="20">
        <v>144</v>
      </c>
      <c r="Z74" s="20">
        <v>189</v>
      </c>
      <c r="AA74" s="20">
        <v>190</v>
      </c>
      <c r="AB74" s="20">
        <v>160</v>
      </c>
      <c r="AC74" s="20">
        <v>144</v>
      </c>
      <c r="AD74" s="20">
        <v>189</v>
      </c>
      <c r="AE74" s="20">
        <v>190</v>
      </c>
    </row>
    <row r="75" spans="1:31">
      <c r="A75" s="20" t="s">
        <v>87</v>
      </c>
      <c r="B75" s="20">
        <v>220029640</v>
      </c>
      <c r="C75" s="20" t="s">
        <v>88</v>
      </c>
      <c r="D75" s="20" t="s">
        <v>89</v>
      </c>
      <c r="E75" s="20">
        <v>400454000062</v>
      </c>
      <c r="F75" s="20" t="s">
        <v>90</v>
      </c>
      <c r="G75" s="20" t="s">
        <v>90</v>
      </c>
      <c r="H75" s="20" t="s">
        <v>91</v>
      </c>
      <c r="I75" s="20" t="s">
        <v>92</v>
      </c>
      <c r="J75" s="20" t="s">
        <v>93</v>
      </c>
      <c r="L75" s="20">
        <v>0</v>
      </c>
      <c r="M75" s="20" t="s">
        <v>94</v>
      </c>
      <c r="N75" s="20" t="s">
        <v>91</v>
      </c>
      <c r="O75" s="20">
        <v>0</v>
      </c>
      <c r="P75" s="20">
        <v>405</v>
      </c>
      <c r="Q75" s="20">
        <v>62.57</v>
      </c>
      <c r="R75" s="20">
        <v>1273.5889999999999</v>
      </c>
      <c r="S75" s="20">
        <v>0.1</v>
      </c>
      <c r="T75" s="20">
        <v>1.25</v>
      </c>
      <c r="U75" s="20">
        <v>0.17</v>
      </c>
      <c r="V75" s="20">
        <v>0.09</v>
      </c>
      <c r="W75" s="20">
        <v>0.06</v>
      </c>
      <c r="X75" s="20">
        <v>162</v>
      </c>
      <c r="Y75" s="20">
        <v>146</v>
      </c>
      <c r="Z75" s="20">
        <v>191</v>
      </c>
      <c r="AA75" s="20">
        <v>191</v>
      </c>
      <c r="AB75" s="20">
        <v>162</v>
      </c>
      <c r="AC75" s="20">
        <v>146</v>
      </c>
      <c r="AD75" s="20">
        <v>191</v>
      </c>
      <c r="AE75" s="20">
        <v>191</v>
      </c>
    </row>
    <row r="76" spans="1:31">
      <c r="A76" s="20" t="s">
        <v>87</v>
      </c>
      <c r="B76" s="20">
        <v>220029640</v>
      </c>
      <c r="C76" s="20" t="s">
        <v>88</v>
      </c>
      <c r="D76" s="20" t="s">
        <v>89</v>
      </c>
      <c r="E76" s="20">
        <v>400454000062</v>
      </c>
      <c r="F76" s="20" t="s">
        <v>90</v>
      </c>
      <c r="G76" s="20" t="s">
        <v>90</v>
      </c>
      <c r="H76" s="20" t="s">
        <v>91</v>
      </c>
      <c r="I76" s="20" t="s">
        <v>92</v>
      </c>
      <c r="J76" s="20" t="s">
        <v>93</v>
      </c>
      <c r="L76" s="20">
        <v>0</v>
      </c>
      <c r="M76" s="20" t="s">
        <v>94</v>
      </c>
      <c r="N76" s="20" t="s">
        <v>91</v>
      </c>
      <c r="O76" s="20">
        <v>0</v>
      </c>
      <c r="P76" s="20">
        <v>410</v>
      </c>
      <c r="Q76" s="20">
        <v>63.41</v>
      </c>
      <c r="R76" s="20">
        <v>1273.675</v>
      </c>
      <c r="S76" s="20">
        <v>0.1</v>
      </c>
      <c r="T76" s="20">
        <v>1.18</v>
      </c>
      <c r="U76" s="20">
        <v>0.17</v>
      </c>
      <c r="V76" s="20">
        <v>0.09</v>
      </c>
      <c r="W76" s="20">
        <v>0.06</v>
      </c>
      <c r="X76" s="20">
        <v>165</v>
      </c>
      <c r="Y76" s="20">
        <v>149</v>
      </c>
      <c r="Z76" s="20">
        <v>193</v>
      </c>
      <c r="AA76" s="20">
        <v>194</v>
      </c>
      <c r="AB76" s="20">
        <v>165</v>
      </c>
      <c r="AC76" s="20">
        <v>149</v>
      </c>
      <c r="AD76" s="20">
        <v>193</v>
      </c>
      <c r="AE76" s="20">
        <v>194</v>
      </c>
    </row>
    <row r="77" spans="1:31">
      <c r="A77" s="20" t="s">
        <v>87</v>
      </c>
      <c r="B77" s="20">
        <v>220029640</v>
      </c>
      <c r="C77" s="20" t="s">
        <v>88</v>
      </c>
      <c r="D77" s="20" t="s">
        <v>89</v>
      </c>
      <c r="E77" s="20">
        <v>400454000062</v>
      </c>
      <c r="F77" s="20" t="s">
        <v>90</v>
      </c>
      <c r="G77" s="20" t="s">
        <v>90</v>
      </c>
      <c r="H77" s="20" t="s">
        <v>91</v>
      </c>
      <c r="I77" s="20" t="s">
        <v>92</v>
      </c>
      <c r="J77" s="20" t="s">
        <v>93</v>
      </c>
      <c r="L77" s="20">
        <v>0</v>
      </c>
      <c r="M77" s="20" t="s">
        <v>94</v>
      </c>
      <c r="N77" s="20" t="s">
        <v>91</v>
      </c>
      <c r="O77" s="20">
        <v>0</v>
      </c>
      <c r="P77" s="20">
        <v>415</v>
      </c>
      <c r="Q77" s="20">
        <v>64.27</v>
      </c>
      <c r="R77" s="20">
        <v>1273.761</v>
      </c>
      <c r="S77" s="20">
        <v>0.1</v>
      </c>
      <c r="T77" s="20">
        <v>1.1299999999999999</v>
      </c>
      <c r="U77" s="20">
        <v>0.17</v>
      </c>
      <c r="V77" s="20">
        <v>0.09</v>
      </c>
      <c r="W77" s="20">
        <v>0.06</v>
      </c>
      <c r="X77" s="20">
        <v>168</v>
      </c>
      <c r="Y77" s="20">
        <v>151</v>
      </c>
      <c r="Z77" s="20">
        <v>196</v>
      </c>
      <c r="AA77" s="20">
        <v>196</v>
      </c>
      <c r="AB77" s="20">
        <v>168</v>
      </c>
      <c r="AC77" s="20">
        <v>151</v>
      </c>
      <c r="AD77" s="20">
        <v>196</v>
      </c>
      <c r="AE77" s="20">
        <v>196</v>
      </c>
    </row>
    <row r="78" spans="1:31">
      <c r="A78" s="20" t="s">
        <v>87</v>
      </c>
      <c r="B78" s="20">
        <v>220029640</v>
      </c>
      <c r="C78" s="20" t="s">
        <v>88</v>
      </c>
      <c r="D78" s="20" t="s">
        <v>89</v>
      </c>
      <c r="E78" s="20">
        <v>400454000062</v>
      </c>
      <c r="F78" s="20" t="s">
        <v>90</v>
      </c>
      <c r="G78" s="20" t="s">
        <v>90</v>
      </c>
      <c r="H78" s="20" t="s">
        <v>91</v>
      </c>
      <c r="I78" s="20" t="s">
        <v>92</v>
      </c>
      <c r="J78" s="20" t="s">
        <v>93</v>
      </c>
      <c r="L78" s="20">
        <v>0</v>
      </c>
      <c r="M78" s="20" t="s">
        <v>94</v>
      </c>
      <c r="N78" s="20" t="s">
        <v>91</v>
      </c>
      <c r="O78" s="20">
        <v>0</v>
      </c>
      <c r="P78" s="20">
        <v>420</v>
      </c>
      <c r="Q78" s="20">
        <v>65.099999999999994</v>
      </c>
      <c r="R78" s="20">
        <v>1273.848</v>
      </c>
      <c r="S78" s="20">
        <v>0.1</v>
      </c>
      <c r="T78" s="20">
        <v>1.1399999999999999</v>
      </c>
      <c r="U78" s="20">
        <v>0.17</v>
      </c>
      <c r="V78" s="20">
        <v>0.09</v>
      </c>
      <c r="W78" s="20">
        <v>0.06</v>
      </c>
      <c r="X78" s="20">
        <v>172</v>
      </c>
      <c r="Y78" s="20">
        <v>154</v>
      </c>
      <c r="Z78" s="20">
        <v>198</v>
      </c>
      <c r="AA78" s="20">
        <v>198</v>
      </c>
      <c r="AB78" s="20">
        <v>172</v>
      </c>
      <c r="AC78" s="20">
        <v>154</v>
      </c>
      <c r="AD78" s="20">
        <v>198</v>
      </c>
      <c r="AE78" s="20">
        <v>198</v>
      </c>
    </row>
    <row r="79" spans="1:31">
      <c r="A79" s="20" t="s">
        <v>87</v>
      </c>
      <c r="B79" s="20">
        <v>220029640</v>
      </c>
      <c r="C79" s="20" t="s">
        <v>88</v>
      </c>
      <c r="D79" s="20" t="s">
        <v>89</v>
      </c>
      <c r="E79" s="20">
        <v>400454000062</v>
      </c>
      <c r="F79" s="20" t="s">
        <v>90</v>
      </c>
      <c r="G79" s="20" t="s">
        <v>90</v>
      </c>
      <c r="H79" s="20" t="s">
        <v>91</v>
      </c>
      <c r="I79" s="20" t="s">
        <v>92</v>
      </c>
      <c r="J79" s="20" t="s">
        <v>93</v>
      </c>
      <c r="L79" s="20">
        <v>0</v>
      </c>
      <c r="M79" s="20" t="s">
        <v>94</v>
      </c>
      <c r="N79" s="20" t="s">
        <v>91</v>
      </c>
      <c r="O79" s="20">
        <v>0</v>
      </c>
      <c r="P79" s="20">
        <v>425</v>
      </c>
      <c r="Q79" s="20">
        <v>65.89</v>
      </c>
      <c r="R79" s="20">
        <v>1273.9349999999999</v>
      </c>
      <c r="S79" s="20">
        <v>0.11</v>
      </c>
      <c r="T79" s="20">
        <v>1.06</v>
      </c>
      <c r="U79" s="20">
        <v>0.17</v>
      </c>
      <c r="V79" s="20">
        <v>0.09</v>
      </c>
      <c r="W79" s="20">
        <v>0.06</v>
      </c>
      <c r="X79" s="20">
        <v>175</v>
      </c>
      <c r="Y79" s="20">
        <v>157</v>
      </c>
      <c r="Z79" s="20">
        <v>200</v>
      </c>
      <c r="AA79" s="20">
        <v>200</v>
      </c>
      <c r="AB79" s="20">
        <v>175</v>
      </c>
      <c r="AC79" s="20">
        <v>157</v>
      </c>
      <c r="AD79" s="20">
        <v>200</v>
      </c>
      <c r="AE79" s="20">
        <v>200</v>
      </c>
    </row>
    <row r="80" spans="1:31">
      <c r="A80" s="20" t="s">
        <v>87</v>
      </c>
      <c r="B80" s="20">
        <v>220029640</v>
      </c>
      <c r="C80" s="20" t="s">
        <v>88</v>
      </c>
      <c r="D80" s="20" t="s">
        <v>89</v>
      </c>
      <c r="E80" s="20">
        <v>400454000062</v>
      </c>
      <c r="F80" s="20" t="s">
        <v>90</v>
      </c>
      <c r="G80" s="20" t="s">
        <v>90</v>
      </c>
      <c r="H80" s="20" t="s">
        <v>91</v>
      </c>
      <c r="I80" s="20" t="s">
        <v>92</v>
      </c>
      <c r="J80" s="20" t="s">
        <v>93</v>
      </c>
      <c r="L80" s="20">
        <v>0</v>
      </c>
      <c r="M80" s="20" t="s">
        <v>94</v>
      </c>
      <c r="N80" s="20" t="s">
        <v>91</v>
      </c>
      <c r="O80" s="20">
        <v>0</v>
      </c>
      <c r="P80" s="20">
        <v>430</v>
      </c>
      <c r="Q80" s="20">
        <v>66.75</v>
      </c>
      <c r="R80" s="20">
        <v>1274.0229999999999</v>
      </c>
      <c r="S80" s="20">
        <v>0.1</v>
      </c>
      <c r="T80" s="20">
        <v>1</v>
      </c>
      <c r="U80" s="20">
        <v>0.17</v>
      </c>
      <c r="V80" s="20">
        <v>0.09</v>
      </c>
      <c r="W80" s="20">
        <v>0.06</v>
      </c>
      <c r="X80" s="20">
        <v>179</v>
      </c>
      <c r="Y80" s="20">
        <v>159</v>
      </c>
      <c r="Z80" s="20">
        <v>202</v>
      </c>
      <c r="AA80" s="20">
        <v>203</v>
      </c>
      <c r="AB80" s="20">
        <v>179</v>
      </c>
      <c r="AC80" s="20">
        <v>159</v>
      </c>
      <c r="AD80" s="20">
        <v>202</v>
      </c>
      <c r="AE80" s="20">
        <v>203</v>
      </c>
    </row>
    <row r="81" spans="1:40">
      <c r="A81" s="20" t="s">
        <v>87</v>
      </c>
      <c r="B81" s="20">
        <v>220029640</v>
      </c>
      <c r="C81" s="20" t="s">
        <v>88</v>
      </c>
      <c r="D81" s="20" t="s">
        <v>89</v>
      </c>
      <c r="E81" s="20">
        <v>400454000062</v>
      </c>
      <c r="F81" s="20" t="s">
        <v>90</v>
      </c>
      <c r="G81" s="20" t="s">
        <v>90</v>
      </c>
      <c r="H81" s="20" t="s">
        <v>91</v>
      </c>
      <c r="I81" s="20" t="s">
        <v>92</v>
      </c>
      <c r="J81" s="20" t="s">
        <v>93</v>
      </c>
      <c r="L81" s="20">
        <v>0</v>
      </c>
      <c r="M81" s="20" t="s">
        <v>94</v>
      </c>
      <c r="N81" s="20" t="s">
        <v>91</v>
      </c>
      <c r="O81" s="20">
        <v>0</v>
      </c>
      <c r="P81" s="20">
        <v>435</v>
      </c>
      <c r="Q81" s="20">
        <v>67.569999999999993</v>
      </c>
      <c r="R81" s="20">
        <v>1274.115</v>
      </c>
      <c r="S81" s="20">
        <v>0.11</v>
      </c>
      <c r="T81" s="20">
        <v>1.01</v>
      </c>
      <c r="U81" s="20">
        <v>0.17</v>
      </c>
      <c r="V81" s="20">
        <v>0.09</v>
      </c>
      <c r="W81" s="20">
        <v>0.06</v>
      </c>
      <c r="X81" s="20">
        <v>182</v>
      </c>
      <c r="Y81" s="20">
        <v>163</v>
      </c>
      <c r="Z81" s="20">
        <v>205</v>
      </c>
      <c r="AA81" s="20">
        <v>205</v>
      </c>
      <c r="AB81" s="20">
        <v>182</v>
      </c>
      <c r="AC81" s="20">
        <v>163</v>
      </c>
      <c r="AD81" s="20">
        <v>205</v>
      </c>
      <c r="AE81" s="20">
        <v>205</v>
      </c>
    </row>
    <row r="82" spans="1:40">
      <c r="A82" s="20" t="s">
        <v>87</v>
      </c>
      <c r="B82" s="20">
        <v>220029640</v>
      </c>
      <c r="C82" s="20" t="s">
        <v>88</v>
      </c>
      <c r="D82" s="20" t="s">
        <v>89</v>
      </c>
      <c r="E82" s="20">
        <v>400454000062</v>
      </c>
      <c r="F82" s="20" t="s">
        <v>90</v>
      </c>
      <c r="G82" s="20" t="s">
        <v>90</v>
      </c>
      <c r="H82" s="20" t="s">
        <v>91</v>
      </c>
      <c r="I82" s="20" t="s">
        <v>92</v>
      </c>
      <c r="J82" s="20" t="s">
        <v>93</v>
      </c>
      <c r="L82" s="20">
        <v>0</v>
      </c>
      <c r="M82" s="20" t="s">
        <v>94</v>
      </c>
      <c r="N82" s="20" t="s">
        <v>91</v>
      </c>
      <c r="O82" s="20">
        <v>0</v>
      </c>
      <c r="P82" s="20">
        <v>440</v>
      </c>
      <c r="Q82" s="20">
        <v>68.42</v>
      </c>
      <c r="R82" s="20">
        <v>1274.2059999999999</v>
      </c>
      <c r="S82" s="20">
        <v>0.11</v>
      </c>
      <c r="T82" s="20">
        <v>0.97</v>
      </c>
      <c r="U82" s="20">
        <v>0.17</v>
      </c>
      <c r="V82" s="20">
        <v>0.09</v>
      </c>
      <c r="W82" s="20">
        <v>0.06</v>
      </c>
      <c r="X82" s="20">
        <v>186</v>
      </c>
      <c r="Y82" s="20">
        <v>166</v>
      </c>
      <c r="Z82" s="20">
        <v>208</v>
      </c>
      <c r="AA82" s="20">
        <v>208</v>
      </c>
      <c r="AB82" s="20">
        <v>186</v>
      </c>
      <c r="AC82" s="20">
        <v>166</v>
      </c>
      <c r="AD82" s="20">
        <v>208</v>
      </c>
      <c r="AE82" s="20">
        <v>208</v>
      </c>
    </row>
    <row r="83" spans="1:40">
      <c r="A83" s="20" t="s">
        <v>87</v>
      </c>
      <c r="B83" s="20">
        <v>220029640</v>
      </c>
      <c r="C83" s="20" t="s">
        <v>88</v>
      </c>
      <c r="D83" s="20" t="s">
        <v>89</v>
      </c>
      <c r="E83" s="20">
        <v>400454000062</v>
      </c>
      <c r="F83" s="20" t="s">
        <v>90</v>
      </c>
      <c r="G83" s="20" t="s">
        <v>90</v>
      </c>
      <c r="H83" s="20" t="s">
        <v>91</v>
      </c>
      <c r="I83" s="20" t="s">
        <v>92</v>
      </c>
      <c r="J83" s="20" t="s">
        <v>93</v>
      </c>
      <c r="L83" s="20">
        <v>0</v>
      </c>
      <c r="M83" s="20" t="s">
        <v>94</v>
      </c>
      <c r="N83" s="20" t="s">
        <v>91</v>
      </c>
      <c r="O83" s="20">
        <v>0</v>
      </c>
      <c r="P83" s="20">
        <v>445</v>
      </c>
      <c r="Q83" s="20">
        <v>69.28</v>
      </c>
      <c r="R83" s="20">
        <v>1274.296</v>
      </c>
      <c r="S83" s="20">
        <v>0.1</v>
      </c>
      <c r="T83" s="20">
        <v>1.04</v>
      </c>
      <c r="U83" s="20">
        <v>0.17</v>
      </c>
      <c r="V83" s="20">
        <v>0.09</v>
      </c>
      <c r="W83" s="20">
        <v>0.06</v>
      </c>
      <c r="X83" s="20">
        <v>191</v>
      </c>
      <c r="Y83" s="20">
        <v>169</v>
      </c>
      <c r="Z83" s="20">
        <v>211</v>
      </c>
      <c r="AA83" s="20">
        <v>211</v>
      </c>
      <c r="AB83" s="20">
        <v>191</v>
      </c>
      <c r="AC83" s="20">
        <v>169</v>
      </c>
      <c r="AD83" s="20">
        <v>211</v>
      </c>
      <c r="AE83" s="20">
        <v>211</v>
      </c>
    </row>
    <row r="84" spans="1:40">
      <c r="A84" s="20" t="s">
        <v>87</v>
      </c>
      <c r="B84" s="20">
        <v>220029640</v>
      </c>
      <c r="C84" s="20" t="s">
        <v>88</v>
      </c>
      <c r="D84" s="20" t="s">
        <v>89</v>
      </c>
      <c r="E84" s="20">
        <v>400454000062</v>
      </c>
      <c r="F84" s="20" t="s">
        <v>90</v>
      </c>
      <c r="G84" s="20" t="s">
        <v>90</v>
      </c>
      <c r="H84" s="20" t="s">
        <v>91</v>
      </c>
      <c r="I84" s="20" t="s">
        <v>92</v>
      </c>
      <c r="J84" s="20" t="s">
        <v>93</v>
      </c>
      <c r="L84" s="20">
        <v>0</v>
      </c>
      <c r="M84" s="20" t="s">
        <v>94</v>
      </c>
      <c r="N84" s="20" t="s">
        <v>91</v>
      </c>
      <c r="O84" s="20">
        <v>0</v>
      </c>
      <c r="P84" s="20">
        <v>450</v>
      </c>
      <c r="Q84" s="20">
        <v>70.11</v>
      </c>
      <c r="R84" s="20">
        <v>1274.3910000000001</v>
      </c>
      <c r="S84" s="20">
        <v>0.11</v>
      </c>
      <c r="T84" s="20">
        <v>1.06</v>
      </c>
      <c r="U84" s="20">
        <v>0.17</v>
      </c>
      <c r="V84" s="20">
        <v>0.09</v>
      </c>
      <c r="W84" s="20">
        <v>0.06</v>
      </c>
      <c r="X84" s="20">
        <v>195</v>
      </c>
      <c r="Y84" s="20">
        <v>173</v>
      </c>
      <c r="Z84" s="20">
        <v>214</v>
      </c>
      <c r="AA84" s="20">
        <v>213</v>
      </c>
      <c r="AB84" s="20">
        <v>195</v>
      </c>
      <c r="AC84" s="20">
        <v>173</v>
      </c>
      <c r="AD84" s="20">
        <v>214</v>
      </c>
      <c r="AE84" s="20">
        <v>213</v>
      </c>
    </row>
    <row r="85" spans="1:40"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1:40"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spans="1:40">
      <c r="M87" s="20"/>
      <c r="N87" s="7"/>
      <c r="O87" s="7"/>
      <c r="P87" s="20"/>
      <c r="Q87" s="20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G87" s="7"/>
      <c r="AH87" s="7"/>
      <c r="AI87" s="7"/>
      <c r="AL87" s="7"/>
      <c r="AM87" s="7"/>
      <c r="AN87" s="7"/>
    </row>
    <row r="88" spans="1:40">
      <c r="M88" s="20"/>
      <c r="N88" s="7"/>
      <c r="O88" s="7"/>
      <c r="P88" s="20"/>
      <c r="Q88" s="20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G88" s="7"/>
      <c r="AH88" s="7"/>
      <c r="AI88" s="7"/>
      <c r="AL88" s="7"/>
      <c r="AM88" s="7"/>
      <c r="AN88" s="7"/>
    </row>
    <row r="89" spans="1:40">
      <c r="M89" s="20"/>
      <c r="N89" s="7"/>
      <c r="O89" s="7"/>
      <c r="P89" s="20"/>
      <c r="Q89" s="20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G89" s="7"/>
      <c r="AH89" s="7"/>
      <c r="AI89" s="7"/>
      <c r="AL89" s="7"/>
      <c r="AM89" s="7"/>
      <c r="AN89" s="7"/>
    </row>
    <row r="90" spans="1:40">
      <c r="M90" s="20"/>
      <c r="N90" s="7"/>
      <c r="O90" s="7"/>
      <c r="P90" s="20"/>
      <c r="Q90" s="20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G90" s="7"/>
      <c r="AH90" s="7"/>
      <c r="AI90" s="7"/>
      <c r="AL90" s="7"/>
      <c r="AM90" s="7"/>
      <c r="AN90" s="7"/>
    </row>
    <row r="91" spans="1:40">
      <c r="M91" s="20"/>
      <c r="N91" s="7"/>
      <c r="O91" s="7"/>
      <c r="P91" s="20"/>
      <c r="Q91" s="20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G91" s="7"/>
      <c r="AH91" s="7"/>
      <c r="AI91" s="7"/>
      <c r="AL91" s="7"/>
      <c r="AM91" s="7"/>
      <c r="AN91" s="7"/>
    </row>
    <row r="92" spans="1:40">
      <c r="M92" s="20"/>
      <c r="N92" s="7"/>
      <c r="O92" s="7"/>
      <c r="P92" s="20"/>
      <c r="Q92" s="20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G92" s="7"/>
      <c r="AH92" s="7"/>
      <c r="AI92" s="7"/>
      <c r="AL92" s="7"/>
      <c r="AM92" s="7"/>
      <c r="AN92" s="7"/>
    </row>
    <row r="93" spans="1:40">
      <c r="M93" s="20"/>
      <c r="N93" s="4"/>
      <c r="O93" s="4"/>
      <c r="P93" s="20"/>
      <c r="Q93" s="2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G93" s="4"/>
      <c r="AH93" s="4"/>
      <c r="AI93" s="4"/>
      <c r="AL93" s="4"/>
      <c r="AM93" s="4"/>
      <c r="AN93" s="4"/>
    </row>
    <row r="94" spans="1:40">
      <c r="M94" s="20"/>
      <c r="N94" s="4"/>
      <c r="O94" s="4"/>
      <c r="P94" s="20"/>
      <c r="Q94" s="2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G94" s="4"/>
      <c r="AH94" s="4"/>
      <c r="AI94" s="4"/>
      <c r="AL94" s="4"/>
      <c r="AM94" s="4"/>
      <c r="AN94" s="4"/>
    </row>
    <row r="95" spans="1:40">
      <c r="M95" s="20"/>
      <c r="N95" s="4"/>
      <c r="O95" s="4"/>
      <c r="P95" s="20"/>
      <c r="Q95" s="2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G95" s="4"/>
      <c r="AH95" s="4"/>
      <c r="AI95" s="4"/>
      <c r="AL95" s="4"/>
      <c r="AM95" s="4"/>
      <c r="AN95" s="4"/>
    </row>
    <row r="96" spans="1:40">
      <c r="M96" s="20"/>
      <c r="N96" s="4"/>
      <c r="O96" s="4"/>
      <c r="P96" s="20"/>
      <c r="Q96" s="2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G96" s="4"/>
      <c r="AH96" s="4"/>
      <c r="AI96" s="4"/>
      <c r="AL96" s="4"/>
      <c r="AM96" s="4"/>
      <c r="AN96" s="4"/>
    </row>
    <row r="97" spans="13:40">
      <c r="M97" s="20"/>
      <c r="N97" s="4"/>
      <c r="O97" s="4"/>
      <c r="P97" s="20"/>
      <c r="Q97" s="2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G97" s="4"/>
      <c r="AH97" s="4"/>
      <c r="AI97" s="4"/>
      <c r="AL97" s="4"/>
      <c r="AM97" s="4"/>
      <c r="AN97" s="4"/>
    </row>
    <row r="98" spans="13:40">
      <c r="M98" s="20"/>
      <c r="N98" s="4"/>
      <c r="O98" s="4"/>
      <c r="P98" s="20"/>
      <c r="Q98" s="2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G98" s="4"/>
      <c r="AH98" s="4"/>
      <c r="AI98" s="4"/>
      <c r="AL98" s="4"/>
      <c r="AM98" s="4"/>
      <c r="AN98" s="4"/>
    </row>
    <row r="99" spans="13:40">
      <c r="M99" s="20"/>
      <c r="N99" s="4"/>
      <c r="O99" s="4"/>
      <c r="P99" s="20"/>
      <c r="Q99" s="2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G99" s="4"/>
      <c r="AH99" s="4"/>
      <c r="AI99" s="4"/>
      <c r="AL99" s="4"/>
      <c r="AM99" s="4"/>
      <c r="AN99" s="4"/>
    </row>
    <row r="100" spans="13:40">
      <c r="M100" s="20"/>
      <c r="N100" s="4"/>
      <c r="O100" s="4"/>
      <c r="P100" s="20"/>
      <c r="Q100" s="2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G100" s="4"/>
      <c r="AH100" s="4"/>
      <c r="AI100" s="4"/>
      <c r="AL100" s="4"/>
      <c r="AM100" s="4"/>
      <c r="AN100" s="4"/>
    </row>
    <row r="101" spans="13:40">
      <c r="M101" s="20"/>
      <c r="N101" s="4"/>
      <c r="O101" s="4"/>
      <c r="P101" s="20"/>
      <c r="Q101" s="2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G101" s="4"/>
      <c r="AH101" s="4"/>
      <c r="AI101" s="4"/>
      <c r="AL101" s="4"/>
      <c r="AM101" s="4"/>
      <c r="AN101" s="4"/>
    </row>
    <row r="102" spans="13:40">
      <c r="M102" s="20"/>
      <c r="N102" s="4"/>
      <c r="O102" s="4"/>
      <c r="P102" s="20"/>
      <c r="Q102" s="2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G102" s="4"/>
      <c r="AH102" s="4"/>
      <c r="AI102" s="4"/>
      <c r="AL102" s="4"/>
      <c r="AM102" s="4"/>
      <c r="AN102" s="4"/>
    </row>
    <row r="103" spans="13:40">
      <c r="M103" s="20"/>
      <c r="N103" s="4"/>
      <c r="O103" s="4"/>
      <c r="P103" s="20"/>
      <c r="Q103" s="2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G103" s="4"/>
      <c r="AH103" s="4"/>
      <c r="AI103" s="4"/>
      <c r="AL103" s="4"/>
      <c r="AM103" s="4"/>
      <c r="AN103" s="4"/>
    </row>
    <row r="104" spans="13:40">
      <c r="M104" s="20"/>
      <c r="N104" s="4"/>
      <c r="O104" s="4"/>
      <c r="P104" s="20"/>
      <c r="Q104" s="2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G104" s="4"/>
      <c r="AH104" s="4"/>
      <c r="AI104" s="4"/>
      <c r="AL104" s="4"/>
      <c r="AM104" s="4"/>
      <c r="AN104" s="4"/>
    </row>
    <row r="105" spans="13:40">
      <c r="M105" s="20"/>
      <c r="N105" s="4"/>
      <c r="O105" s="4"/>
      <c r="P105" s="20"/>
      <c r="Q105" s="2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G105" s="4"/>
      <c r="AH105" s="4"/>
      <c r="AI105" s="4"/>
      <c r="AL105" s="4"/>
      <c r="AM105" s="4"/>
      <c r="AN105" s="4"/>
    </row>
    <row r="106" spans="13:40">
      <c r="M106" s="20"/>
      <c r="N106" s="4"/>
      <c r="O106" s="4"/>
      <c r="P106" s="20"/>
      <c r="Q106" s="2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G106" s="4"/>
      <c r="AH106" s="4"/>
      <c r="AI106" s="4"/>
      <c r="AL106" s="4"/>
      <c r="AM106" s="4"/>
      <c r="AN106" s="4"/>
    </row>
    <row r="107" spans="13:40">
      <c r="M107" s="20"/>
      <c r="N107" s="4"/>
      <c r="O107" s="4"/>
      <c r="P107" s="20"/>
      <c r="Q107" s="2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G107" s="4"/>
      <c r="AH107" s="4"/>
      <c r="AI107" s="4"/>
      <c r="AL107" s="4"/>
      <c r="AM107" s="4"/>
      <c r="AN107" s="4"/>
    </row>
    <row r="108" spans="13:40">
      <c r="M108" s="20"/>
      <c r="N108" s="4"/>
      <c r="O108" s="4"/>
      <c r="P108" s="20"/>
      <c r="Q108" s="2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G108" s="4"/>
      <c r="AH108" s="4"/>
      <c r="AI108" s="4"/>
      <c r="AL108" s="4"/>
      <c r="AM108" s="4"/>
      <c r="AN108" s="4"/>
    </row>
    <row r="109" spans="13:40">
      <c r="M109" s="20"/>
      <c r="N109" s="4"/>
      <c r="O109" s="4"/>
      <c r="P109" s="20"/>
      <c r="Q109" s="2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G109" s="4"/>
      <c r="AH109" s="4"/>
      <c r="AI109" s="4"/>
      <c r="AL109" s="4"/>
      <c r="AM109" s="4"/>
      <c r="AN109" s="4"/>
    </row>
    <row r="110" spans="13:40">
      <c r="M110" s="20"/>
      <c r="N110" s="4"/>
      <c r="O110" s="4"/>
      <c r="P110" s="20"/>
      <c r="Q110" s="2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G110" s="4"/>
      <c r="AH110" s="4"/>
      <c r="AI110" s="4"/>
      <c r="AL110" s="4"/>
      <c r="AM110" s="4"/>
      <c r="AN110" s="4"/>
    </row>
    <row r="111" spans="13:40">
      <c r="M111" s="20"/>
      <c r="N111" s="4"/>
      <c r="O111" s="4"/>
      <c r="P111" s="20"/>
      <c r="Q111" s="2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G111" s="4"/>
      <c r="AH111" s="4"/>
      <c r="AI111" s="4"/>
      <c r="AL111" s="4"/>
      <c r="AM111" s="4"/>
      <c r="AN111" s="4"/>
    </row>
    <row r="112" spans="13:40">
      <c r="M112" s="20"/>
      <c r="N112" s="4"/>
      <c r="O112" s="4"/>
      <c r="P112" s="20"/>
      <c r="Q112" s="2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G112" s="4"/>
      <c r="AH112" s="4"/>
      <c r="AI112" s="4"/>
      <c r="AL112" s="4"/>
      <c r="AM112" s="4"/>
      <c r="AN112" s="4"/>
    </row>
    <row r="113" spans="13:31"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spans="13:31"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spans="13:31"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spans="13:31"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spans="13:31"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pans="13:31"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13:31"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opLeftCell="L1" zoomScale="70" zoomScaleNormal="70" workbookViewId="0">
      <selection activeCell="L2" sqref="A2:XFD119"/>
    </sheetView>
  </sheetViews>
  <sheetFormatPr defaultRowHeight="15.6"/>
  <cols>
    <col min="1" max="9" width="12.09765625" style="1" customWidth="1"/>
    <col min="10" max="10" width="14.8984375" style="1" customWidth="1"/>
    <col min="11" max="44" width="12.09765625" style="1" customWidth="1"/>
  </cols>
  <sheetData>
    <row r="1" spans="1:32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2"/>
    </row>
    <row r="2" spans="1:32">
      <c r="A2" s="20" t="s">
        <v>87</v>
      </c>
      <c r="B2" s="20">
        <v>220029640</v>
      </c>
      <c r="C2" s="20" t="s">
        <v>88</v>
      </c>
      <c r="D2" s="20" t="s">
        <v>89</v>
      </c>
      <c r="E2" s="20">
        <v>400454000062</v>
      </c>
      <c r="F2" s="20" t="s">
        <v>90</v>
      </c>
      <c r="G2" s="20" t="s">
        <v>90</v>
      </c>
      <c r="H2" s="20" t="s">
        <v>91</v>
      </c>
      <c r="I2" s="20" t="s">
        <v>92</v>
      </c>
      <c r="J2" s="19" t="s">
        <v>93</v>
      </c>
      <c r="L2" s="20">
        <v>0</v>
      </c>
      <c r="M2" s="20" t="s">
        <v>95</v>
      </c>
      <c r="N2" s="20" t="s">
        <v>91</v>
      </c>
      <c r="O2" s="20">
        <v>0</v>
      </c>
      <c r="P2" s="20">
        <v>40</v>
      </c>
      <c r="Q2" s="20">
        <v>-0.21</v>
      </c>
      <c r="R2" s="20">
        <v>1287.6099999999999</v>
      </c>
      <c r="S2" s="20">
        <v>0.08</v>
      </c>
      <c r="T2" s="20">
        <v>0.9</v>
      </c>
      <c r="U2" s="20">
        <v>0.18</v>
      </c>
      <c r="V2" s="20">
        <v>0.09</v>
      </c>
      <c r="W2" s="20">
        <v>0.06</v>
      </c>
      <c r="X2" s="20">
        <v>105</v>
      </c>
      <c r="Y2" s="20">
        <v>87</v>
      </c>
      <c r="Z2" s="20">
        <v>124</v>
      </c>
      <c r="AA2" s="20">
        <v>140</v>
      </c>
      <c r="AB2" s="20">
        <v>105</v>
      </c>
      <c r="AC2" s="20">
        <v>87</v>
      </c>
      <c r="AD2" s="20">
        <v>124</v>
      </c>
      <c r="AE2" s="20">
        <v>140</v>
      </c>
    </row>
    <row r="3" spans="1:32">
      <c r="A3" s="20" t="s">
        <v>87</v>
      </c>
      <c r="B3" s="20">
        <v>220029640</v>
      </c>
      <c r="C3" s="20" t="s">
        <v>88</v>
      </c>
      <c r="D3" s="20" t="s">
        <v>89</v>
      </c>
      <c r="E3" s="20">
        <v>400454000062</v>
      </c>
      <c r="F3" s="20" t="s">
        <v>90</v>
      </c>
      <c r="G3" s="20" t="s">
        <v>90</v>
      </c>
      <c r="H3" s="20" t="s">
        <v>91</v>
      </c>
      <c r="I3" s="20" t="s">
        <v>92</v>
      </c>
      <c r="J3" s="19" t="s">
        <v>93</v>
      </c>
      <c r="L3" s="20">
        <v>0</v>
      </c>
      <c r="M3" s="20" t="s">
        <v>95</v>
      </c>
      <c r="N3" s="20" t="s">
        <v>91</v>
      </c>
      <c r="O3" s="20">
        <v>0</v>
      </c>
      <c r="P3" s="20">
        <v>45</v>
      </c>
      <c r="Q3" s="20">
        <v>0.75</v>
      </c>
      <c r="R3" s="20">
        <v>1287.694</v>
      </c>
      <c r="S3" s="20">
        <v>0.09</v>
      </c>
      <c r="T3" s="20">
        <v>0.86</v>
      </c>
      <c r="U3" s="20">
        <v>0.18</v>
      </c>
      <c r="V3" s="20">
        <v>0.09</v>
      </c>
      <c r="W3" s="20">
        <v>0.06</v>
      </c>
      <c r="X3" s="20">
        <v>105</v>
      </c>
      <c r="Y3" s="20">
        <v>87</v>
      </c>
      <c r="Z3" s="20">
        <v>124</v>
      </c>
      <c r="AA3" s="20">
        <v>140</v>
      </c>
      <c r="AB3" s="20">
        <v>105</v>
      </c>
      <c r="AC3" s="20">
        <v>87</v>
      </c>
      <c r="AD3" s="20">
        <v>124</v>
      </c>
      <c r="AE3" s="20">
        <v>140</v>
      </c>
    </row>
    <row r="4" spans="1:32">
      <c r="A4" s="20" t="s">
        <v>87</v>
      </c>
      <c r="B4" s="20">
        <v>220029640</v>
      </c>
      <c r="C4" s="20" t="s">
        <v>88</v>
      </c>
      <c r="D4" s="20" t="s">
        <v>89</v>
      </c>
      <c r="E4" s="20">
        <v>400454000062</v>
      </c>
      <c r="F4" s="20" t="s">
        <v>90</v>
      </c>
      <c r="G4" s="20" t="s">
        <v>90</v>
      </c>
      <c r="H4" s="20" t="s">
        <v>91</v>
      </c>
      <c r="I4" s="20" t="s">
        <v>92</v>
      </c>
      <c r="J4" s="19" t="s">
        <v>93</v>
      </c>
      <c r="L4" s="20">
        <v>0</v>
      </c>
      <c r="M4" s="20" t="s">
        <v>95</v>
      </c>
      <c r="N4" s="20" t="s">
        <v>91</v>
      </c>
      <c r="O4" s="20">
        <v>0</v>
      </c>
      <c r="P4" s="20">
        <v>50</v>
      </c>
      <c r="Q4" s="20">
        <v>1.76</v>
      </c>
      <c r="R4" s="20">
        <v>1287.78</v>
      </c>
      <c r="S4" s="20">
        <v>0.09</v>
      </c>
      <c r="T4" s="20">
        <v>0.89</v>
      </c>
      <c r="U4" s="20">
        <v>0.18</v>
      </c>
      <c r="V4" s="20">
        <v>0.09</v>
      </c>
      <c r="W4" s="20">
        <v>0.06</v>
      </c>
      <c r="X4" s="20">
        <v>105</v>
      </c>
      <c r="Y4" s="20">
        <v>87</v>
      </c>
      <c r="Z4" s="20">
        <v>125</v>
      </c>
      <c r="AA4" s="20">
        <v>140</v>
      </c>
      <c r="AB4" s="20">
        <v>105</v>
      </c>
      <c r="AC4" s="20">
        <v>87</v>
      </c>
      <c r="AD4" s="20">
        <v>125</v>
      </c>
      <c r="AE4" s="20">
        <v>140</v>
      </c>
    </row>
    <row r="5" spans="1:32">
      <c r="A5" s="20" t="s">
        <v>87</v>
      </c>
      <c r="B5" s="20">
        <v>220029640</v>
      </c>
      <c r="C5" s="20" t="s">
        <v>88</v>
      </c>
      <c r="D5" s="20" t="s">
        <v>89</v>
      </c>
      <c r="E5" s="20">
        <v>400454000062</v>
      </c>
      <c r="F5" s="20" t="s">
        <v>90</v>
      </c>
      <c r="G5" s="20" t="s">
        <v>90</v>
      </c>
      <c r="H5" s="20" t="s">
        <v>91</v>
      </c>
      <c r="I5" s="20" t="s">
        <v>92</v>
      </c>
      <c r="J5" s="19" t="s">
        <v>93</v>
      </c>
      <c r="L5" s="20">
        <v>0</v>
      </c>
      <c r="M5" s="20" t="s">
        <v>95</v>
      </c>
      <c r="N5" s="20" t="s">
        <v>91</v>
      </c>
      <c r="O5" s="20">
        <v>0</v>
      </c>
      <c r="P5" s="20">
        <v>55</v>
      </c>
      <c r="Q5" s="20">
        <v>2.7</v>
      </c>
      <c r="R5" s="20">
        <v>1287.8679999999999</v>
      </c>
      <c r="S5" s="20">
        <v>0.09</v>
      </c>
      <c r="T5" s="20">
        <v>0.94</v>
      </c>
      <c r="U5" s="20">
        <v>0.18</v>
      </c>
      <c r="V5" s="20">
        <v>0.09</v>
      </c>
      <c r="W5" s="20">
        <v>0.06</v>
      </c>
      <c r="X5" s="20">
        <v>105</v>
      </c>
      <c r="Y5" s="20">
        <v>88</v>
      </c>
      <c r="Z5" s="20">
        <v>126</v>
      </c>
      <c r="AA5" s="20">
        <v>140</v>
      </c>
      <c r="AB5" s="20">
        <v>105</v>
      </c>
      <c r="AC5" s="20">
        <v>88</v>
      </c>
      <c r="AD5" s="20">
        <v>126</v>
      </c>
      <c r="AE5" s="20">
        <v>140</v>
      </c>
    </row>
    <row r="6" spans="1:32">
      <c r="A6" s="20" t="s">
        <v>87</v>
      </c>
      <c r="B6" s="20">
        <v>220029640</v>
      </c>
      <c r="C6" s="20" t="s">
        <v>88</v>
      </c>
      <c r="D6" s="20" t="s">
        <v>89</v>
      </c>
      <c r="E6" s="20">
        <v>400454000062</v>
      </c>
      <c r="F6" s="20" t="s">
        <v>90</v>
      </c>
      <c r="G6" s="20" t="s">
        <v>90</v>
      </c>
      <c r="H6" s="20" t="s">
        <v>91</v>
      </c>
      <c r="I6" s="20" t="s">
        <v>92</v>
      </c>
      <c r="J6" s="19" t="s">
        <v>93</v>
      </c>
      <c r="L6" s="20">
        <v>0</v>
      </c>
      <c r="M6" s="20" t="s">
        <v>95</v>
      </c>
      <c r="N6" s="20" t="s">
        <v>91</v>
      </c>
      <c r="O6" s="20">
        <v>0</v>
      </c>
      <c r="P6" s="20">
        <v>60</v>
      </c>
      <c r="Q6" s="20">
        <v>3.69</v>
      </c>
      <c r="R6" s="20">
        <v>1287.9570000000001</v>
      </c>
      <c r="S6" s="20">
        <v>0.09</v>
      </c>
      <c r="T6" s="20">
        <v>0.96</v>
      </c>
      <c r="U6" s="20">
        <v>0.18</v>
      </c>
      <c r="V6" s="20">
        <v>0.09</v>
      </c>
      <c r="W6" s="20">
        <v>0.06</v>
      </c>
      <c r="X6" s="20">
        <v>105</v>
      </c>
      <c r="Y6" s="20">
        <v>88</v>
      </c>
      <c r="Z6" s="20">
        <v>127</v>
      </c>
      <c r="AA6" s="20">
        <v>140</v>
      </c>
      <c r="AB6" s="20">
        <v>105</v>
      </c>
      <c r="AC6" s="20">
        <v>88</v>
      </c>
      <c r="AD6" s="20">
        <v>127</v>
      </c>
      <c r="AE6" s="20">
        <v>140</v>
      </c>
    </row>
    <row r="7" spans="1:32">
      <c r="A7" s="20" t="s">
        <v>87</v>
      </c>
      <c r="B7" s="20">
        <v>220029640</v>
      </c>
      <c r="C7" s="20" t="s">
        <v>88</v>
      </c>
      <c r="D7" s="20" t="s">
        <v>89</v>
      </c>
      <c r="E7" s="20">
        <v>400454000062</v>
      </c>
      <c r="F7" s="20" t="s">
        <v>90</v>
      </c>
      <c r="G7" s="20" t="s">
        <v>90</v>
      </c>
      <c r="H7" s="20" t="s">
        <v>91</v>
      </c>
      <c r="I7" s="20" t="s">
        <v>92</v>
      </c>
      <c r="J7" s="19" t="s">
        <v>93</v>
      </c>
      <c r="L7" s="20">
        <v>0</v>
      </c>
      <c r="M7" s="20" t="s">
        <v>95</v>
      </c>
      <c r="N7" s="20" t="s">
        <v>91</v>
      </c>
      <c r="O7" s="20">
        <v>0</v>
      </c>
      <c r="P7" s="20">
        <v>65</v>
      </c>
      <c r="Q7" s="20">
        <v>4.67</v>
      </c>
      <c r="R7" s="20">
        <v>1288.0440000000001</v>
      </c>
      <c r="S7" s="20">
        <v>0.09</v>
      </c>
      <c r="T7" s="20">
        <v>1.02</v>
      </c>
      <c r="U7" s="20">
        <v>0.18</v>
      </c>
      <c r="V7" s="20">
        <v>0.09</v>
      </c>
      <c r="W7" s="20">
        <v>0.06</v>
      </c>
      <c r="X7" s="20">
        <v>105</v>
      </c>
      <c r="Y7" s="20">
        <v>88</v>
      </c>
      <c r="Z7" s="20">
        <v>127</v>
      </c>
      <c r="AA7" s="20">
        <v>140</v>
      </c>
      <c r="AB7" s="20">
        <v>105</v>
      </c>
      <c r="AC7" s="20">
        <v>88</v>
      </c>
      <c r="AD7" s="20">
        <v>127</v>
      </c>
      <c r="AE7" s="20">
        <v>140</v>
      </c>
    </row>
    <row r="8" spans="1:32">
      <c r="A8" s="20" t="s">
        <v>87</v>
      </c>
      <c r="B8" s="20">
        <v>220029640</v>
      </c>
      <c r="C8" s="20" t="s">
        <v>88</v>
      </c>
      <c r="D8" s="20" t="s">
        <v>89</v>
      </c>
      <c r="E8" s="20">
        <v>400454000062</v>
      </c>
      <c r="F8" s="20" t="s">
        <v>90</v>
      </c>
      <c r="G8" s="20" t="s">
        <v>90</v>
      </c>
      <c r="H8" s="20" t="s">
        <v>91</v>
      </c>
      <c r="I8" s="20" t="s">
        <v>92</v>
      </c>
      <c r="J8" s="19" t="s">
        <v>93</v>
      </c>
      <c r="L8" s="20">
        <v>0</v>
      </c>
      <c r="M8" s="20" t="s">
        <v>95</v>
      </c>
      <c r="N8" s="20" t="s">
        <v>91</v>
      </c>
      <c r="O8" s="20">
        <v>0</v>
      </c>
      <c r="P8" s="20">
        <v>70</v>
      </c>
      <c r="Q8" s="20">
        <v>5.61</v>
      </c>
      <c r="R8" s="20">
        <v>1288.1300000000001</v>
      </c>
      <c r="S8" s="20">
        <v>0.09</v>
      </c>
      <c r="T8" s="20">
        <v>1.03</v>
      </c>
      <c r="U8" s="20">
        <v>0.18</v>
      </c>
      <c r="V8" s="20">
        <v>0.09</v>
      </c>
      <c r="W8" s="20">
        <v>0.06</v>
      </c>
      <c r="X8" s="20">
        <v>105</v>
      </c>
      <c r="Y8" s="20">
        <v>88</v>
      </c>
      <c r="Z8" s="20">
        <v>128</v>
      </c>
      <c r="AA8" s="20">
        <v>140</v>
      </c>
      <c r="AB8" s="20">
        <v>105</v>
      </c>
      <c r="AC8" s="20">
        <v>88</v>
      </c>
      <c r="AD8" s="20">
        <v>128</v>
      </c>
      <c r="AE8" s="20">
        <v>140</v>
      </c>
    </row>
    <row r="9" spans="1:32">
      <c r="A9" s="20" t="s">
        <v>87</v>
      </c>
      <c r="B9" s="20">
        <v>220029640</v>
      </c>
      <c r="C9" s="20" t="s">
        <v>88</v>
      </c>
      <c r="D9" s="20" t="s">
        <v>89</v>
      </c>
      <c r="E9" s="20">
        <v>400454000062</v>
      </c>
      <c r="F9" s="20" t="s">
        <v>90</v>
      </c>
      <c r="G9" s="20" t="s">
        <v>90</v>
      </c>
      <c r="H9" s="20" t="s">
        <v>91</v>
      </c>
      <c r="I9" s="20" t="s">
        <v>92</v>
      </c>
      <c r="J9" s="19" t="s">
        <v>93</v>
      </c>
      <c r="L9" s="20">
        <v>0</v>
      </c>
      <c r="M9" s="20" t="s">
        <v>95</v>
      </c>
      <c r="N9" s="20" t="s">
        <v>91</v>
      </c>
      <c r="O9" s="20">
        <v>0</v>
      </c>
      <c r="P9" s="20">
        <v>75</v>
      </c>
      <c r="Q9" s="20">
        <v>6.5</v>
      </c>
      <c r="R9" s="20">
        <v>1288.2139999999999</v>
      </c>
      <c r="S9" s="20">
        <v>0.09</v>
      </c>
      <c r="T9" s="20">
        <v>1.01</v>
      </c>
      <c r="U9" s="20">
        <v>0.18</v>
      </c>
      <c r="V9" s="20">
        <v>0.09</v>
      </c>
      <c r="W9" s="20">
        <v>0.06</v>
      </c>
      <c r="X9" s="20">
        <v>105</v>
      </c>
      <c r="Y9" s="20">
        <v>88</v>
      </c>
      <c r="Z9" s="20">
        <v>129</v>
      </c>
      <c r="AA9" s="20">
        <v>140</v>
      </c>
      <c r="AB9" s="20">
        <v>105</v>
      </c>
      <c r="AC9" s="20">
        <v>88</v>
      </c>
      <c r="AD9" s="20">
        <v>129</v>
      </c>
      <c r="AE9" s="20">
        <v>140</v>
      </c>
    </row>
    <row r="10" spans="1:32">
      <c r="A10" s="20" t="s">
        <v>87</v>
      </c>
      <c r="B10" s="20">
        <v>220029640</v>
      </c>
      <c r="C10" s="20" t="s">
        <v>88</v>
      </c>
      <c r="D10" s="20" t="s">
        <v>89</v>
      </c>
      <c r="E10" s="20">
        <v>400454000062</v>
      </c>
      <c r="F10" s="20" t="s">
        <v>90</v>
      </c>
      <c r="G10" s="20" t="s">
        <v>90</v>
      </c>
      <c r="H10" s="20" t="s">
        <v>91</v>
      </c>
      <c r="I10" s="20" t="s">
        <v>92</v>
      </c>
      <c r="J10" s="19" t="s">
        <v>93</v>
      </c>
      <c r="L10" s="20">
        <v>0</v>
      </c>
      <c r="M10" s="20" t="s">
        <v>95</v>
      </c>
      <c r="N10" s="20" t="s">
        <v>91</v>
      </c>
      <c r="O10" s="20">
        <v>0</v>
      </c>
      <c r="P10" s="20">
        <v>80</v>
      </c>
      <c r="Q10" s="20">
        <v>7.41</v>
      </c>
      <c r="R10" s="20">
        <v>1288.298</v>
      </c>
      <c r="S10" s="20">
        <v>0.09</v>
      </c>
      <c r="T10" s="20">
        <v>1.04</v>
      </c>
      <c r="U10" s="20">
        <v>0.18</v>
      </c>
      <c r="V10" s="20">
        <v>0.09</v>
      </c>
      <c r="W10" s="20">
        <v>0.06</v>
      </c>
      <c r="X10" s="20">
        <v>105</v>
      </c>
      <c r="Y10" s="20">
        <v>89</v>
      </c>
      <c r="Z10" s="20">
        <v>129</v>
      </c>
      <c r="AA10" s="20">
        <v>140</v>
      </c>
      <c r="AB10" s="20">
        <v>105</v>
      </c>
      <c r="AC10" s="20">
        <v>89</v>
      </c>
      <c r="AD10" s="20">
        <v>129</v>
      </c>
      <c r="AE10" s="20">
        <v>140</v>
      </c>
    </row>
    <row r="11" spans="1:32">
      <c r="A11" s="20" t="s">
        <v>87</v>
      </c>
      <c r="B11" s="20">
        <v>220029640</v>
      </c>
      <c r="C11" s="20" t="s">
        <v>88</v>
      </c>
      <c r="D11" s="20" t="s">
        <v>89</v>
      </c>
      <c r="E11" s="20">
        <v>400454000062</v>
      </c>
      <c r="F11" s="20" t="s">
        <v>90</v>
      </c>
      <c r="G11" s="20" t="s">
        <v>90</v>
      </c>
      <c r="H11" s="20" t="s">
        <v>91</v>
      </c>
      <c r="I11" s="20" t="s">
        <v>92</v>
      </c>
      <c r="J11" s="19" t="s">
        <v>93</v>
      </c>
      <c r="L11" s="20">
        <v>0</v>
      </c>
      <c r="M11" s="20" t="s">
        <v>95</v>
      </c>
      <c r="N11" s="20" t="s">
        <v>91</v>
      </c>
      <c r="O11" s="20">
        <v>0</v>
      </c>
      <c r="P11" s="20">
        <v>85</v>
      </c>
      <c r="Q11" s="20">
        <v>8.3000000000000007</v>
      </c>
      <c r="R11" s="20">
        <v>1288.3789999999999</v>
      </c>
      <c r="S11" s="20">
        <v>0.09</v>
      </c>
      <c r="T11" s="20">
        <v>1.04</v>
      </c>
      <c r="U11" s="20">
        <v>0.18</v>
      </c>
      <c r="V11" s="20">
        <v>0.09</v>
      </c>
      <c r="W11" s="20">
        <v>0.06</v>
      </c>
      <c r="X11" s="20">
        <v>105</v>
      </c>
      <c r="Y11" s="20">
        <v>89</v>
      </c>
      <c r="Z11" s="20">
        <v>130</v>
      </c>
      <c r="AA11" s="20">
        <v>141</v>
      </c>
      <c r="AB11" s="20">
        <v>105</v>
      </c>
      <c r="AC11" s="20">
        <v>89</v>
      </c>
      <c r="AD11" s="20">
        <v>130</v>
      </c>
      <c r="AE11" s="20">
        <v>141</v>
      </c>
    </row>
    <row r="12" spans="1:32">
      <c r="A12" s="20" t="s">
        <v>87</v>
      </c>
      <c r="B12" s="20">
        <v>220029640</v>
      </c>
      <c r="C12" s="20" t="s">
        <v>88</v>
      </c>
      <c r="D12" s="20" t="s">
        <v>89</v>
      </c>
      <c r="E12" s="20">
        <v>400454000062</v>
      </c>
      <c r="F12" s="20" t="s">
        <v>90</v>
      </c>
      <c r="G12" s="20" t="s">
        <v>90</v>
      </c>
      <c r="H12" s="20" t="s">
        <v>91</v>
      </c>
      <c r="I12" s="20" t="s">
        <v>92</v>
      </c>
      <c r="J12" s="19" t="s">
        <v>93</v>
      </c>
      <c r="L12" s="20">
        <v>0</v>
      </c>
      <c r="M12" s="20" t="s">
        <v>95</v>
      </c>
      <c r="N12" s="20" t="s">
        <v>91</v>
      </c>
      <c r="O12" s="20">
        <v>0</v>
      </c>
      <c r="P12" s="20">
        <v>90</v>
      </c>
      <c r="Q12" s="20">
        <v>9.17</v>
      </c>
      <c r="R12" s="20">
        <v>1288.461</v>
      </c>
      <c r="S12" s="20">
        <v>0.09</v>
      </c>
      <c r="T12" s="20">
        <v>1.06</v>
      </c>
      <c r="U12" s="20">
        <v>0.18</v>
      </c>
      <c r="V12" s="20">
        <v>0.09</v>
      </c>
      <c r="W12" s="20">
        <v>0.06</v>
      </c>
      <c r="X12" s="20">
        <v>105</v>
      </c>
      <c r="Y12" s="20">
        <v>89</v>
      </c>
      <c r="Z12" s="20">
        <v>131</v>
      </c>
      <c r="AA12" s="20">
        <v>141</v>
      </c>
      <c r="AB12" s="20">
        <v>105</v>
      </c>
      <c r="AC12" s="20">
        <v>89</v>
      </c>
      <c r="AD12" s="20">
        <v>131</v>
      </c>
      <c r="AE12" s="20">
        <v>141</v>
      </c>
    </row>
    <row r="13" spans="1:32">
      <c r="A13" s="20" t="s">
        <v>87</v>
      </c>
      <c r="B13" s="20">
        <v>220029640</v>
      </c>
      <c r="C13" s="20" t="s">
        <v>88</v>
      </c>
      <c r="D13" s="20" t="s">
        <v>89</v>
      </c>
      <c r="E13" s="20">
        <v>400454000062</v>
      </c>
      <c r="F13" s="20" t="s">
        <v>90</v>
      </c>
      <c r="G13" s="20" t="s">
        <v>90</v>
      </c>
      <c r="H13" s="20" t="s">
        <v>91</v>
      </c>
      <c r="I13" s="20" t="s">
        <v>92</v>
      </c>
      <c r="J13" s="19" t="s">
        <v>93</v>
      </c>
      <c r="L13" s="20">
        <v>0</v>
      </c>
      <c r="M13" s="20" t="s">
        <v>95</v>
      </c>
      <c r="N13" s="20" t="s">
        <v>91</v>
      </c>
      <c r="O13" s="20">
        <v>0</v>
      </c>
      <c r="P13" s="20">
        <v>95</v>
      </c>
      <c r="Q13" s="20">
        <v>10.050000000000001</v>
      </c>
      <c r="R13" s="20">
        <v>1288.54</v>
      </c>
      <c r="S13" s="20">
        <v>0.09</v>
      </c>
      <c r="T13" s="20">
        <v>1.08</v>
      </c>
      <c r="U13" s="20">
        <v>0.18</v>
      </c>
      <c r="V13" s="20">
        <v>0.09</v>
      </c>
      <c r="W13" s="20">
        <v>0.06</v>
      </c>
      <c r="X13" s="20">
        <v>105</v>
      </c>
      <c r="Y13" s="20">
        <v>90</v>
      </c>
      <c r="Z13" s="20">
        <v>132</v>
      </c>
      <c r="AA13" s="20">
        <v>141</v>
      </c>
      <c r="AB13" s="20">
        <v>105</v>
      </c>
      <c r="AC13" s="20">
        <v>90</v>
      </c>
      <c r="AD13" s="20">
        <v>132</v>
      </c>
      <c r="AE13" s="20">
        <v>141</v>
      </c>
    </row>
    <row r="14" spans="1:32">
      <c r="A14" s="20" t="s">
        <v>87</v>
      </c>
      <c r="B14" s="20">
        <v>220029640</v>
      </c>
      <c r="C14" s="20" t="s">
        <v>88</v>
      </c>
      <c r="D14" s="20" t="s">
        <v>89</v>
      </c>
      <c r="E14" s="20">
        <v>400454000062</v>
      </c>
      <c r="F14" s="20" t="s">
        <v>90</v>
      </c>
      <c r="G14" s="20" t="s">
        <v>90</v>
      </c>
      <c r="H14" s="20" t="s">
        <v>91</v>
      </c>
      <c r="I14" s="20" t="s">
        <v>92</v>
      </c>
      <c r="J14" s="19" t="s">
        <v>93</v>
      </c>
      <c r="L14" s="20">
        <v>0</v>
      </c>
      <c r="M14" s="20" t="s">
        <v>95</v>
      </c>
      <c r="N14" s="20" t="s">
        <v>91</v>
      </c>
      <c r="O14" s="20">
        <v>0</v>
      </c>
      <c r="P14" s="20">
        <v>100</v>
      </c>
      <c r="Q14" s="20">
        <v>10.95</v>
      </c>
      <c r="R14" s="20">
        <v>1288.6189999999999</v>
      </c>
      <c r="S14" s="20">
        <v>0.09</v>
      </c>
      <c r="T14" s="20">
        <v>1.1200000000000001</v>
      </c>
      <c r="U14" s="20">
        <v>0.18</v>
      </c>
      <c r="V14" s="20">
        <v>0.09</v>
      </c>
      <c r="W14" s="20">
        <v>0.06</v>
      </c>
      <c r="X14" s="20">
        <v>106</v>
      </c>
      <c r="Y14" s="20">
        <v>90</v>
      </c>
      <c r="Z14" s="20">
        <v>133</v>
      </c>
      <c r="AA14" s="20">
        <v>141</v>
      </c>
      <c r="AB14" s="20">
        <v>106</v>
      </c>
      <c r="AC14" s="20">
        <v>90</v>
      </c>
      <c r="AD14" s="20">
        <v>133</v>
      </c>
      <c r="AE14" s="20">
        <v>141</v>
      </c>
    </row>
    <row r="15" spans="1:32">
      <c r="A15" s="20" t="s">
        <v>87</v>
      </c>
      <c r="B15" s="20">
        <v>220029640</v>
      </c>
      <c r="C15" s="20" t="s">
        <v>88</v>
      </c>
      <c r="D15" s="20" t="s">
        <v>89</v>
      </c>
      <c r="E15" s="20">
        <v>400454000062</v>
      </c>
      <c r="F15" s="20" t="s">
        <v>90</v>
      </c>
      <c r="G15" s="20" t="s">
        <v>90</v>
      </c>
      <c r="H15" s="20" t="s">
        <v>91</v>
      </c>
      <c r="I15" s="20" t="s">
        <v>92</v>
      </c>
      <c r="J15" s="19" t="s">
        <v>93</v>
      </c>
      <c r="L15" s="20">
        <v>0</v>
      </c>
      <c r="M15" s="20" t="s">
        <v>95</v>
      </c>
      <c r="N15" s="20" t="s">
        <v>91</v>
      </c>
      <c r="O15" s="20">
        <v>0</v>
      </c>
      <c r="P15" s="20">
        <v>105</v>
      </c>
      <c r="Q15" s="20">
        <v>11.82</v>
      </c>
      <c r="R15" s="20">
        <v>1288.6990000000001</v>
      </c>
      <c r="S15" s="20">
        <v>0.09</v>
      </c>
      <c r="T15" s="20">
        <v>1.06</v>
      </c>
      <c r="U15" s="20">
        <v>0.18</v>
      </c>
      <c r="V15" s="20">
        <v>0.09</v>
      </c>
      <c r="W15" s="20">
        <v>0.06</v>
      </c>
      <c r="X15" s="20">
        <v>106</v>
      </c>
      <c r="Y15" s="20">
        <v>90</v>
      </c>
      <c r="Z15" s="20">
        <v>134</v>
      </c>
      <c r="AA15" s="20">
        <v>141</v>
      </c>
      <c r="AB15" s="20">
        <v>106</v>
      </c>
      <c r="AC15" s="20">
        <v>90</v>
      </c>
      <c r="AD15" s="20">
        <v>134</v>
      </c>
      <c r="AE15" s="20">
        <v>141</v>
      </c>
    </row>
    <row r="16" spans="1:32">
      <c r="A16" s="20" t="s">
        <v>87</v>
      </c>
      <c r="B16" s="20">
        <v>220029640</v>
      </c>
      <c r="C16" s="20" t="s">
        <v>88</v>
      </c>
      <c r="D16" s="20" t="s">
        <v>89</v>
      </c>
      <c r="E16" s="20">
        <v>400454000062</v>
      </c>
      <c r="F16" s="20" t="s">
        <v>90</v>
      </c>
      <c r="G16" s="20" t="s">
        <v>90</v>
      </c>
      <c r="H16" s="20" t="s">
        <v>91</v>
      </c>
      <c r="I16" s="20" t="s">
        <v>92</v>
      </c>
      <c r="J16" s="19" t="s">
        <v>93</v>
      </c>
      <c r="L16" s="20">
        <v>0</v>
      </c>
      <c r="M16" s="20" t="s">
        <v>95</v>
      </c>
      <c r="N16" s="20" t="s">
        <v>91</v>
      </c>
      <c r="O16" s="20">
        <v>0</v>
      </c>
      <c r="P16" s="20">
        <v>110</v>
      </c>
      <c r="Q16" s="20">
        <v>12.69</v>
      </c>
      <c r="R16" s="20">
        <v>1288.78</v>
      </c>
      <c r="S16" s="20">
        <v>0.09</v>
      </c>
      <c r="T16" s="20">
        <v>1.05</v>
      </c>
      <c r="U16" s="20">
        <v>0.18</v>
      </c>
      <c r="V16" s="20">
        <v>0.09</v>
      </c>
      <c r="W16" s="20">
        <v>0.06</v>
      </c>
      <c r="X16" s="20">
        <v>106</v>
      </c>
      <c r="Y16" s="20">
        <v>90</v>
      </c>
      <c r="Z16" s="20">
        <v>135</v>
      </c>
      <c r="AA16" s="20">
        <v>141</v>
      </c>
      <c r="AB16" s="20">
        <v>106</v>
      </c>
      <c r="AC16" s="20">
        <v>90</v>
      </c>
      <c r="AD16" s="20">
        <v>135</v>
      </c>
      <c r="AE16" s="20">
        <v>141</v>
      </c>
    </row>
    <row r="17" spans="1:31">
      <c r="A17" s="20" t="s">
        <v>87</v>
      </c>
      <c r="B17" s="20">
        <v>220029640</v>
      </c>
      <c r="C17" s="20" t="s">
        <v>88</v>
      </c>
      <c r="D17" s="20" t="s">
        <v>89</v>
      </c>
      <c r="E17" s="20">
        <v>400454000062</v>
      </c>
      <c r="F17" s="20" t="s">
        <v>90</v>
      </c>
      <c r="G17" s="20" t="s">
        <v>90</v>
      </c>
      <c r="H17" s="20" t="s">
        <v>91</v>
      </c>
      <c r="I17" s="20" t="s">
        <v>92</v>
      </c>
      <c r="J17" s="19" t="s">
        <v>93</v>
      </c>
      <c r="L17" s="20">
        <v>0</v>
      </c>
      <c r="M17" s="20" t="s">
        <v>95</v>
      </c>
      <c r="N17" s="20" t="s">
        <v>91</v>
      </c>
      <c r="O17" s="20">
        <v>0</v>
      </c>
      <c r="P17" s="20">
        <v>115</v>
      </c>
      <c r="Q17" s="20">
        <v>13.56</v>
      </c>
      <c r="R17" s="20">
        <v>1288.8599999999999</v>
      </c>
      <c r="S17" s="20">
        <v>0.09</v>
      </c>
      <c r="T17" s="20">
        <v>1.08</v>
      </c>
      <c r="U17" s="20">
        <v>0.18</v>
      </c>
      <c r="V17" s="20">
        <v>0.09</v>
      </c>
      <c r="W17" s="20">
        <v>0.06</v>
      </c>
      <c r="X17" s="20">
        <v>106</v>
      </c>
      <c r="Y17" s="20">
        <v>91</v>
      </c>
      <c r="Z17" s="20">
        <v>136</v>
      </c>
      <c r="AA17" s="20">
        <v>141</v>
      </c>
      <c r="AB17" s="20">
        <v>106</v>
      </c>
      <c r="AC17" s="20">
        <v>91</v>
      </c>
      <c r="AD17" s="20">
        <v>136</v>
      </c>
      <c r="AE17" s="20">
        <v>141</v>
      </c>
    </row>
    <row r="18" spans="1:31">
      <c r="A18" s="20" t="s">
        <v>87</v>
      </c>
      <c r="B18" s="20">
        <v>220029640</v>
      </c>
      <c r="C18" s="20" t="s">
        <v>88</v>
      </c>
      <c r="D18" s="20" t="s">
        <v>89</v>
      </c>
      <c r="E18" s="20">
        <v>400454000062</v>
      </c>
      <c r="F18" s="20" t="s">
        <v>90</v>
      </c>
      <c r="G18" s="20" t="s">
        <v>90</v>
      </c>
      <c r="H18" s="20" t="s">
        <v>91</v>
      </c>
      <c r="I18" s="20" t="s">
        <v>92</v>
      </c>
      <c r="J18" s="19" t="s">
        <v>93</v>
      </c>
      <c r="L18" s="20">
        <v>0</v>
      </c>
      <c r="M18" s="20" t="s">
        <v>95</v>
      </c>
      <c r="N18" s="20" t="s">
        <v>91</v>
      </c>
      <c r="O18" s="20">
        <v>0</v>
      </c>
      <c r="P18" s="20">
        <v>120</v>
      </c>
      <c r="Q18" s="20">
        <v>14.41</v>
      </c>
      <c r="R18" s="20">
        <v>1288.9390000000001</v>
      </c>
      <c r="S18" s="20">
        <v>0.09</v>
      </c>
      <c r="T18" s="20">
        <v>1.04</v>
      </c>
      <c r="U18" s="20">
        <v>0.18</v>
      </c>
      <c r="V18" s="20">
        <v>0.09</v>
      </c>
      <c r="W18" s="20">
        <v>0.06</v>
      </c>
      <c r="X18" s="20">
        <v>106</v>
      </c>
      <c r="Y18" s="20">
        <v>91</v>
      </c>
      <c r="Z18" s="20">
        <v>137</v>
      </c>
      <c r="AA18" s="20">
        <v>142</v>
      </c>
      <c r="AB18" s="20">
        <v>106</v>
      </c>
      <c r="AC18" s="20">
        <v>91</v>
      </c>
      <c r="AD18" s="20">
        <v>137</v>
      </c>
      <c r="AE18" s="20">
        <v>142</v>
      </c>
    </row>
    <row r="19" spans="1:31">
      <c r="A19" s="20" t="s">
        <v>87</v>
      </c>
      <c r="B19" s="20">
        <v>220029640</v>
      </c>
      <c r="C19" s="20" t="s">
        <v>88</v>
      </c>
      <c r="D19" s="20" t="s">
        <v>89</v>
      </c>
      <c r="E19" s="20">
        <v>400454000062</v>
      </c>
      <c r="F19" s="20" t="s">
        <v>90</v>
      </c>
      <c r="G19" s="20" t="s">
        <v>90</v>
      </c>
      <c r="H19" s="20" t="s">
        <v>91</v>
      </c>
      <c r="I19" s="20" t="s">
        <v>92</v>
      </c>
      <c r="J19" s="19" t="s">
        <v>93</v>
      </c>
      <c r="L19" s="20">
        <v>0</v>
      </c>
      <c r="M19" s="20" t="s">
        <v>95</v>
      </c>
      <c r="N19" s="20" t="s">
        <v>91</v>
      </c>
      <c r="O19" s="20">
        <v>0</v>
      </c>
      <c r="P19" s="20">
        <v>125</v>
      </c>
      <c r="Q19" s="20">
        <v>15.26</v>
      </c>
      <c r="R19" s="20">
        <v>1289.02</v>
      </c>
      <c r="S19" s="20">
        <v>0.1</v>
      </c>
      <c r="T19" s="20">
        <v>1.07</v>
      </c>
      <c r="U19" s="20">
        <v>0.18</v>
      </c>
      <c r="V19" s="20">
        <v>0.09</v>
      </c>
      <c r="W19" s="20">
        <v>0.06</v>
      </c>
      <c r="X19" s="20">
        <v>106</v>
      </c>
      <c r="Y19" s="20">
        <v>92</v>
      </c>
      <c r="Z19" s="20">
        <v>138</v>
      </c>
      <c r="AA19" s="20">
        <v>142</v>
      </c>
      <c r="AB19" s="20">
        <v>106</v>
      </c>
      <c r="AC19" s="20">
        <v>92</v>
      </c>
      <c r="AD19" s="20">
        <v>138</v>
      </c>
      <c r="AE19" s="20">
        <v>142</v>
      </c>
    </row>
    <row r="20" spans="1:31">
      <c r="A20" s="20" t="s">
        <v>87</v>
      </c>
      <c r="B20" s="20">
        <v>220029640</v>
      </c>
      <c r="C20" s="20" t="s">
        <v>88</v>
      </c>
      <c r="D20" s="20" t="s">
        <v>89</v>
      </c>
      <c r="E20" s="20">
        <v>400454000062</v>
      </c>
      <c r="F20" s="20" t="s">
        <v>90</v>
      </c>
      <c r="G20" s="20" t="s">
        <v>90</v>
      </c>
      <c r="H20" s="20" t="s">
        <v>91</v>
      </c>
      <c r="I20" s="20" t="s">
        <v>92</v>
      </c>
      <c r="J20" s="19" t="s">
        <v>93</v>
      </c>
      <c r="L20" s="20">
        <v>0</v>
      </c>
      <c r="M20" s="20" t="s">
        <v>95</v>
      </c>
      <c r="N20" s="20" t="s">
        <v>91</v>
      </c>
      <c r="O20" s="20">
        <v>0</v>
      </c>
      <c r="P20" s="20">
        <v>130</v>
      </c>
      <c r="Q20" s="20">
        <v>16.12</v>
      </c>
      <c r="R20" s="20">
        <v>1289.098</v>
      </c>
      <c r="S20" s="20">
        <v>0.09</v>
      </c>
      <c r="T20" s="20">
        <v>1.07</v>
      </c>
      <c r="U20" s="20">
        <v>0.18</v>
      </c>
      <c r="V20" s="20">
        <v>0.09</v>
      </c>
      <c r="W20" s="20">
        <v>0.06</v>
      </c>
      <c r="X20" s="20">
        <v>107</v>
      </c>
      <c r="Y20" s="20">
        <v>92</v>
      </c>
      <c r="Z20" s="20">
        <v>138</v>
      </c>
      <c r="AA20" s="20">
        <v>142</v>
      </c>
      <c r="AB20" s="20">
        <v>107</v>
      </c>
      <c r="AC20" s="20">
        <v>92</v>
      </c>
      <c r="AD20" s="20">
        <v>138</v>
      </c>
      <c r="AE20" s="20">
        <v>142</v>
      </c>
    </row>
    <row r="21" spans="1:31">
      <c r="A21" s="20" t="s">
        <v>87</v>
      </c>
      <c r="B21" s="20">
        <v>220029640</v>
      </c>
      <c r="C21" s="20" t="s">
        <v>88</v>
      </c>
      <c r="D21" s="20" t="s">
        <v>89</v>
      </c>
      <c r="E21" s="20">
        <v>400454000062</v>
      </c>
      <c r="F21" s="20" t="s">
        <v>90</v>
      </c>
      <c r="G21" s="20" t="s">
        <v>90</v>
      </c>
      <c r="H21" s="20" t="s">
        <v>91</v>
      </c>
      <c r="I21" s="20" t="s">
        <v>92</v>
      </c>
      <c r="J21" s="19" t="s">
        <v>93</v>
      </c>
      <c r="L21" s="20">
        <v>0</v>
      </c>
      <c r="M21" s="20" t="s">
        <v>95</v>
      </c>
      <c r="N21" s="20" t="s">
        <v>91</v>
      </c>
      <c r="O21" s="20">
        <v>0</v>
      </c>
      <c r="P21" s="20">
        <v>135</v>
      </c>
      <c r="Q21" s="20">
        <v>16.989999999999998</v>
      </c>
      <c r="R21" s="20">
        <v>1289.1769999999999</v>
      </c>
      <c r="S21" s="20">
        <v>0.09</v>
      </c>
      <c r="T21" s="20">
        <v>1.04</v>
      </c>
      <c r="U21" s="20">
        <v>0.18</v>
      </c>
      <c r="V21" s="20">
        <v>0.09</v>
      </c>
      <c r="W21" s="20">
        <v>0.06</v>
      </c>
      <c r="X21" s="20">
        <v>107</v>
      </c>
      <c r="Y21" s="20">
        <v>92</v>
      </c>
      <c r="Z21" s="20">
        <v>138</v>
      </c>
      <c r="AA21" s="20">
        <v>142</v>
      </c>
      <c r="AB21" s="20">
        <v>107</v>
      </c>
      <c r="AC21" s="20">
        <v>92</v>
      </c>
      <c r="AD21" s="20">
        <v>138</v>
      </c>
      <c r="AE21" s="20">
        <v>142</v>
      </c>
    </row>
    <row r="22" spans="1:31">
      <c r="A22" s="20" t="s">
        <v>87</v>
      </c>
      <c r="B22" s="20">
        <v>220029640</v>
      </c>
      <c r="C22" s="20" t="s">
        <v>88</v>
      </c>
      <c r="D22" s="20" t="s">
        <v>89</v>
      </c>
      <c r="E22" s="20">
        <v>400454000062</v>
      </c>
      <c r="F22" s="20" t="s">
        <v>90</v>
      </c>
      <c r="G22" s="20" t="s">
        <v>90</v>
      </c>
      <c r="H22" s="20" t="s">
        <v>91</v>
      </c>
      <c r="I22" s="20" t="s">
        <v>92</v>
      </c>
      <c r="J22" s="19" t="s">
        <v>93</v>
      </c>
      <c r="L22" s="20">
        <v>0</v>
      </c>
      <c r="M22" s="20" t="s">
        <v>95</v>
      </c>
      <c r="N22" s="20" t="s">
        <v>91</v>
      </c>
      <c r="O22" s="20">
        <v>0</v>
      </c>
      <c r="P22" s="20">
        <v>140</v>
      </c>
      <c r="Q22" s="20">
        <v>17.829999999999998</v>
      </c>
      <c r="R22" s="20">
        <v>1289.2539999999999</v>
      </c>
      <c r="S22" s="20">
        <v>0.09</v>
      </c>
      <c r="T22" s="20">
        <v>1.06</v>
      </c>
      <c r="U22" s="20">
        <v>0.18</v>
      </c>
      <c r="V22" s="20">
        <v>0.09</v>
      </c>
      <c r="W22" s="20">
        <v>0.06</v>
      </c>
      <c r="X22" s="20">
        <v>107</v>
      </c>
      <c r="Y22" s="20">
        <v>92</v>
      </c>
      <c r="Z22" s="20">
        <v>138</v>
      </c>
      <c r="AA22" s="20">
        <v>143</v>
      </c>
      <c r="AB22" s="20">
        <v>107</v>
      </c>
      <c r="AC22" s="20">
        <v>92</v>
      </c>
      <c r="AD22" s="20">
        <v>138</v>
      </c>
      <c r="AE22" s="20">
        <v>143</v>
      </c>
    </row>
    <row r="23" spans="1:31">
      <c r="A23" s="20" t="s">
        <v>87</v>
      </c>
      <c r="B23" s="20">
        <v>220029640</v>
      </c>
      <c r="C23" s="20" t="s">
        <v>88</v>
      </c>
      <c r="D23" s="20" t="s">
        <v>89</v>
      </c>
      <c r="E23" s="20">
        <v>400454000062</v>
      </c>
      <c r="F23" s="20" t="s">
        <v>90</v>
      </c>
      <c r="G23" s="20" t="s">
        <v>90</v>
      </c>
      <c r="H23" s="20" t="s">
        <v>91</v>
      </c>
      <c r="I23" s="20" t="s">
        <v>92</v>
      </c>
      <c r="J23" s="19" t="s">
        <v>93</v>
      </c>
      <c r="L23" s="20">
        <v>0</v>
      </c>
      <c r="M23" s="20" t="s">
        <v>95</v>
      </c>
      <c r="N23" s="20" t="s">
        <v>91</v>
      </c>
      <c r="O23" s="20">
        <v>0</v>
      </c>
      <c r="P23" s="20">
        <v>145</v>
      </c>
      <c r="Q23" s="20">
        <v>18.68</v>
      </c>
      <c r="R23" s="20">
        <v>1289.3309999999999</v>
      </c>
      <c r="S23" s="20">
        <v>0.09</v>
      </c>
      <c r="T23" s="20">
        <v>1.03</v>
      </c>
      <c r="U23" s="20">
        <v>0.18</v>
      </c>
      <c r="V23" s="20">
        <v>0.09</v>
      </c>
      <c r="W23" s="20">
        <v>0.06</v>
      </c>
      <c r="X23" s="20">
        <v>107</v>
      </c>
      <c r="Y23" s="20">
        <v>93</v>
      </c>
      <c r="Z23" s="20">
        <v>138</v>
      </c>
      <c r="AA23" s="20">
        <v>143</v>
      </c>
      <c r="AB23" s="20">
        <v>107</v>
      </c>
      <c r="AC23" s="20">
        <v>93</v>
      </c>
      <c r="AD23" s="20">
        <v>138</v>
      </c>
      <c r="AE23" s="20">
        <v>143</v>
      </c>
    </row>
    <row r="24" spans="1:31">
      <c r="A24" s="20" t="s">
        <v>87</v>
      </c>
      <c r="B24" s="20">
        <v>220029640</v>
      </c>
      <c r="C24" s="20" t="s">
        <v>88</v>
      </c>
      <c r="D24" s="20" t="s">
        <v>89</v>
      </c>
      <c r="E24" s="20">
        <v>400454000062</v>
      </c>
      <c r="F24" s="20" t="s">
        <v>90</v>
      </c>
      <c r="G24" s="20" t="s">
        <v>90</v>
      </c>
      <c r="H24" s="20" t="s">
        <v>91</v>
      </c>
      <c r="I24" s="20" t="s">
        <v>92</v>
      </c>
      <c r="J24" s="19" t="s">
        <v>93</v>
      </c>
      <c r="L24" s="20">
        <v>0</v>
      </c>
      <c r="M24" s="20" t="s">
        <v>95</v>
      </c>
      <c r="N24" s="20" t="s">
        <v>91</v>
      </c>
      <c r="O24" s="20">
        <v>0</v>
      </c>
      <c r="P24" s="20">
        <v>150</v>
      </c>
      <c r="Q24" s="20">
        <v>19.5</v>
      </c>
      <c r="R24" s="20">
        <v>1289.4090000000001</v>
      </c>
      <c r="S24" s="20">
        <v>0.1</v>
      </c>
      <c r="T24" s="20">
        <v>1.07</v>
      </c>
      <c r="U24" s="20">
        <v>0.18</v>
      </c>
      <c r="V24" s="20">
        <v>0.09</v>
      </c>
      <c r="W24" s="20">
        <v>0.06</v>
      </c>
      <c r="X24" s="20">
        <v>107</v>
      </c>
      <c r="Y24" s="20">
        <v>93</v>
      </c>
      <c r="Z24" s="20">
        <v>139</v>
      </c>
      <c r="AA24" s="20">
        <v>143</v>
      </c>
      <c r="AB24" s="20">
        <v>107</v>
      </c>
      <c r="AC24" s="20">
        <v>93</v>
      </c>
      <c r="AD24" s="20">
        <v>139</v>
      </c>
      <c r="AE24" s="20">
        <v>143</v>
      </c>
    </row>
    <row r="25" spans="1:31">
      <c r="A25" s="20" t="s">
        <v>87</v>
      </c>
      <c r="B25" s="20">
        <v>220029640</v>
      </c>
      <c r="C25" s="20" t="s">
        <v>88</v>
      </c>
      <c r="D25" s="20" t="s">
        <v>89</v>
      </c>
      <c r="E25" s="20">
        <v>400454000062</v>
      </c>
      <c r="F25" s="20" t="s">
        <v>90</v>
      </c>
      <c r="G25" s="20" t="s">
        <v>90</v>
      </c>
      <c r="H25" s="20" t="s">
        <v>91</v>
      </c>
      <c r="I25" s="20" t="s">
        <v>92</v>
      </c>
      <c r="J25" s="19" t="s">
        <v>93</v>
      </c>
      <c r="L25" s="20">
        <v>0</v>
      </c>
      <c r="M25" s="20" t="s">
        <v>95</v>
      </c>
      <c r="N25" s="20" t="s">
        <v>91</v>
      </c>
      <c r="O25" s="20">
        <v>0</v>
      </c>
      <c r="P25" s="20">
        <v>155</v>
      </c>
      <c r="Q25" s="20">
        <v>20.36</v>
      </c>
      <c r="R25" s="20">
        <v>1289.4860000000001</v>
      </c>
      <c r="S25" s="20">
        <v>0.09</v>
      </c>
      <c r="T25" s="20">
        <v>1.07</v>
      </c>
      <c r="U25" s="20">
        <v>0.18</v>
      </c>
      <c r="V25" s="20">
        <v>0.09</v>
      </c>
      <c r="W25" s="20">
        <v>0.06</v>
      </c>
      <c r="X25" s="20">
        <v>107</v>
      </c>
      <c r="Y25" s="20">
        <v>93</v>
      </c>
      <c r="Z25" s="20">
        <v>139</v>
      </c>
      <c r="AA25" s="20">
        <v>144</v>
      </c>
      <c r="AB25" s="20">
        <v>107</v>
      </c>
      <c r="AC25" s="20">
        <v>93</v>
      </c>
      <c r="AD25" s="20">
        <v>139</v>
      </c>
      <c r="AE25" s="20">
        <v>144</v>
      </c>
    </row>
    <row r="26" spans="1:31">
      <c r="A26" s="20" t="s">
        <v>87</v>
      </c>
      <c r="B26" s="20">
        <v>220029640</v>
      </c>
      <c r="C26" s="20" t="s">
        <v>88</v>
      </c>
      <c r="D26" s="20" t="s">
        <v>89</v>
      </c>
      <c r="E26" s="20">
        <v>400454000062</v>
      </c>
      <c r="F26" s="20" t="s">
        <v>90</v>
      </c>
      <c r="G26" s="20" t="s">
        <v>90</v>
      </c>
      <c r="H26" s="20" t="s">
        <v>91</v>
      </c>
      <c r="I26" s="20" t="s">
        <v>92</v>
      </c>
      <c r="J26" s="19" t="s">
        <v>93</v>
      </c>
      <c r="L26" s="20">
        <v>0</v>
      </c>
      <c r="M26" s="20" t="s">
        <v>95</v>
      </c>
      <c r="N26" s="20" t="s">
        <v>91</v>
      </c>
      <c r="O26" s="20">
        <v>0</v>
      </c>
      <c r="P26" s="20">
        <v>160</v>
      </c>
      <c r="Q26" s="20">
        <v>21.21</v>
      </c>
      <c r="R26" s="20">
        <v>1289.5619999999999</v>
      </c>
      <c r="S26" s="20">
        <v>0.09</v>
      </c>
      <c r="T26" s="20">
        <v>1.01</v>
      </c>
      <c r="U26" s="20">
        <v>0.18</v>
      </c>
      <c r="V26" s="20">
        <v>0.09</v>
      </c>
      <c r="W26" s="20">
        <v>0.06</v>
      </c>
      <c r="X26" s="20">
        <v>107</v>
      </c>
      <c r="Y26" s="20">
        <v>94</v>
      </c>
      <c r="Z26" s="20">
        <v>140</v>
      </c>
      <c r="AA26" s="20">
        <v>144</v>
      </c>
      <c r="AB26" s="20">
        <v>107</v>
      </c>
      <c r="AC26" s="20">
        <v>94</v>
      </c>
      <c r="AD26" s="20">
        <v>140</v>
      </c>
      <c r="AE26" s="20">
        <v>144</v>
      </c>
    </row>
    <row r="27" spans="1:31">
      <c r="A27" s="20" t="s">
        <v>87</v>
      </c>
      <c r="B27" s="20">
        <v>220029640</v>
      </c>
      <c r="C27" s="20" t="s">
        <v>88</v>
      </c>
      <c r="D27" s="20" t="s">
        <v>89</v>
      </c>
      <c r="E27" s="20">
        <v>400454000062</v>
      </c>
      <c r="F27" s="20" t="s">
        <v>90</v>
      </c>
      <c r="G27" s="20" t="s">
        <v>90</v>
      </c>
      <c r="H27" s="20" t="s">
        <v>91</v>
      </c>
      <c r="I27" s="20" t="s">
        <v>92</v>
      </c>
      <c r="J27" s="19" t="s">
        <v>93</v>
      </c>
      <c r="L27" s="20">
        <v>0</v>
      </c>
      <c r="M27" s="20" t="s">
        <v>95</v>
      </c>
      <c r="N27" s="20" t="s">
        <v>91</v>
      </c>
      <c r="O27" s="20">
        <v>0</v>
      </c>
      <c r="P27" s="20">
        <v>165</v>
      </c>
      <c r="Q27" s="20">
        <v>22.08</v>
      </c>
      <c r="R27" s="20">
        <v>1289.6389999999999</v>
      </c>
      <c r="S27" s="20">
        <v>0.09</v>
      </c>
      <c r="T27" s="20">
        <v>0.92</v>
      </c>
      <c r="U27" s="20">
        <v>0.18</v>
      </c>
      <c r="V27" s="20">
        <v>0.09</v>
      </c>
      <c r="W27" s="20">
        <v>0.06</v>
      </c>
      <c r="X27" s="20">
        <v>108</v>
      </c>
      <c r="Y27" s="20">
        <v>94</v>
      </c>
      <c r="Z27" s="20">
        <v>140</v>
      </c>
      <c r="AA27" s="20">
        <v>144</v>
      </c>
      <c r="AB27" s="20">
        <v>108</v>
      </c>
      <c r="AC27" s="20">
        <v>94</v>
      </c>
      <c r="AD27" s="20">
        <v>140</v>
      </c>
      <c r="AE27" s="20">
        <v>144</v>
      </c>
    </row>
    <row r="28" spans="1:31">
      <c r="A28" s="20" t="s">
        <v>87</v>
      </c>
      <c r="B28" s="20">
        <v>220029640</v>
      </c>
      <c r="C28" s="20" t="s">
        <v>88</v>
      </c>
      <c r="D28" s="20" t="s">
        <v>89</v>
      </c>
      <c r="E28" s="20">
        <v>400454000062</v>
      </c>
      <c r="F28" s="20" t="s">
        <v>90</v>
      </c>
      <c r="G28" s="20" t="s">
        <v>90</v>
      </c>
      <c r="H28" s="20" t="s">
        <v>91</v>
      </c>
      <c r="I28" s="20" t="s">
        <v>92</v>
      </c>
      <c r="J28" s="19" t="s">
        <v>93</v>
      </c>
      <c r="L28" s="20">
        <v>0</v>
      </c>
      <c r="M28" s="20" t="s">
        <v>95</v>
      </c>
      <c r="N28" s="20" t="s">
        <v>91</v>
      </c>
      <c r="O28" s="20">
        <v>0</v>
      </c>
      <c r="P28" s="20">
        <v>170</v>
      </c>
      <c r="Q28" s="20">
        <v>22.97</v>
      </c>
      <c r="R28" s="20">
        <v>1289.7159999999999</v>
      </c>
      <c r="S28" s="20">
        <v>0.09</v>
      </c>
      <c r="T28" s="20">
        <v>0.93</v>
      </c>
      <c r="U28" s="20">
        <v>0.18</v>
      </c>
      <c r="V28" s="20">
        <v>0.09</v>
      </c>
      <c r="W28" s="20">
        <v>0.06</v>
      </c>
      <c r="X28" s="20">
        <v>108</v>
      </c>
      <c r="Y28" s="20">
        <v>95</v>
      </c>
      <c r="Z28" s="20">
        <v>141</v>
      </c>
      <c r="AA28" s="20">
        <v>145</v>
      </c>
      <c r="AB28" s="20">
        <v>108</v>
      </c>
      <c r="AC28" s="20">
        <v>95</v>
      </c>
      <c r="AD28" s="20">
        <v>141</v>
      </c>
      <c r="AE28" s="20">
        <v>145</v>
      </c>
    </row>
    <row r="29" spans="1:31">
      <c r="A29" s="20" t="s">
        <v>87</v>
      </c>
      <c r="B29" s="20">
        <v>220029640</v>
      </c>
      <c r="C29" s="20" t="s">
        <v>88</v>
      </c>
      <c r="D29" s="20" t="s">
        <v>89</v>
      </c>
      <c r="E29" s="20">
        <v>400454000062</v>
      </c>
      <c r="F29" s="20" t="s">
        <v>90</v>
      </c>
      <c r="G29" s="20" t="s">
        <v>90</v>
      </c>
      <c r="H29" s="20" t="s">
        <v>91</v>
      </c>
      <c r="I29" s="20" t="s">
        <v>92</v>
      </c>
      <c r="J29" s="19" t="s">
        <v>93</v>
      </c>
      <c r="L29" s="20">
        <v>0</v>
      </c>
      <c r="M29" s="20" t="s">
        <v>95</v>
      </c>
      <c r="N29" s="20" t="s">
        <v>91</v>
      </c>
      <c r="O29" s="20">
        <v>0</v>
      </c>
      <c r="P29" s="20">
        <v>175</v>
      </c>
      <c r="Q29" s="20">
        <v>23.82</v>
      </c>
      <c r="R29" s="20">
        <v>1289.7950000000001</v>
      </c>
      <c r="S29" s="20">
        <v>0.09</v>
      </c>
      <c r="T29" s="20">
        <v>0.97</v>
      </c>
      <c r="U29" s="20">
        <v>0.18</v>
      </c>
      <c r="V29" s="20">
        <v>0.09</v>
      </c>
      <c r="W29" s="20">
        <v>0.06</v>
      </c>
      <c r="X29" s="20">
        <v>109</v>
      </c>
      <c r="Y29" s="20">
        <v>95</v>
      </c>
      <c r="Z29" s="20">
        <v>142</v>
      </c>
      <c r="AA29" s="20">
        <v>145</v>
      </c>
      <c r="AB29" s="20">
        <v>109</v>
      </c>
      <c r="AC29" s="20">
        <v>95</v>
      </c>
      <c r="AD29" s="20">
        <v>142</v>
      </c>
      <c r="AE29" s="20">
        <v>145</v>
      </c>
    </row>
    <row r="30" spans="1:31">
      <c r="A30" s="20" t="s">
        <v>87</v>
      </c>
      <c r="B30" s="20">
        <v>220029640</v>
      </c>
      <c r="C30" s="20" t="s">
        <v>88</v>
      </c>
      <c r="D30" s="20" t="s">
        <v>89</v>
      </c>
      <c r="E30" s="20">
        <v>400454000062</v>
      </c>
      <c r="F30" s="20" t="s">
        <v>90</v>
      </c>
      <c r="G30" s="20" t="s">
        <v>90</v>
      </c>
      <c r="H30" s="20" t="s">
        <v>91</v>
      </c>
      <c r="I30" s="20" t="s">
        <v>92</v>
      </c>
      <c r="J30" s="19" t="s">
        <v>93</v>
      </c>
      <c r="L30" s="20">
        <v>0</v>
      </c>
      <c r="M30" s="20" t="s">
        <v>95</v>
      </c>
      <c r="N30" s="20" t="s">
        <v>91</v>
      </c>
      <c r="O30" s="20">
        <v>0</v>
      </c>
      <c r="P30" s="20">
        <v>180</v>
      </c>
      <c r="Q30" s="20">
        <v>24.62</v>
      </c>
      <c r="R30" s="20">
        <v>1289.873</v>
      </c>
      <c r="S30" s="20">
        <v>0.1</v>
      </c>
      <c r="T30" s="20">
        <v>0.97</v>
      </c>
      <c r="U30" s="20">
        <v>0.18</v>
      </c>
      <c r="V30" s="20">
        <v>0.09</v>
      </c>
      <c r="W30" s="20">
        <v>0.06</v>
      </c>
      <c r="X30" s="20">
        <v>109</v>
      </c>
      <c r="Y30" s="20">
        <v>95</v>
      </c>
      <c r="Z30" s="20">
        <v>142</v>
      </c>
      <c r="AA30" s="20">
        <v>145</v>
      </c>
      <c r="AB30" s="20">
        <v>109</v>
      </c>
      <c r="AC30" s="20">
        <v>95</v>
      </c>
      <c r="AD30" s="20">
        <v>142</v>
      </c>
      <c r="AE30" s="20">
        <v>145</v>
      </c>
    </row>
    <row r="31" spans="1:31">
      <c r="A31" s="20" t="s">
        <v>87</v>
      </c>
      <c r="B31" s="20">
        <v>220029640</v>
      </c>
      <c r="C31" s="20" t="s">
        <v>88</v>
      </c>
      <c r="D31" s="20" t="s">
        <v>89</v>
      </c>
      <c r="E31" s="20">
        <v>400454000062</v>
      </c>
      <c r="F31" s="20" t="s">
        <v>90</v>
      </c>
      <c r="G31" s="20" t="s">
        <v>90</v>
      </c>
      <c r="H31" s="20" t="s">
        <v>91</v>
      </c>
      <c r="I31" s="20" t="s">
        <v>92</v>
      </c>
      <c r="J31" s="19" t="s">
        <v>93</v>
      </c>
      <c r="L31" s="20">
        <v>0</v>
      </c>
      <c r="M31" s="20" t="s">
        <v>95</v>
      </c>
      <c r="N31" s="20" t="s">
        <v>91</v>
      </c>
      <c r="O31" s="20">
        <v>0</v>
      </c>
      <c r="P31" s="20">
        <v>185</v>
      </c>
      <c r="Q31" s="20">
        <v>25.45</v>
      </c>
      <c r="R31" s="20">
        <v>1289.9490000000001</v>
      </c>
      <c r="S31" s="20">
        <v>0.09</v>
      </c>
      <c r="T31" s="20">
        <v>1</v>
      </c>
      <c r="U31" s="20">
        <v>0.18</v>
      </c>
      <c r="V31" s="20">
        <v>0.09</v>
      </c>
      <c r="W31" s="20">
        <v>0.06</v>
      </c>
      <c r="X31" s="20">
        <v>109</v>
      </c>
      <c r="Y31" s="20">
        <v>96</v>
      </c>
      <c r="Z31" s="20">
        <v>143</v>
      </c>
      <c r="AA31" s="20">
        <v>146</v>
      </c>
      <c r="AB31" s="20">
        <v>109</v>
      </c>
      <c r="AC31" s="20">
        <v>96</v>
      </c>
      <c r="AD31" s="20">
        <v>143</v>
      </c>
      <c r="AE31" s="20">
        <v>146</v>
      </c>
    </row>
    <row r="32" spans="1:31">
      <c r="A32" s="20" t="s">
        <v>87</v>
      </c>
      <c r="B32" s="20">
        <v>220029640</v>
      </c>
      <c r="C32" s="20" t="s">
        <v>88</v>
      </c>
      <c r="D32" s="20" t="s">
        <v>89</v>
      </c>
      <c r="E32" s="20">
        <v>400454000062</v>
      </c>
      <c r="F32" s="20" t="s">
        <v>90</v>
      </c>
      <c r="G32" s="20" t="s">
        <v>90</v>
      </c>
      <c r="H32" s="20" t="s">
        <v>91</v>
      </c>
      <c r="I32" s="20" t="s">
        <v>92</v>
      </c>
      <c r="J32" s="19" t="s">
        <v>93</v>
      </c>
      <c r="L32" s="20">
        <v>0</v>
      </c>
      <c r="M32" s="20" t="s">
        <v>95</v>
      </c>
      <c r="N32" s="20" t="s">
        <v>91</v>
      </c>
      <c r="O32" s="20">
        <v>0</v>
      </c>
      <c r="P32" s="20">
        <v>190</v>
      </c>
      <c r="Q32" s="20">
        <v>26.29</v>
      </c>
      <c r="R32" s="20">
        <v>1290.0219999999999</v>
      </c>
      <c r="S32" s="20">
        <v>0.09</v>
      </c>
      <c r="T32" s="20">
        <v>0.99</v>
      </c>
      <c r="U32" s="20">
        <v>0.18</v>
      </c>
      <c r="V32" s="20">
        <v>0.09</v>
      </c>
      <c r="W32" s="20">
        <v>0.06</v>
      </c>
      <c r="X32" s="20">
        <v>110</v>
      </c>
      <c r="Y32" s="20">
        <v>96</v>
      </c>
      <c r="Z32" s="20">
        <v>143</v>
      </c>
      <c r="AA32" s="20">
        <v>146</v>
      </c>
      <c r="AB32" s="20">
        <v>110</v>
      </c>
      <c r="AC32" s="20">
        <v>96</v>
      </c>
      <c r="AD32" s="20">
        <v>143</v>
      </c>
      <c r="AE32" s="20">
        <v>146</v>
      </c>
    </row>
    <row r="33" spans="1:31">
      <c r="A33" s="20" t="s">
        <v>87</v>
      </c>
      <c r="B33" s="20">
        <v>220029640</v>
      </c>
      <c r="C33" s="20" t="s">
        <v>88</v>
      </c>
      <c r="D33" s="20" t="s">
        <v>89</v>
      </c>
      <c r="E33" s="20">
        <v>400454000062</v>
      </c>
      <c r="F33" s="20" t="s">
        <v>90</v>
      </c>
      <c r="G33" s="20" t="s">
        <v>90</v>
      </c>
      <c r="H33" s="20" t="s">
        <v>91</v>
      </c>
      <c r="I33" s="20" t="s">
        <v>92</v>
      </c>
      <c r="J33" s="19" t="s">
        <v>93</v>
      </c>
      <c r="L33" s="20">
        <v>0</v>
      </c>
      <c r="M33" s="20" t="s">
        <v>95</v>
      </c>
      <c r="N33" s="20" t="s">
        <v>91</v>
      </c>
      <c r="O33" s="20">
        <v>0</v>
      </c>
      <c r="P33" s="20">
        <v>195</v>
      </c>
      <c r="Q33" s="20">
        <v>27.11</v>
      </c>
      <c r="R33" s="20">
        <v>1290.097</v>
      </c>
      <c r="S33" s="20">
        <v>0.09</v>
      </c>
      <c r="T33" s="20">
        <v>0.99</v>
      </c>
      <c r="U33" s="20">
        <v>0.18</v>
      </c>
      <c r="V33" s="20">
        <v>0.09</v>
      </c>
      <c r="W33" s="20">
        <v>0.06</v>
      </c>
      <c r="X33" s="20">
        <v>111</v>
      </c>
      <c r="Y33" s="20">
        <v>97</v>
      </c>
      <c r="Z33" s="20">
        <v>144</v>
      </c>
      <c r="AA33" s="20">
        <v>147</v>
      </c>
      <c r="AB33" s="20">
        <v>111</v>
      </c>
      <c r="AC33" s="20">
        <v>97</v>
      </c>
      <c r="AD33" s="20">
        <v>144</v>
      </c>
      <c r="AE33" s="20">
        <v>147</v>
      </c>
    </row>
    <row r="34" spans="1:31">
      <c r="A34" s="20" t="s">
        <v>87</v>
      </c>
      <c r="B34" s="20">
        <v>220029640</v>
      </c>
      <c r="C34" s="20" t="s">
        <v>88</v>
      </c>
      <c r="D34" s="20" t="s">
        <v>89</v>
      </c>
      <c r="E34" s="20">
        <v>400454000062</v>
      </c>
      <c r="F34" s="20" t="s">
        <v>90</v>
      </c>
      <c r="G34" s="20" t="s">
        <v>90</v>
      </c>
      <c r="H34" s="20" t="s">
        <v>91</v>
      </c>
      <c r="I34" s="20" t="s">
        <v>92</v>
      </c>
      <c r="J34" s="19" t="s">
        <v>93</v>
      </c>
      <c r="L34" s="20">
        <v>0</v>
      </c>
      <c r="M34" s="20" t="s">
        <v>95</v>
      </c>
      <c r="N34" s="20" t="s">
        <v>91</v>
      </c>
      <c r="O34" s="20">
        <v>0</v>
      </c>
      <c r="P34" s="20">
        <v>200</v>
      </c>
      <c r="Q34" s="20">
        <v>27.99</v>
      </c>
      <c r="R34" s="20">
        <v>1290.174</v>
      </c>
      <c r="S34" s="20">
        <v>0.09</v>
      </c>
      <c r="T34" s="20">
        <v>0.99</v>
      </c>
      <c r="U34" s="20">
        <v>0.18</v>
      </c>
      <c r="V34" s="20">
        <v>0.09</v>
      </c>
      <c r="W34" s="20">
        <v>0.06</v>
      </c>
      <c r="X34" s="20">
        <v>111</v>
      </c>
      <c r="Y34" s="20">
        <v>97</v>
      </c>
      <c r="Z34" s="20">
        <v>145</v>
      </c>
      <c r="AA34" s="20">
        <v>148</v>
      </c>
      <c r="AB34" s="20">
        <v>111</v>
      </c>
      <c r="AC34" s="20">
        <v>97</v>
      </c>
      <c r="AD34" s="20">
        <v>145</v>
      </c>
      <c r="AE34" s="20">
        <v>148</v>
      </c>
    </row>
    <row r="35" spans="1:31">
      <c r="A35" s="20" t="s">
        <v>87</v>
      </c>
      <c r="B35" s="20">
        <v>220029640</v>
      </c>
      <c r="C35" s="20" t="s">
        <v>88</v>
      </c>
      <c r="D35" s="20" t="s">
        <v>89</v>
      </c>
      <c r="E35" s="20">
        <v>400454000062</v>
      </c>
      <c r="F35" s="20" t="s">
        <v>90</v>
      </c>
      <c r="G35" s="20" t="s">
        <v>90</v>
      </c>
      <c r="H35" s="20" t="s">
        <v>91</v>
      </c>
      <c r="I35" s="20" t="s">
        <v>92</v>
      </c>
      <c r="J35" s="19" t="s">
        <v>93</v>
      </c>
      <c r="L35" s="20">
        <v>0</v>
      </c>
      <c r="M35" s="20" t="s">
        <v>95</v>
      </c>
      <c r="N35" s="20" t="s">
        <v>91</v>
      </c>
      <c r="O35" s="20">
        <v>0</v>
      </c>
      <c r="P35" s="20">
        <v>205</v>
      </c>
      <c r="Q35" s="20">
        <v>28.8</v>
      </c>
      <c r="R35" s="20">
        <v>1290.249</v>
      </c>
      <c r="S35" s="20">
        <v>0.09</v>
      </c>
      <c r="T35" s="20">
        <v>1</v>
      </c>
      <c r="U35" s="20">
        <v>0.18</v>
      </c>
      <c r="V35" s="20">
        <v>0.09</v>
      </c>
      <c r="W35" s="20">
        <v>0.06</v>
      </c>
      <c r="X35" s="20">
        <v>111</v>
      </c>
      <c r="Y35" s="20">
        <v>98</v>
      </c>
      <c r="Z35" s="20">
        <v>145</v>
      </c>
      <c r="AA35" s="20">
        <v>148</v>
      </c>
      <c r="AB35" s="20">
        <v>111</v>
      </c>
      <c r="AC35" s="20">
        <v>98</v>
      </c>
      <c r="AD35" s="20">
        <v>145</v>
      </c>
      <c r="AE35" s="20">
        <v>148</v>
      </c>
    </row>
    <row r="36" spans="1:31">
      <c r="A36" s="20" t="s">
        <v>87</v>
      </c>
      <c r="B36" s="20">
        <v>220029640</v>
      </c>
      <c r="C36" s="20" t="s">
        <v>88</v>
      </c>
      <c r="D36" s="20" t="s">
        <v>89</v>
      </c>
      <c r="E36" s="20">
        <v>400454000062</v>
      </c>
      <c r="F36" s="20" t="s">
        <v>90</v>
      </c>
      <c r="G36" s="20" t="s">
        <v>90</v>
      </c>
      <c r="H36" s="20" t="s">
        <v>91</v>
      </c>
      <c r="I36" s="20" t="s">
        <v>92</v>
      </c>
      <c r="J36" s="19" t="s">
        <v>93</v>
      </c>
      <c r="L36" s="20">
        <v>0</v>
      </c>
      <c r="M36" s="20" t="s">
        <v>95</v>
      </c>
      <c r="N36" s="20" t="s">
        <v>91</v>
      </c>
      <c r="O36" s="20">
        <v>0</v>
      </c>
      <c r="P36" s="20">
        <v>210</v>
      </c>
      <c r="Q36" s="20">
        <v>29.64</v>
      </c>
      <c r="R36" s="20">
        <v>1290.325</v>
      </c>
      <c r="S36" s="20">
        <v>0.09</v>
      </c>
      <c r="T36" s="20">
        <v>1.07</v>
      </c>
      <c r="U36" s="20">
        <v>0.18</v>
      </c>
      <c r="V36" s="20">
        <v>0.09</v>
      </c>
      <c r="W36" s="20">
        <v>0.06</v>
      </c>
      <c r="X36" s="20">
        <v>112</v>
      </c>
      <c r="Y36" s="20">
        <v>98</v>
      </c>
      <c r="Z36" s="20">
        <v>146</v>
      </c>
      <c r="AA36" s="20">
        <v>148</v>
      </c>
      <c r="AB36" s="20">
        <v>112</v>
      </c>
      <c r="AC36" s="20">
        <v>98</v>
      </c>
      <c r="AD36" s="20">
        <v>146</v>
      </c>
      <c r="AE36" s="20">
        <v>148</v>
      </c>
    </row>
    <row r="37" spans="1:31">
      <c r="A37" s="20" t="s">
        <v>87</v>
      </c>
      <c r="B37" s="20">
        <v>220029640</v>
      </c>
      <c r="C37" s="20" t="s">
        <v>88</v>
      </c>
      <c r="D37" s="20" t="s">
        <v>89</v>
      </c>
      <c r="E37" s="20">
        <v>400454000062</v>
      </c>
      <c r="F37" s="20" t="s">
        <v>90</v>
      </c>
      <c r="G37" s="20" t="s">
        <v>90</v>
      </c>
      <c r="H37" s="20" t="s">
        <v>91</v>
      </c>
      <c r="I37" s="20" t="s">
        <v>92</v>
      </c>
      <c r="J37" s="19" t="s">
        <v>93</v>
      </c>
      <c r="L37" s="20">
        <v>0</v>
      </c>
      <c r="M37" s="20" t="s">
        <v>95</v>
      </c>
      <c r="N37" s="20" t="s">
        <v>91</v>
      </c>
      <c r="O37" s="20">
        <v>0</v>
      </c>
      <c r="P37" s="20">
        <v>215</v>
      </c>
      <c r="Q37" s="20">
        <v>30.49</v>
      </c>
      <c r="R37" s="20">
        <v>1290.403</v>
      </c>
      <c r="S37" s="20">
        <v>0.09</v>
      </c>
      <c r="T37" s="20">
        <v>1.08</v>
      </c>
      <c r="U37" s="20">
        <v>0.18</v>
      </c>
      <c r="V37" s="20">
        <v>0.09</v>
      </c>
      <c r="W37" s="20">
        <v>0.06</v>
      </c>
      <c r="X37" s="20">
        <v>113</v>
      </c>
      <c r="Y37" s="20">
        <v>99</v>
      </c>
      <c r="Z37" s="20">
        <v>146</v>
      </c>
      <c r="AA37" s="20">
        <v>149</v>
      </c>
      <c r="AB37" s="20">
        <v>113</v>
      </c>
      <c r="AC37" s="20">
        <v>99</v>
      </c>
      <c r="AD37" s="20">
        <v>146</v>
      </c>
      <c r="AE37" s="20">
        <v>149</v>
      </c>
    </row>
    <row r="38" spans="1:31">
      <c r="A38" s="20" t="s">
        <v>87</v>
      </c>
      <c r="B38" s="20">
        <v>220029640</v>
      </c>
      <c r="C38" s="20" t="s">
        <v>88</v>
      </c>
      <c r="D38" s="20" t="s">
        <v>89</v>
      </c>
      <c r="E38" s="20">
        <v>400454000062</v>
      </c>
      <c r="F38" s="20" t="s">
        <v>90</v>
      </c>
      <c r="G38" s="20" t="s">
        <v>90</v>
      </c>
      <c r="H38" s="20" t="s">
        <v>91</v>
      </c>
      <c r="I38" s="20" t="s">
        <v>92</v>
      </c>
      <c r="J38" s="19" t="s">
        <v>93</v>
      </c>
      <c r="L38" s="20">
        <v>0</v>
      </c>
      <c r="M38" s="20" t="s">
        <v>95</v>
      </c>
      <c r="N38" s="20" t="s">
        <v>91</v>
      </c>
      <c r="O38" s="20">
        <v>0</v>
      </c>
      <c r="P38" s="20">
        <v>220</v>
      </c>
      <c r="Q38" s="20">
        <v>31.32</v>
      </c>
      <c r="R38" s="20">
        <v>1290.479</v>
      </c>
      <c r="S38" s="20">
        <v>0.09</v>
      </c>
      <c r="T38" s="20">
        <v>1.05</v>
      </c>
      <c r="U38" s="20">
        <v>0.18</v>
      </c>
      <c r="V38" s="20">
        <v>0.09</v>
      </c>
      <c r="W38" s="20">
        <v>0.06</v>
      </c>
      <c r="X38" s="20">
        <v>113</v>
      </c>
      <c r="Y38" s="20">
        <v>99</v>
      </c>
      <c r="Z38" s="20">
        <v>147</v>
      </c>
      <c r="AA38" s="20">
        <v>149</v>
      </c>
      <c r="AB38" s="20">
        <v>113</v>
      </c>
      <c r="AC38" s="20">
        <v>99</v>
      </c>
      <c r="AD38" s="20">
        <v>147</v>
      </c>
      <c r="AE38" s="20">
        <v>149</v>
      </c>
    </row>
    <row r="39" spans="1:31">
      <c r="A39" s="20" t="s">
        <v>87</v>
      </c>
      <c r="B39" s="20">
        <v>220029640</v>
      </c>
      <c r="C39" s="20" t="s">
        <v>88</v>
      </c>
      <c r="D39" s="20" t="s">
        <v>89</v>
      </c>
      <c r="E39" s="20">
        <v>400454000062</v>
      </c>
      <c r="F39" s="20" t="s">
        <v>90</v>
      </c>
      <c r="G39" s="20" t="s">
        <v>90</v>
      </c>
      <c r="H39" s="20" t="s">
        <v>91</v>
      </c>
      <c r="I39" s="20" t="s">
        <v>92</v>
      </c>
      <c r="J39" s="19" t="s">
        <v>93</v>
      </c>
      <c r="L39" s="20">
        <v>0</v>
      </c>
      <c r="M39" s="20" t="s">
        <v>95</v>
      </c>
      <c r="N39" s="20" t="s">
        <v>91</v>
      </c>
      <c r="O39" s="20">
        <v>0</v>
      </c>
      <c r="P39" s="20">
        <v>225</v>
      </c>
      <c r="Q39" s="20">
        <v>32.159999999999997</v>
      </c>
      <c r="R39" s="20">
        <v>1290.557</v>
      </c>
      <c r="S39" s="20">
        <v>0.09</v>
      </c>
      <c r="T39" s="20">
        <v>1.05</v>
      </c>
      <c r="U39" s="20">
        <v>0.18</v>
      </c>
      <c r="V39" s="20">
        <v>0.09</v>
      </c>
      <c r="W39" s="20">
        <v>0.06</v>
      </c>
      <c r="X39" s="20">
        <v>114</v>
      </c>
      <c r="Y39" s="20">
        <v>100</v>
      </c>
      <c r="Z39" s="20">
        <v>147</v>
      </c>
      <c r="AA39" s="20">
        <v>150</v>
      </c>
      <c r="AB39" s="20">
        <v>114</v>
      </c>
      <c r="AC39" s="20">
        <v>100</v>
      </c>
      <c r="AD39" s="20">
        <v>147</v>
      </c>
      <c r="AE39" s="20">
        <v>150</v>
      </c>
    </row>
    <row r="40" spans="1:31">
      <c r="A40" s="20" t="s">
        <v>87</v>
      </c>
      <c r="B40" s="20">
        <v>220029640</v>
      </c>
      <c r="C40" s="20" t="s">
        <v>88</v>
      </c>
      <c r="D40" s="20" t="s">
        <v>89</v>
      </c>
      <c r="E40" s="20">
        <v>400454000062</v>
      </c>
      <c r="F40" s="20" t="s">
        <v>90</v>
      </c>
      <c r="G40" s="20" t="s">
        <v>90</v>
      </c>
      <c r="H40" s="20" t="s">
        <v>91</v>
      </c>
      <c r="I40" s="20" t="s">
        <v>92</v>
      </c>
      <c r="J40" s="19" t="s">
        <v>93</v>
      </c>
      <c r="L40" s="20">
        <v>0</v>
      </c>
      <c r="M40" s="20" t="s">
        <v>95</v>
      </c>
      <c r="N40" s="20" t="s">
        <v>91</v>
      </c>
      <c r="O40" s="20">
        <v>0</v>
      </c>
      <c r="P40" s="20">
        <v>230</v>
      </c>
      <c r="Q40" s="20">
        <v>33.01</v>
      </c>
      <c r="R40" s="20">
        <v>1290.634</v>
      </c>
      <c r="S40" s="20">
        <v>0.09</v>
      </c>
      <c r="T40" s="20">
        <v>1.1200000000000001</v>
      </c>
      <c r="U40" s="20">
        <v>0.18</v>
      </c>
      <c r="V40" s="20">
        <v>0.09</v>
      </c>
      <c r="W40" s="20">
        <v>0.06</v>
      </c>
      <c r="X40" s="20">
        <v>115</v>
      </c>
      <c r="Y40" s="20">
        <v>101</v>
      </c>
      <c r="Z40" s="20">
        <v>148</v>
      </c>
      <c r="AA40" s="20">
        <v>151</v>
      </c>
      <c r="AB40" s="20">
        <v>115</v>
      </c>
      <c r="AC40" s="20">
        <v>101</v>
      </c>
      <c r="AD40" s="20">
        <v>148</v>
      </c>
      <c r="AE40" s="20">
        <v>151</v>
      </c>
    </row>
    <row r="41" spans="1:31">
      <c r="A41" s="20" t="s">
        <v>87</v>
      </c>
      <c r="B41" s="20">
        <v>220029640</v>
      </c>
      <c r="C41" s="20" t="s">
        <v>88</v>
      </c>
      <c r="D41" s="20" t="s">
        <v>89</v>
      </c>
      <c r="E41" s="20">
        <v>400454000062</v>
      </c>
      <c r="F41" s="20" t="s">
        <v>90</v>
      </c>
      <c r="G41" s="20" t="s">
        <v>90</v>
      </c>
      <c r="H41" s="20" t="s">
        <v>91</v>
      </c>
      <c r="I41" s="20" t="s">
        <v>92</v>
      </c>
      <c r="J41" s="19" t="s">
        <v>93</v>
      </c>
      <c r="L41" s="20">
        <v>0</v>
      </c>
      <c r="M41" s="20" t="s">
        <v>95</v>
      </c>
      <c r="N41" s="20" t="s">
        <v>91</v>
      </c>
      <c r="O41" s="20">
        <v>0</v>
      </c>
      <c r="P41" s="20">
        <v>235</v>
      </c>
      <c r="Q41" s="20">
        <v>33.840000000000003</v>
      </c>
      <c r="R41" s="20">
        <v>1290.711</v>
      </c>
      <c r="S41" s="20">
        <v>0.09</v>
      </c>
      <c r="T41" s="20">
        <v>1.1499999999999999</v>
      </c>
      <c r="U41" s="20">
        <v>0.18</v>
      </c>
      <c r="V41" s="20">
        <v>0.09</v>
      </c>
      <c r="W41" s="20">
        <v>0.06</v>
      </c>
      <c r="X41" s="20">
        <v>115</v>
      </c>
      <c r="Y41" s="20">
        <v>101</v>
      </c>
      <c r="Z41" s="20">
        <v>148</v>
      </c>
      <c r="AA41" s="20">
        <v>151</v>
      </c>
      <c r="AB41" s="20">
        <v>115</v>
      </c>
      <c r="AC41" s="20">
        <v>101</v>
      </c>
      <c r="AD41" s="20">
        <v>148</v>
      </c>
      <c r="AE41" s="20">
        <v>151</v>
      </c>
    </row>
    <row r="42" spans="1:31">
      <c r="A42" s="20" t="s">
        <v>87</v>
      </c>
      <c r="B42" s="20">
        <v>220029640</v>
      </c>
      <c r="C42" s="20" t="s">
        <v>88</v>
      </c>
      <c r="D42" s="20" t="s">
        <v>89</v>
      </c>
      <c r="E42" s="20">
        <v>400454000062</v>
      </c>
      <c r="F42" s="20" t="s">
        <v>90</v>
      </c>
      <c r="G42" s="20" t="s">
        <v>90</v>
      </c>
      <c r="H42" s="20" t="s">
        <v>91</v>
      </c>
      <c r="I42" s="20" t="s">
        <v>92</v>
      </c>
      <c r="J42" s="19" t="s">
        <v>93</v>
      </c>
      <c r="L42" s="20">
        <v>0</v>
      </c>
      <c r="M42" s="20" t="s">
        <v>95</v>
      </c>
      <c r="N42" s="20" t="s">
        <v>91</v>
      </c>
      <c r="O42" s="20">
        <v>0</v>
      </c>
      <c r="P42" s="20">
        <v>240</v>
      </c>
      <c r="Q42" s="20">
        <v>34.68</v>
      </c>
      <c r="R42" s="20">
        <v>1290.788</v>
      </c>
      <c r="S42" s="20">
        <v>0.09</v>
      </c>
      <c r="T42" s="20">
        <v>1.1100000000000001</v>
      </c>
      <c r="U42" s="20">
        <v>0.18</v>
      </c>
      <c r="V42" s="20">
        <v>0.09</v>
      </c>
      <c r="W42" s="20">
        <v>0.06</v>
      </c>
      <c r="X42" s="20">
        <v>116</v>
      </c>
      <c r="Y42" s="20">
        <v>102</v>
      </c>
      <c r="Z42" s="20">
        <v>149</v>
      </c>
      <c r="AA42" s="20">
        <v>152</v>
      </c>
      <c r="AB42" s="20">
        <v>116</v>
      </c>
      <c r="AC42" s="20">
        <v>102</v>
      </c>
      <c r="AD42" s="20">
        <v>149</v>
      </c>
      <c r="AE42" s="20">
        <v>152</v>
      </c>
    </row>
    <row r="43" spans="1:31">
      <c r="A43" s="20" t="s">
        <v>87</v>
      </c>
      <c r="B43" s="20">
        <v>220029640</v>
      </c>
      <c r="C43" s="20" t="s">
        <v>88</v>
      </c>
      <c r="D43" s="20" t="s">
        <v>89</v>
      </c>
      <c r="E43" s="20">
        <v>400454000062</v>
      </c>
      <c r="F43" s="20" t="s">
        <v>90</v>
      </c>
      <c r="G43" s="20" t="s">
        <v>90</v>
      </c>
      <c r="H43" s="20" t="s">
        <v>91</v>
      </c>
      <c r="I43" s="20" t="s">
        <v>92</v>
      </c>
      <c r="J43" s="19" t="s">
        <v>93</v>
      </c>
      <c r="L43" s="20">
        <v>0</v>
      </c>
      <c r="M43" s="20" t="s">
        <v>95</v>
      </c>
      <c r="N43" s="20" t="s">
        <v>91</v>
      </c>
      <c r="O43" s="20">
        <v>0</v>
      </c>
      <c r="P43" s="20">
        <v>245</v>
      </c>
      <c r="Q43" s="20">
        <v>35.54</v>
      </c>
      <c r="R43" s="20">
        <v>1290.867</v>
      </c>
      <c r="S43" s="20">
        <v>0.09</v>
      </c>
      <c r="T43" s="20">
        <v>1.17</v>
      </c>
      <c r="U43" s="20">
        <v>0.18</v>
      </c>
      <c r="V43" s="20">
        <v>0.09</v>
      </c>
      <c r="W43" s="20">
        <v>0.06</v>
      </c>
      <c r="X43" s="20">
        <v>116</v>
      </c>
      <c r="Y43" s="20">
        <v>103</v>
      </c>
      <c r="Z43" s="20">
        <v>150</v>
      </c>
      <c r="AA43" s="20">
        <v>153</v>
      </c>
      <c r="AB43" s="20">
        <v>116</v>
      </c>
      <c r="AC43" s="20">
        <v>103</v>
      </c>
      <c r="AD43" s="20">
        <v>150</v>
      </c>
      <c r="AE43" s="20">
        <v>153</v>
      </c>
    </row>
    <row r="44" spans="1:31">
      <c r="A44" s="20" t="s">
        <v>87</v>
      </c>
      <c r="B44" s="20">
        <v>220029640</v>
      </c>
      <c r="C44" s="20" t="s">
        <v>88</v>
      </c>
      <c r="D44" s="20" t="s">
        <v>89</v>
      </c>
      <c r="E44" s="20">
        <v>400454000062</v>
      </c>
      <c r="F44" s="20" t="s">
        <v>90</v>
      </c>
      <c r="G44" s="20" t="s">
        <v>90</v>
      </c>
      <c r="H44" s="20" t="s">
        <v>91</v>
      </c>
      <c r="I44" s="20" t="s">
        <v>92</v>
      </c>
      <c r="J44" s="19" t="s">
        <v>93</v>
      </c>
      <c r="L44" s="20">
        <v>0</v>
      </c>
      <c r="M44" s="20" t="s">
        <v>95</v>
      </c>
      <c r="N44" s="20" t="s">
        <v>91</v>
      </c>
      <c r="O44" s="20">
        <v>0</v>
      </c>
      <c r="P44" s="20">
        <v>250</v>
      </c>
      <c r="Q44" s="20">
        <v>36.369999999999997</v>
      </c>
      <c r="R44" s="20">
        <v>1290.9449999999999</v>
      </c>
      <c r="S44" s="20">
        <v>0.09</v>
      </c>
      <c r="T44" s="20">
        <v>1.07</v>
      </c>
      <c r="U44" s="20">
        <v>0.18</v>
      </c>
      <c r="V44" s="20">
        <v>0.09</v>
      </c>
      <c r="W44" s="20">
        <v>0.06</v>
      </c>
      <c r="X44" s="20">
        <v>117</v>
      </c>
      <c r="Y44" s="20">
        <v>104</v>
      </c>
      <c r="Z44" s="20">
        <v>150</v>
      </c>
      <c r="AA44" s="20">
        <v>154</v>
      </c>
      <c r="AB44" s="20">
        <v>117</v>
      </c>
      <c r="AC44" s="20">
        <v>104</v>
      </c>
      <c r="AD44" s="20">
        <v>150</v>
      </c>
      <c r="AE44" s="20">
        <v>154</v>
      </c>
    </row>
    <row r="45" spans="1:31">
      <c r="A45" s="20" t="s">
        <v>87</v>
      </c>
      <c r="B45" s="20">
        <v>220029640</v>
      </c>
      <c r="C45" s="20" t="s">
        <v>88</v>
      </c>
      <c r="D45" s="20" t="s">
        <v>89</v>
      </c>
      <c r="E45" s="20">
        <v>400454000062</v>
      </c>
      <c r="F45" s="20" t="s">
        <v>90</v>
      </c>
      <c r="G45" s="20" t="s">
        <v>90</v>
      </c>
      <c r="H45" s="20" t="s">
        <v>91</v>
      </c>
      <c r="I45" s="20" t="s">
        <v>92</v>
      </c>
      <c r="J45" s="19" t="s">
        <v>93</v>
      </c>
      <c r="L45" s="20">
        <v>0</v>
      </c>
      <c r="M45" s="20" t="s">
        <v>95</v>
      </c>
      <c r="N45" s="20" t="s">
        <v>91</v>
      </c>
      <c r="O45" s="20">
        <v>0</v>
      </c>
      <c r="P45" s="20">
        <v>255</v>
      </c>
      <c r="Q45" s="20">
        <v>37.21</v>
      </c>
      <c r="R45" s="20">
        <v>1291.0239999999999</v>
      </c>
      <c r="S45" s="20">
        <v>0.09</v>
      </c>
      <c r="T45" s="20">
        <v>0.98</v>
      </c>
      <c r="U45" s="20">
        <v>0.18</v>
      </c>
      <c r="V45" s="20">
        <v>0.09</v>
      </c>
      <c r="W45" s="20">
        <v>0.06</v>
      </c>
      <c r="X45" s="20">
        <v>118</v>
      </c>
      <c r="Y45" s="20">
        <v>104</v>
      </c>
      <c r="Z45" s="20">
        <v>151</v>
      </c>
      <c r="AA45" s="20">
        <v>154</v>
      </c>
      <c r="AB45" s="20">
        <v>118</v>
      </c>
      <c r="AC45" s="20">
        <v>104</v>
      </c>
      <c r="AD45" s="20">
        <v>151</v>
      </c>
      <c r="AE45" s="20">
        <v>154</v>
      </c>
    </row>
    <row r="46" spans="1:31">
      <c r="A46" s="20" t="s">
        <v>87</v>
      </c>
      <c r="B46" s="20">
        <v>220029640</v>
      </c>
      <c r="C46" s="20" t="s">
        <v>88</v>
      </c>
      <c r="D46" s="20" t="s">
        <v>89</v>
      </c>
      <c r="E46" s="20">
        <v>400454000062</v>
      </c>
      <c r="F46" s="20" t="s">
        <v>90</v>
      </c>
      <c r="G46" s="20" t="s">
        <v>90</v>
      </c>
      <c r="H46" s="20" t="s">
        <v>91</v>
      </c>
      <c r="I46" s="20" t="s">
        <v>92</v>
      </c>
      <c r="J46" s="19" t="s">
        <v>93</v>
      </c>
      <c r="L46" s="20">
        <v>0</v>
      </c>
      <c r="M46" s="20" t="s">
        <v>95</v>
      </c>
      <c r="N46" s="20" t="s">
        <v>91</v>
      </c>
      <c r="O46" s="20">
        <v>0</v>
      </c>
      <c r="P46" s="20">
        <v>260</v>
      </c>
      <c r="Q46" s="20">
        <v>38.04</v>
      </c>
      <c r="R46" s="20">
        <v>1291.1010000000001</v>
      </c>
      <c r="S46" s="20">
        <v>0.09</v>
      </c>
      <c r="T46" s="20">
        <v>1.04</v>
      </c>
      <c r="U46" s="20">
        <v>0.18</v>
      </c>
      <c r="V46" s="20">
        <v>0.09</v>
      </c>
      <c r="W46" s="20">
        <v>0.06</v>
      </c>
      <c r="X46" s="20">
        <v>119</v>
      </c>
      <c r="Y46" s="20">
        <v>105</v>
      </c>
      <c r="Z46" s="20">
        <v>152</v>
      </c>
      <c r="AA46" s="20">
        <v>155</v>
      </c>
      <c r="AB46" s="20">
        <v>119</v>
      </c>
      <c r="AC46" s="20">
        <v>105</v>
      </c>
      <c r="AD46" s="20">
        <v>152</v>
      </c>
      <c r="AE46" s="20">
        <v>155</v>
      </c>
    </row>
    <row r="47" spans="1:31">
      <c r="A47" s="20" t="s">
        <v>87</v>
      </c>
      <c r="B47" s="20">
        <v>220029640</v>
      </c>
      <c r="C47" s="20" t="s">
        <v>88</v>
      </c>
      <c r="D47" s="20" t="s">
        <v>89</v>
      </c>
      <c r="E47" s="20">
        <v>400454000062</v>
      </c>
      <c r="F47" s="20" t="s">
        <v>90</v>
      </c>
      <c r="G47" s="20" t="s">
        <v>90</v>
      </c>
      <c r="H47" s="20" t="s">
        <v>91</v>
      </c>
      <c r="I47" s="20" t="s">
        <v>92</v>
      </c>
      <c r="J47" s="19" t="s">
        <v>93</v>
      </c>
      <c r="L47" s="20">
        <v>0</v>
      </c>
      <c r="M47" s="20" t="s">
        <v>95</v>
      </c>
      <c r="N47" s="20" t="s">
        <v>91</v>
      </c>
      <c r="O47" s="20">
        <v>0</v>
      </c>
      <c r="P47" s="20">
        <v>265</v>
      </c>
      <c r="Q47" s="20">
        <v>38.9</v>
      </c>
      <c r="R47" s="20">
        <v>1291.181</v>
      </c>
      <c r="S47" s="20">
        <v>0.09</v>
      </c>
      <c r="T47" s="20">
        <v>0.99</v>
      </c>
      <c r="U47" s="20">
        <v>0.18</v>
      </c>
      <c r="V47" s="20">
        <v>0.09</v>
      </c>
      <c r="W47" s="20">
        <v>0.06</v>
      </c>
      <c r="X47" s="20">
        <v>119</v>
      </c>
      <c r="Y47" s="20">
        <v>106</v>
      </c>
      <c r="Z47" s="20">
        <v>153</v>
      </c>
      <c r="AA47" s="20">
        <v>156</v>
      </c>
      <c r="AB47" s="20">
        <v>119</v>
      </c>
      <c r="AC47" s="20">
        <v>106</v>
      </c>
      <c r="AD47" s="20">
        <v>153</v>
      </c>
      <c r="AE47" s="20">
        <v>156</v>
      </c>
    </row>
    <row r="48" spans="1:31">
      <c r="A48" s="20" t="s">
        <v>87</v>
      </c>
      <c r="B48" s="20">
        <v>220029640</v>
      </c>
      <c r="C48" s="20" t="s">
        <v>88</v>
      </c>
      <c r="D48" s="20" t="s">
        <v>89</v>
      </c>
      <c r="E48" s="20">
        <v>400454000062</v>
      </c>
      <c r="F48" s="20" t="s">
        <v>90</v>
      </c>
      <c r="G48" s="20" t="s">
        <v>90</v>
      </c>
      <c r="H48" s="20" t="s">
        <v>91</v>
      </c>
      <c r="I48" s="20" t="s">
        <v>92</v>
      </c>
      <c r="J48" s="19" t="s">
        <v>93</v>
      </c>
      <c r="L48" s="20">
        <v>0</v>
      </c>
      <c r="M48" s="20" t="s">
        <v>95</v>
      </c>
      <c r="N48" s="20" t="s">
        <v>91</v>
      </c>
      <c r="O48" s="20">
        <v>0</v>
      </c>
      <c r="P48" s="20">
        <v>270</v>
      </c>
      <c r="Q48" s="20">
        <v>39.75</v>
      </c>
      <c r="R48" s="20">
        <v>1291.258</v>
      </c>
      <c r="S48" s="20">
        <v>0.09</v>
      </c>
      <c r="T48" s="20">
        <v>0.93</v>
      </c>
      <c r="U48" s="20">
        <v>0.18</v>
      </c>
      <c r="V48" s="20">
        <v>0.09</v>
      </c>
      <c r="W48" s="20">
        <v>0.06</v>
      </c>
      <c r="X48" s="20">
        <v>120</v>
      </c>
      <c r="Y48" s="20">
        <v>107</v>
      </c>
      <c r="Z48" s="20">
        <v>155</v>
      </c>
      <c r="AA48" s="20">
        <v>156</v>
      </c>
      <c r="AB48" s="20">
        <v>120</v>
      </c>
      <c r="AC48" s="20">
        <v>107</v>
      </c>
      <c r="AD48" s="20">
        <v>155</v>
      </c>
      <c r="AE48" s="20">
        <v>156</v>
      </c>
    </row>
    <row r="49" spans="1:31">
      <c r="A49" s="20" t="s">
        <v>87</v>
      </c>
      <c r="B49" s="20">
        <v>220029640</v>
      </c>
      <c r="C49" s="20" t="s">
        <v>88</v>
      </c>
      <c r="D49" s="20" t="s">
        <v>89</v>
      </c>
      <c r="E49" s="20">
        <v>400454000062</v>
      </c>
      <c r="F49" s="20" t="s">
        <v>90</v>
      </c>
      <c r="G49" s="20" t="s">
        <v>90</v>
      </c>
      <c r="H49" s="20" t="s">
        <v>91</v>
      </c>
      <c r="I49" s="20" t="s">
        <v>92</v>
      </c>
      <c r="J49" s="19" t="s">
        <v>93</v>
      </c>
      <c r="L49" s="20">
        <v>0</v>
      </c>
      <c r="M49" s="20" t="s">
        <v>95</v>
      </c>
      <c r="N49" s="20" t="s">
        <v>91</v>
      </c>
      <c r="O49" s="20">
        <v>0</v>
      </c>
      <c r="P49" s="20">
        <v>275</v>
      </c>
      <c r="Q49" s="20">
        <v>40.58</v>
      </c>
      <c r="R49" s="20">
        <v>1291.338</v>
      </c>
      <c r="S49" s="20">
        <v>0.1</v>
      </c>
      <c r="T49" s="20">
        <v>0.97</v>
      </c>
      <c r="U49" s="20">
        <v>0.18</v>
      </c>
      <c r="V49" s="20">
        <v>0.09</v>
      </c>
      <c r="W49" s="20">
        <v>0.06</v>
      </c>
      <c r="X49" s="20">
        <v>121</v>
      </c>
      <c r="Y49" s="20">
        <v>108</v>
      </c>
      <c r="Z49" s="20">
        <v>156</v>
      </c>
      <c r="AA49" s="20">
        <v>157</v>
      </c>
      <c r="AB49" s="20">
        <v>121</v>
      </c>
      <c r="AC49" s="20">
        <v>108</v>
      </c>
      <c r="AD49" s="20">
        <v>156</v>
      </c>
      <c r="AE49" s="20">
        <v>157</v>
      </c>
    </row>
    <row r="50" spans="1:31">
      <c r="A50" s="20" t="s">
        <v>87</v>
      </c>
      <c r="B50" s="20">
        <v>220029640</v>
      </c>
      <c r="C50" s="20" t="s">
        <v>88</v>
      </c>
      <c r="D50" s="20" t="s">
        <v>89</v>
      </c>
      <c r="E50" s="20">
        <v>400454000062</v>
      </c>
      <c r="F50" s="20" t="s">
        <v>90</v>
      </c>
      <c r="G50" s="20" t="s">
        <v>90</v>
      </c>
      <c r="H50" s="20" t="s">
        <v>91</v>
      </c>
      <c r="I50" s="20" t="s">
        <v>92</v>
      </c>
      <c r="J50" s="19" t="s">
        <v>93</v>
      </c>
      <c r="L50" s="20">
        <v>0</v>
      </c>
      <c r="M50" s="20" t="s">
        <v>95</v>
      </c>
      <c r="N50" s="20" t="s">
        <v>91</v>
      </c>
      <c r="O50" s="20">
        <v>0</v>
      </c>
      <c r="P50" s="20">
        <v>280</v>
      </c>
      <c r="Q50" s="20">
        <v>41.42</v>
      </c>
      <c r="R50" s="20">
        <v>1291.415</v>
      </c>
      <c r="S50" s="20">
        <v>0.09</v>
      </c>
      <c r="T50" s="20">
        <v>0.95</v>
      </c>
      <c r="U50" s="20">
        <v>0.18</v>
      </c>
      <c r="V50" s="20">
        <v>0.09</v>
      </c>
      <c r="W50" s="20">
        <v>0.06</v>
      </c>
      <c r="X50" s="20">
        <v>122</v>
      </c>
      <c r="Y50" s="20">
        <v>108</v>
      </c>
      <c r="Z50" s="20">
        <v>157</v>
      </c>
      <c r="AA50" s="20">
        <v>158</v>
      </c>
      <c r="AB50" s="20">
        <v>122</v>
      </c>
      <c r="AC50" s="20">
        <v>108</v>
      </c>
      <c r="AD50" s="20">
        <v>157</v>
      </c>
      <c r="AE50" s="20">
        <v>158</v>
      </c>
    </row>
    <row r="51" spans="1:31">
      <c r="A51" s="20" t="s">
        <v>87</v>
      </c>
      <c r="B51" s="20">
        <v>220029640</v>
      </c>
      <c r="C51" s="20" t="s">
        <v>88</v>
      </c>
      <c r="D51" s="20" t="s">
        <v>89</v>
      </c>
      <c r="E51" s="20">
        <v>400454000062</v>
      </c>
      <c r="F51" s="20" t="s">
        <v>90</v>
      </c>
      <c r="G51" s="20" t="s">
        <v>90</v>
      </c>
      <c r="H51" s="20" t="s">
        <v>91</v>
      </c>
      <c r="I51" s="20" t="s">
        <v>92</v>
      </c>
      <c r="J51" s="19" t="s">
        <v>93</v>
      </c>
      <c r="L51" s="20">
        <v>0</v>
      </c>
      <c r="M51" s="20" t="s">
        <v>95</v>
      </c>
      <c r="N51" s="20" t="s">
        <v>91</v>
      </c>
      <c r="O51" s="20">
        <v>0</v>
      </c>
      <c r="P51" s="20">
        <v>285</v>
      </c>
      <c r="Q51" s="20">
        <v>42.24</v>
      </c>
      <c r="R51" s="20">
        <v>1291.4929999999999</v>
      </c>
      <c r="S51" s="20">
        <v>0.1</v>
      </c>
      <c r="T51" s="20">
        <v>0.92</v>
      </c>
      <c r="U51" s="20">
        <v>0.18</v>
      </c>
      <c r="V51" s="20">
        <v>0.09</v>
      </c>
      <c r="W51" s="20">
        <v>0.06</v>
      </c>
      <c r="X51" s="20">
        <v>123</v>
      </c>
      <c r="Y51" s="20">
        <v>109</v>
      </c>
      <c r="Z51" s="20">
        <v>158</v>
      </c>
      <c r="AA51" s="20">
        <v>159</v>
      </c>
      <c r="AB51" s="20">
        <v>123</v>
      </c>
      <c r="AC51" s="20">
        <v>109</v>
      </c>
      <c r="AD51" s="20">
        <v>158</v>
      </c>
      <c r="AE51" s="20">
        <v>159</v>
      </c>
    </row>
    <row r="52" spans="1:31">
      <c r="A52" s="20" t="s">
        <v>87</v>
      </c>
      <c r="B52" s="20">
        <v>220029640</v>
      </c>
      <c r="C52" s="20" t="s">
        <v>88</v>
      </c>
      <c r="D52" s="20" t="s">
        <v>89</v>
      </c>
      <c r="E52" s="20">
        <v>400454000062</v>
      </c>
      <c r="F52" s="20" t="s">
        <v>90</v>
      </c>
      <c r="G52" s="20" t="s">
        <v>90</v>
      </c>
      <c r="H52" s="20" t="s">
        <v>91</v>
      </c>
      <c r="I52" s="20" t="s">
        <v>92</v>
      </c>
      <c r="J52" s="19" t="s">
        <v>93</v>
      </c>
      <c r="L52" s="20">
        <v>0</v>
      </c>
      <c r="M52" s="20" t="s">
        <v>95</v>
      </c>
      <c r="N52" s="20" t="s">
        <v>91</v>
      </c>
      <c r="O52" s="20">
        <v>0</v>
      </c>
      <c r="P52" s="20">
        <v>290</v>
      </c>
      <c r="Q52" s="20">
        <v>43.48</v>
      </c>
      <c r="R52" s="20">
        <v>1291.5709999999999</v>
      </c>
      <c r="S52" s="20">
        <v>0.06</v>
      </c>
      <c r="T52" s="20">
        <v>0.94</v>
      </c>
      <c r="U52" s="20">
        <v>0.18</v>
      </c>
      <c r="V52" s="20">
        <v>0.09</v>
      </c>
      <c r="W52" s="20">
        <v>0.06</v>
      </c>
      <c r="X52" s="20">
        <v>124</v>
      </c>
      <c r="Y52" s="20">
        <v>111</v>
      </c>
      <c r="Z52" s="20">
        <v>159</v>
      </c>
      <c r="AA52" s="20">
        <v>160</v>
      </c>
      <c r="AB52" s="20">
        <v>124</v>
      </c>
      <c r="AC52" s="20">
        <v>111</v>
      </c>
      <c r="AD52" s="20">
        <v>159</v>
      </c>
      <c r="AE52" s="20">
        <v>160</v>
      </c>
    </row>
    <row r="53" spans="1:31">
      <c r="A53" s="20" t="s">
        <v>87</v>
      </c>
      <c r="B53" s="20">
        <v>220029640</v>
      </c>
      <c r="C53" s="20" t="s">
        <v>88</v>
      </c>
      <c r="D53" s="20" t="s">
        <v>89</v>
      </c>
      <c r="E53" s="20">
        <v>400454000062</v>
      </c>
      <c r="F53" s="20" t="s">
        <v>90</v>
      </c>
      <c r="G53" s="20" t="s">
        <v>90</v>
      </c>
      <c r="H53" s="20" t="s">
        <v>91</v>
      </c>
      <c r="I53" s="20" t="s">
        <v>92</v>
      </c>
      <c r="J53" s="19" t="s">
        <v>93</v>
      </c>
      <c r="L53" s="20">
        <v>0</v>
      </c>
      <c r="M53" s="20" t="s">
        <v>95</v>
      </c>
      <c r="N53" s="20" t="s">
        <v>91</v>
      </c>
      <c r="O53" s="20">
        <v>0</v>
      </c>
      <c r="P53" s="20">
        <v>295</v>
      </c>
      <c r="Q53" s="20">
        <v>44.27</v>
      </c>
      <c r="R53" s="20">
        <v>1291.71</v>
      </c>
      <c r="S53" s="20">
        <v>0.18</v>
      </c>
      <c r="T53" s="20">
        <v>0.92</v>
      </c>
      <c r="U53" s="20">
        <v>0.18</v>
      </c>
      <c r="V53" s="20">
        <v>0.09</v>
      </c>
      <c r="W53" s="20">
        <v>0.06</v>
      </c>
      <c r="X53" s="20">
        <v>125</v>
      </c>
      <c r="Y53" s="20">
        <v>112</v>
      </c>
      <c r="Z53" s="20">
        <v>160</v>
      </c>
      <c r="AA53" s="20">
        <v>161</v>
      </c>
      <c r="AB53" s="20">
        <v>125</v>
      </c>
      <c r="AC53" s="20">
        <v>112</v>
      </c>
      <c r="AD53" s="20">
        <v>160</v>
      </c>
      <c r="AE53" s="20">
        <v>161</v>
      </c>
    </row>
    <row r="54" spans="1:31">
      <c r="A54" s="20" t="s">
        <v>87</v>
      </c>
      <c r="B54" s="20">
        <v>220029640</v>
      </c>
      <c r="C54" s="20" t="s">
        <v>88</v>
      </c>
      <c r="D54" s="20" t="s">
        <v>89</v>
      </c>
      <c r="E54" s="20">
        <v>400454000062</v>
      </c>
      <c r="F54" s="20" t="s">
        <v>90</v>
      </c>
      <c r="G54" s="20" t="s">
        <v>90</v>
      </c>
      <c r="H54" s="20" t="s">
        <v>91</v>
      </c>
      <c r="I54" s="20" t="s">
        <v>92</v>
      </c>
      <c r="J54" s="19" t="s">
        <v>93</v>
      </c>
      <c r="L54" s="20">
        <v>0</v>
      </c>
      <c r="M54" s="20" t="s">
        <v>95</v>
      </c>
      <c r="N54" s="20" t="s">
        <v>91</v>
      </c>
      <c r="O54" s="20">
        <v>0</v>
      </c>
      <c r="P54" s="20">
        <v>300</v>
      </c>
      <c r="Q54" s="20">
        <v>45.09</v>
      </c>
      <c r="R54" s="20">
        <v>1291.7670000000001</v>
      </c>
      <c r="S54" s="20">
        <v>7.0000000000000007E-2</v>
      </c>
      <c r="T54" s="20">
        <v>0.9</v>
      </c>
      <c r="U54" s="20">
        <v>0.18</v>
      </c>
      <c r="V54" s="20">
        <v>0.09</v>
      </c>
      <c r="W54" s="20">
        <v>0.06</v>
      </c>
      <c r="X54" s="20">
        <v>126</v>
      </c>
      <c r="Y54" s="20">
        <v>113</v>
      </c>
      <c r="Z54" s="20">
        <v>161</v>
      </c>
      <c r="AA54" s="20">
        <v>162</v>
      </c>
      <c r="AB54" s="20">
        <v>126</v>
      </c>
      <c r="AC54" s="20">
        <v>113</v>
      </c>
      <c r="AD54" s="20">
        <v>161</v>
      </c>
      <c r="AE54" s="20">
        <v>162</v>
      </c>
    </row>
    <row r="55" spans="1:31">
      <c r="A55" s="20" t="s">
        <v>87</v>
      </c>
      <c r="B55" s="20">
        <v>220029640</v>
      </c>
      <c r="C55" s="20" t="s">
        <v>88</v>
      </c>
      <c r="D55" s="20" t="s">
        <v>89</v>
      </c>
      <c r="E55" s="20">
        <v>400454000062</v>
      </c>
      <c r="F55" s="20" t="s">
        <v>90</v>
      </c>
      <c r="G55" s="20" t="s">
        <v>90</v>
      </c>
      <c r="H55" s="20" t="s">
        <v>91</v>
      </c>
      <c r="I55" s="20" t="s">
        <v>92</v>
      </c>
      <c r="J55" s="19" t="s">
        <v>93</v>
      </c>
      <c r="L55" s="20">
        <v>0</v>
      </c>
      <c r="M55" s="20" t="s">
        <v>95</v>
      </c>
      <c r="N55" s="20" t="s">
        <v>91</v>
      </c>
      <c r="O55" s="20">
        <v>0</v>
      </c>
      <c r="P55" s="20">
        <v>305</v>
      </c>
      <c r="Q55" s="20">
        <v>45.94</v>
      </c>
      <c r="R55" s="20">
        <v>1291.847</v>
      </c>
      <c r="S55" s="20">
        <v>0.09</v>
      </c>
      <c r="T55" s="20">
        <v>0.86</v>
      </c>
      <c r="U55" s="20">
        <v>0.18</v>
      </c>
      <c r="V55" s="20">
        <v>0.09</v>
      </c>
      <c r="W55" s="20">
        <v>0.06</v>
      </c>
      <c r="X55" s="20">
        <v>127</v>
      </c>
      <c r="Y55" s="20">
        <v>114</v>
      </c>
      <c r="Z55" s="20">
        <v>162</v>
      </c>
      <c r="AA55" s="20">
        <v>163</v>
      </c>
      <c r="AB55" s="20">
        <v>127</v>
      </c>
      <c r="AC55" s="20">
        <v>114</v>
      </c>
      <c r="AD55" s="20">
        <v>162</v>
      </c>
      <c r="AE55" s="20">
        <v>163</v>
      </c>
    </row>
    <row r="56" spans="1:31">
      <c r="A56" s="20" t="s">
        <v>87</v>
      </c>
      <c r="B56" s="20">
        <v>220029640</v>
      </c>
      <c r="C56" s="20" t="s">
        <v>88</v>
      </c>
      <c r="D56" s="20" t="s">
        <v>89</v>
      </c>
      <c r="E56" s="20">
        <v>400454000062</v>
      </c>
      <c r="F56" s="20" t="s">
        <v>90</v>
      </c>
      <c r="G56" s="20" t="s">
        <v>90</v>
      </c>
      <c r="H56" s="20" t="s">
        <v>91</v>
      </c>
      <c r="I56" s="20" t="s">
        <v>92</v>
      </c>
      <c r="J56" s="19" t="s">
        <v>93</v>
      </c>
      <c r="L56" s="20">
        <v>0</v>
      </c>
      <c r="M56" s="20" t="s">
        <v>95</v>
      </c>
      <c r="N56" s="20" t="s">
        <v>91</v>
      </c>
      <c r="O56" s="20">
        <v>0</v>
      </c>
      <c r="P56" s="20">
        <v>310</v>
      </c>
      <c r="Q56" s="20">
        <v>46.76</v>
      </c>
      <c r="R56" s="20">
        <v>1291.9269999999999</v>
      </c>
      <c r="S56" s="20">
        <v>0.1</v>
      </c>
      <c r="T56" s="20">
        <v>0.91</v>
      </c>
      <c r="U56" s="20">
        <v>0.18</v>
      </c>
      <c r="V56" s="20">
        <v>0.09</v>
      </c>
      <c r="W56" s="20">
        <v>0.06</v>
      </c>
      <c r="X56" s="20">
        <v>129</v>
      </c>
      <c r="Y56" s="20">
        <v>115</v>
      </c>
      <c r="Z56" s="20">
        <v>163</v>
      </c>
      <c r="AA56" s="20">
        <v>165</v>
      </c>
      <c r="AB56" s="20">
        <v>129</v>
      </c>
      <c r="AC56" s="20">
        <v>115</v>
      </c>
      <c r="AD56" s="20">
        <v>163</v>
      </c>
      <c r="AE56" s="20">
        <v>165</v>
      </c>
    </row>
    <row r="57" spans="1:31">
      <c r="A57" s="20" t="s">
        <v>87</v>
      </c>
      <c r="B57" s="20">
        <v>220029640</v>
      </c>
      <c r="C57" s="20" t="s">
        <v>88</v>
      </c>
      <c r="D57" s="20" t="s">
        <v>89</v>
      </c>
      <c r="E57" s="20">
        <v>400454000062</v>
      </c>
      <c r="F57" s="20" t="s">
        <v>90</v>
      </c>
      <c r="G57" s="20" t="s">
        <v>90</v>
      </c>
      <c r="H57" s="20" t="s">
        <v>91</v>
      </c>
      <c r="I57" s="20" t="s">
        <v>92</v>
      </c>
      <c r="J57" s="19" t="s">
        <v>93</v>
      </c>
      <c r="L57" s="20">
        <v>0</v>
      </c>
      <c r="M57" s="20" t="s">
        <v>95</v>
      </c>
      <c r="N57" s="20" t="s">
        <v>91</v>
      </c>
      <c r="O57" s="20">
        <v>0</v>
      </c>
      <c r="P57" s="20">
        <v>315</v>
      </c>
      <c r="Q57" s="20">
        <v>47.6</v>
      </c>
      <c r="R57" s="20">
        <v>1292.0039999999999</v>
      </c>
      <c r="S57" s="20">
        <v>0.09</v>
      </c>
      <c r="T57" s="20">
        <v>0.91</v>
      </c>
      <c r="U57" s="20">
        <v>0.18</v>
      </c>
      <c r="V57" s="20">
        <v>0.09</v>
      </c>
      <c r="W57" s="20">
        <v>0.06</v>
      </c>
      <c r="X57" s="20">
        <v>130</v>
      </c>
      <c r="Y57" s="20">
        <v>116</v>
      </c>
      <c r="Z57" s="20">
        <v>164</v>
      </c>
      <c r="AA57" s="20">
        <v>166</v>
      </c>
      <c r="AB57" s="20">
        <v>130</v>
      </c>
      <c r="AC57" s="20">
        <v>116</v>
      </c>
      <c r="AD57" s="20">
        <v>164</v>
      </c>
      <c r="AE57" s="20">
        <v>166</v>
      </c>
    </row>
    <row r="58" spans="1:31">
      <c r="A58" s="20" t="s">
        <v>87</v>
      </c>
      <c r="B58" s="20">
        <v>220029640</v>
      </c>
      <c r="C58" s="20" t="s">
        <v>88</v>
      </c>
      <c r="D58" s="20" t="s">
        <v>89</v>
      </c>
      <c r="E58" s="20">
        <v>400454000062</v>
      </c>
      <c r="F58" s="20" t="s">
        <v>90</v>
      </c>
      <c r="G58" s="20" t="s">
        <v>90</v>
      </c>
      <c r="H58" s="20" t="s">
        <v>91</v>
      </c>
      <c r="I58" s="20" t="s">
        <v>92</v>
      </c>
      <c r="J58" s="19" t="s">
        <v>93</v>
      </c>
      <c r="L58" s="20">
        <v>0</v>
      </c>
      <c r="M58" s="20" t="s">
        <v>95</v>
      </c>
      <c r="N58" s="20" t="s">
        <v>91</v>
      </c>
      <c r="O58" s="20">
        <v>0</v>
      </c>
      <c r="P58" s="20">
        <v>320</v>
      </c>
      <c r="Q58" s="20">
        <v>48.45</v>
      </c>
      <c r="R58" s="20">
        <v>1292.0840000000001</v>
      </c>
      <c r="S58" s="20">
        <v>0.09</v>
      </c>
      <c r="T58" s="20">
        <v>0.94</v>
      </c>
      <c r="U58" s="20">
        <v>0.18</v>
      </c>
      <c r="V58" s="20">
        <v>0.09</v>
      </c>
      <c r="W58" s="20">
        <v>0.06</v>
      </c>
      <c r="X58" s="20">
        <v>131</v>
      </c>
      <c r="Y58" s="20">
        <v>117</v>
      </c>
      <c r="Z58" s="20">
        <v>165</v>
      </c>
      <c r="AA58" s="20">
        <v>167</v>
      </c>
      <c r="AB58" s="20">
        <v>131</v>
      </c>
      <c r="AC58" s="20">
        <v>117</v>
      </c>
      <c r="AD58" s="20">
        <v>165</v>
      </c>
      <c r="AE58" s="20">
        <v>167</v>
      </c>
    </row>
    <row r="59" spans="1:31">
      <c r="A59" s="20" t="s">
        <v>87</v>
      </c>
      <c r="B59" s="20">
        <v>220029640</v>
      </c>
      <c r="C59" s="20" t="s">
        <v>88</v>
      </c>
      <c r="D59" s="20" t="s">
        <v>89</v>
      </c>
      <c r="E59" s="20">
        <v>400454000062</v>
      </c>
      <c r="F59" s="20" t="s">
        <v>90</v>
      </c>
      <c r="G59" s="20" t="s">
        <v>90</v>
      </c>
      <c r="H59" s="20" t="s">
        <v>91</v>
      </c>
      <c r="I59" s="20" t="s">
        <v>92</v>
      </c>
      <c r="J59" s="19" t="s">
        <v>93</v>
      </c>
      <c r="L59" s="20">
        <v>0</v>
      </c>
      <c r="M59" s="20" t="s">
        <v>95</v>
      </c>
      <c r="N59" s="20" t="s">
        <v>91</v>
      </c>
      <c r="O59" s="20">
        <v>0</v>
      </c>
      <c r="P59" s="20">
        <v>325</v>
      </c>
      <c r="Q59" s="20">
        <v>49.28</v>
      </c>
      <c r="R59" s="20">
        <v>1292.164</v>
      </c>
      <c r="S59" s="20">
        <v>0.1</v>
      </c>
      <c r="T59" s="20">
        <v>0.91</v>
      </c>
      <c r="U59" s="20">
        <v>0.18</v>
      </c>
      <c r="V59" s="20">
        <v>0.09</v>
      </c>
      <c r="W59" s="20">
        <v>0.06</v>
      </c>
      <c r="X59" s="20">
        <v>132</v>
      </c>
      <c r="Y59" s="20">
        <v>118</v>
      </c>
      <c r="Z59" s="20">
        <v>166</v>
      </c>
      <c r="AA59" s="20">
        <v>168</v>
      </c>
      <c r="AB59" s="20">
        <v>132</v>
      </c>
      <c r="AC59" s="20">
        <v>118</v>
      </c>
      <c r="AD59" s="20">
        <v>166</v>
      </c>
      <c r="AE59" s="20">
        <v>168</v>
      </c>
    </row>
    <row r="60" spans="1:31">
      <c r="A60" s="20" t="s">
        <v>87</v>
      </c>
      <c r="B60" s="20">
        <v>220029640</v>
      </c>
      <c r="C60" s="20" t="s">
        <v>88</v>
      </c>
      <c r="D60" s="20" t="s">
        <v>89</v>
      </c>
      <c r="E60" s="20">
        <v>400454000062</v>
      </c>
      <c r="F60" s="20" t="s">
        <v>90</v>
      </c>
      <c r="G60" s="20" t="s">
        <v>90</v>
      </c>
      <c r="H60" s="20" t="s">
        <v>91</v>
      </c>
      <c r="I60" s="20" t="s">
        <v>92</v>
      </c>
      <c r="J60" s="19" t="s">
        <v>93</v>
      </c>
      <c r="L60" s="20">
        <v>0</v>
      </c>
      <c r="M60" s="20" t="s">
        <v>95</v>
      </c>
      <c r="N60" s="20" t="s">
        <v>91</v>
      </c>
      <c r="O60" s="20">
        <v>0</v>
      </c>
      <c r="P60" s="20">
        <v>330</v>
      </c>
      <c r="Q60" s="20">
        <v>50.12</v>
      </c>
      <c r="R60" s="20">
        <v>1292.2439999999999</v>
      </c>
      <c r="S60" s="20">
        <v>0.1</v>
      </c>
      <c r="T60" s="20">
        <v>0.92</v>
      </c>
      <c r="U60" s="20">
        <v>0.18</v>
      </c>
      <c r="V60" s="20">
        <v>0.09</v>
      </c>
      <c r="W60" s="20">
        <v>0.06</v>
      </c>
      <c r="X60" s="20">
        <v>134</v>
      </c>
      <c r="Y60" s="20">
        <v>120</v>
      </c>
      <c r="Z60" s="20">
        <v>167</v>
      </c>
      <c r="AA60" s="20">
        <v>169</v>
      </c>
      <c r="AB60" s="20">
        <v>134</v>
      </c>
      <c r="AC60" s="20">
        <v>120</v>
      </c>
      <c r="AD60" s="20">
        <v>167</v>
      </c>
      <c r="AE60" s="20">
        <v>169</v>
      </c>
    </row>
    <row r="61" spans="1:31">
      <c r="A61" s="20" t="s">
        <v>87</v>
      </c>
      <c r="B61" s="20">
        <v>220029640</v>
      </c>
      <c r="C61" s="20" t="s">
        <v>88</v>
      </c>
      <c r="D61" s="20" t="s">
        <v>89</v>
      </c>
      <c r="E61" s="20">
        <v>400454000062</v>
      </c>
      <c r="F61" s="20" t="s">
        <v>90</v>
      </c>
      <c r="G61" s="20" t="s">
        <v>90</v>
      </c>
      <c r="H61" s="20" t="s">
        <v>91</v>
      </c>
      <c r="I61" s="20" t="s">
        <v>92</v>
      </c>
      <c r="J61" s="19" t="s">
        <v>93</v>
      </c>
      <c r="L61" s="20">
        <v>0</v>
      </c>
      <c r="M61" s="20" t="s">
        <v>95</v>
      </c>
      <c r="N61" s="20" t="s">
        <v>91</v>
      </c>
      <c r="O61" s="20">
        <v>0</v>
      </c>
      <c r="P61" s="20">
        <v>335</v>
      </c>
      <c r="Q61" s="20">
        <v>50.94</v>
      </c>
      <c r="R61" s="20">
        <v>1292.3230000000001</v>
      </c>
      <c r="S61" s="20">
        <v>0.1</v>
      </c>
      <c r="T61" s="20">
        <v>0.85</v>
      </c>
      <c r="U61" s="20">
        <v>0.18</v>
      </c>
      <c r="V61" s="20">
        <v>0.09</v>
      </c>
      <c r="W61" s="20">
        <v>0.06</v>
      </c>
      <c r="X61" s="20">
        <v>135</v>
      </c>
      <c r="Y61" s="20">
        <v>121</v>
      </c>
      <c r="Z61" s="20">
        <v>169</v>
      </c>
      <c r="AA61" s="20">
        <v>170</v>
      </c>
      <c r="AB61" s="20">
        <v>135</v>
      </c>
      <c r="AC61" s="20">
        <v>121</v>
      </c>
      <c r="AD61" s="20">
        <v>169</v>
      </c>
      <c r="AE61" s="20">
        <v>170</v>
      </c>
    </row>
    <row r="62" spans="1:31">
      <c r="A62" s="20" t="s">
        <v>87</v>
      </c>
      <c r="B62" s="20">
        <v>220029640</v>
      </c>
      <c r="C62" s="20" t="s">
        <v>88</v>
      </c>
      <c r="D62" s="20" t="s">
        <v>89</v>
      </c>
      <c r="E62" s="20">
        <v>400454000062</v>
      </c>
      <c r="F62" s="20" t="s">
        <v>90</v>
      </c>
      <c r="G62" s="20" t="s">
        <v>90</v>
      </c>
      <c r="H62" s="20" t="s">
        <v>91</v>
      </c>
      <c r="I62" s="20" t="s">
        <v>92</v>
      </c>
      <c r="J62" s="19" t="s">
        <v>93</v>
      </c>
      <c r="L62" s="20">
        <v>0</v>
      </c>
      <c r="M62" s="20" t="s">
        <v>95</v>
      </c>
      <c r="N62" s="20" t="s">
        <v>91</v>
      </c>
      <c r="O62" s="20">
        <v>0</v>
      </c>
      <c r="P62" s="20">
        <v>340</v>
      </c>
      <c r="Q62" s="20">
        <v>51.77</v>
      </c>
      <c r="R62" s="20">
        <v>1292.404</v>
      </c>
      <c r="S62" s="20">
        <v>0.1</v>
      </c>
      <c r="T62" s="20">
        <v>0.86</v>
      </c>
      <c r="U62" s="20">
        <v>0.18</v>
      </c>
      <c r="V62" s="20">
        <v>0.09</v>
      </c>
      <c r="W62" s="20">
        <v>0.06</v>
      </c>
      <c r="X62" s="20">
        <v>137</v>
      </c>
      <c r="Y62" s="20">
        <v>122</v>
      </c>
      <c r="Z62" s="20">
        <v>170</v>
      </c>
      <c r="AA62" s="20">
        <v>171</v>
      </c>
      <c r="AB62" s="20">
        <v>137</v>
      </c>
      <c r="AC62" s="20">
        <v>122</v>
      </c>
      <c r="AD62" s="20">
        <v>170</v>
      </c>
      <c r="AE62" s="20">
        <v>171</v>
      </c>
    </row>
    <row r="63" spans="1:31">
      <c r="A63" s="20" t="s">
        <v>87</v>
      </c>
      <c r="B63" s="20">
        <v>220029640</v>
      </c>
      <c r="C63" s="20" t="s">
        <v>88</v>
      </c>
      <c r="D63" s="20" t="s">
        <v>89</v>
      </c>
      <c r="E63" s="20">
        <v>400454000062</v>
      </c>
      <c r="F63" s="20" t="s">
        <v>90</v>
      </c>
      <c r="G63" s="20" t="s">
        <v>90</v>
      </c>
      <c r="H63" s="20" t="s">
        <v>91</v>
      </c>
      <c r="I63" s="20" t="s">
        <v>92</v>
      </c>
      <c r="J63" s="19" t="s">
        <v>93</v>
      </c>
      <c r="L63" s="20">
        <v>0</v>
      </c>
      <c r="M63" s="20" t="s">
        <v>95</v>
      </c>
      <c r="N63" s="20" t="s">
        <v>91</v>
      </c>
      <c r="O63" s="20">
        <v>0</v>
      </c>
      <c r="P63" s="20">
        <v>345</v>
      </c>
      <c r="Q63" s="20">
        <v>52.62</v>
      </c>
      <c r="R63" s="20">
        <v>1292.4829999999999</v>
      </c>
      <c r="S63" s="20">
        <v>0.09</v>
      </c>
      <c r="T63" s="20">
        <v>0.86</v>
      </c>
      <c r="U63" s="20">
        <v>0.18</v>
      </c>
      <c r="V63" s="20">
        <v>0.09</v>
      </c>
      <c r="W63" s="20">
        <v>0.06</v>
      </c>
      <c r="X63" s="20">
        <v>138</v>
      </c>
      <c r="Y63" s="20">
        <v>124</v>
      </c>
      <c r="Z63" s="20">
        <v>171</v>
      </c>
      <c r="AA63" s="20">
        <v>173</v>
      </c>
      <c r="AB63" s="20">
        <v>138</v>
      </c>
      <c r="AC63" s="20">
        <v>124</v>
      </c>
      <c r="AD63" s="20">
        <v>171</v>
      </c>
      <c r="AE63" s="20">
        <v>173</v>
      </c>
    </row>
    <row r="64" spans="1:31">
      <c r="A64" s="20" t="s">
        <v>87</v>
      </c>
      <c r="B64" s="20">
        <v>220029640</v>
      </c>
      <c r="C64" s="20" t="s">
        <v>88</v>
      </c>
      <c r="D64" s="20" t="s">
        <v>89</v>
      </c>
      <c r="E64" s="20">
        <v>400454000062</v>
      </c>
      <c r="F64" s="20" t="s">
        <v>90</v>
      </c>
      <c r="G64" s="20" t="s">
        <v>90</v>
      </c>
      <c r="H64" s="20" t="s">
        <v>91</v>
      </c>
      <c r="I64" s="20" t="s">
        <v>92</v>
      </c>
      <c r="J64" s="19" t="s">
        <v>93</v>
      </c>
      <c r="L64" s="20">
        <v>0</v>
      </c>
      <c r="M64" s="20" t="s">
        <v>95</v>
      </c>
      <c r="N64" s="20" t="s">
        <v>91</v>
      </c>
      <c r="O64" s="20">
        <v>0</v>
      </c>
      <c r="P64" s="20">
        <v>350</v>
      </c>
      <c r="Q64" s="20">
        <v>53.45</v>
      </c>
      <c r="R64" s="20">
        <v>1292.5640000000001</v>
      </c>
      <c r="S64" s="20">
        <v>0.1</v>
      </c>
      <c r="T64" s="20">
        <v>0.92</v>
      </c>
      <c r="U64" s="20">
        <v>0.18</v>
      </c>
      <c r="V64" s="20">
        <v>0.09</v>
      </c>
      <c r="W64" s="20">
        <v>0.06</v>
      </c>
      <c r="X64" s="20">
        <v>140</v>
      </c>
      <c r="Y64" s="20">
        <v>125</v>
      </c>
      <c r="Z64" s="20">
        <v>172</v>
      </c>
      <c r="AA64" s="20">
        <v>174</v>
      </c>
      <c r="AB64" s="20">
        <v>140</v>
      </c>
      <c r="AC64" s="20">
        <v>125</v>
      </c>
      <c r="AD64" s="20">
        <v>172</v>
      </c>
      <c r="AE64" s="20">
        <v>174</v>
      </c>
    </row>
    <row r="65" spans="1:31">
      <c r="A65" s="20" t="s">
        <v>87</v>
      </c>
      <c r="B65" s="20">
        <v>220029640</v>
      </c>
      <c r="C65" s="20" t="s">
        <v>88</v>
      </c>
      <c r="D65" s="20" t="s">
        <v>89</v>
      </c>
      <c r="E65" s="20">
        <v>400454000062</v>
      </c>
      <c r="F65" s="20" t="s">
        <v>90</v>
      </c>
      <c r="G65" s="20" t="s">
        <v>90</v>
      </c>
      <c r="H65" s="20" t="s">
        <v>91</v>
      </c>
      <c r="I65" s="20" t="s">
        <v>92</v>
      </c>
      <c r="J65" s="19" t="s">
        <v>93</v>
      </c>
      <c r="L65" s="20">
        <v>0</v>
      </c>
      <c r="M65" s="20" t="s">
        <v>95</v>
      </c>
      <c r="N65" s="20" t="s">
        <v>91</v>
      </c>
      <c r="O65" s="20">
        <v>0</v>
      </c>
      <c r="P65" s="20">
        <v>355</v>
      </c>
      <c r="Q65" s="20">
        <v>54.29</v>
      </c>
      <c r="R65" s="20">
        <v>1292.643</v>
      </c>
      <c r="S65" s="20">
        <v>0.09</v>
      </c>
      <c r="T65" s="20">
        <v>0.9</v>
      </c>
      <c r="U65" s="20">
        <v>0.18</v>
      </c>
      <c r="V65" s="20">
        <v>0.09</v>
      </c>
      <c r="W65" s="20">
        <v>0.06</v>
      </c>
      <c r="X65" s="20">
        <v>142</v>
      </c>
      <c r="Y65" s="20">
        <v>127</v>
      </c>
      <c r="Z65" s="20">
        <v>174</v>
      </c>
      <c r="AA65" s="20">
        <v>175</v>
      </c>
      <c r="AB65" s="20">
        <v>142</v>
      </c>
      <c r="AC65" s="20">
        <v>127</v>
      </c>
      <c r="AD65" s="20">
        <v>174</v>
      </c>
      <c r="AE65" s="20">
        <v>175</v>
      </c>
    </row>
    <row r="66" spans="1:31">
      <c r="A66" s="20" t="s">
        <v>87</v>
      </c>
      <c r="B66" s="20">
        <v>220029640</v>
      </c>
      <c r="C66" s="20" t="s">
        <v>88</v>
      </c>
      <c r="D66" s="20" t="s">
        <v>89</v>
      </c>
      <c r="E66" s="20">
        <v>400454000062</v>
      </c>
      <c r="F66" s="20" t="s">
        <v>90</v>
      </c>
      <c r="G66" s="20" t="s">
        <v>90</v>
      </c>
      <c r="H66" s="20" t="s">
        <v>91</v>
      </c>
      <c r="I66" s="20" t="s">
        <v>92</v>
      </c>
      <c r="J66" s="19" t="s">
        <v>93</v>
      </c>
      <c r="L66" s="20">
        <v>0</v>
      </c>
      <c r="M66" s="20" t="s">
        <v>95</v>
      </c>
      <c r="N66" s="20" t="s">
        <v>91</v>
      </c>
      <c r="O66" s="20">
        <v>0</v>
      </c>
      <c r="P66" s="20">
        <v>360</v>
      </c>
      <c r="Q66" s="20">
        <v>55.14</v>
      </c>
      <c r="R66" s="20">
        <v>1292.722</v>
      </c>
      <c r="S66" s="20">
        <v>0.09</v>
      </c>
      <c r="T66" s="20">
        <v>0.9</v>
      </c>
      <c r="U66" s="20">
        <v>0.18</v>
      </c>
      <c r="V66" s="20">
        <v>0.09</v>
      </c>
      <c r="W66" s="20">
        <v>0.06</v>
      </c>
      <c r="X66" s="20">
        <v>143</v>
      </c>
      <c r="Y66" s="20">
        <v>129</v>
      </c>
      <c r="Z66" s="20">
        <v>176</v>
      </c>
      <c r="AA66" s="20">
        <v>177</v>
      </c>
      <c r="AB66" s="20">
        <v>143</v>
      </c>
      <c r="AC66" s="20">
        <v>129</v>
      </c>
      <c r="AD66" s="20">
        <v>176</v>
      </c>
      <c r="AE66" s="20">
        <v>177</v>
      </c>
    </row>
    <row r="67" spans="1:31">
      <c r="A67" s="20" t="s">
        <v>87</v>
      </c>
      <c r="B67" s="20">
        <v>220029640</v>
      </c>
      <c r="C67" s="20" t="s">
        <v>88</v>
      </c>
      <c r="D67" s="20" t="s">
        <v>89</v>
      </c>
      <c r="E67" s="20">
        <v>400454000062</v>
      </c>
      <c r="F67" s="20" t="s">
        <v>90</v>
      </c>
      <c r="G67" s="20" t="s">
        <v>90</v>
      </c>
      <c r="H67" s="20" t="s">
        <v>91</v>
      </c>
      <c r="I67" s="20" t="s">
        <v>92</v>
      </c>
      <c r="J67" s="19" t="s">
        <v>93</v>
      </c>
      <c r="L67" s="20">
        <v>0</v>
      </c>
      <c r="M67" s="20" t="s">
        <v>95</v>
      </c>
      <c r="N67" s="20" t="s">
        <v>91</v>
      </c>
      <c r="O67" s="20">
        <v>0</v>
      </c>
      <c r="P67" s="20">
        <v>365</v>
      </c>
      <c r="Q67" s="20">
        <v>55.97</v>
      </c>
      <c r="R67" s="20">
        <v>1292.8019999999999</v>
      </c>
      <c r="S67" s="20">
        <v>0.1</v>
      </c>
      <c r="T67" s="20">
        <v>0.91</v>
      </c>
      <c r="U67" s="20">
        <v>0.18</v>
      </c>
      <c r="V67" s="20">
        <v>0.09</v>
      </c>
      <c r="W67" s="20">
        <v>0.06</v>
      </c>
      <c r="X67" s="20">
        <v>145</v>
      </c>
      <c r="Y67" s="20">
        <v>130</v>
      </c>
      <c r="Z67" s="20">
        <v>178</v>
      </c>
      <c r="AA67" s="20">
        <v>178</v>
      </c>
      <c r="AB67" s="20">
        <v>145</v>
      </c>
      <c r="AC67" s="20">
        <v>130</v>
      </c>
      <c r="AD67" s="20">
        <v>178</v>
      </c>
      <c r="AE67" s="20">
        <v>178</v>
      </c>
    </row>
    <row r="68" spans="1:31">
      <c r="A68" s="20" t="s">
        <v>87</v>
      </c>
      <c r="B68" s="20">
        <v>220029640</v>
      </c>
      <c r="C68" s="20" t="s">
        <v>88</v>
      </c>
      <c r="D68" s="20" t="s">
        <v>89</v>
      </c>
      <c r="E68" s="20">
        <v>400454000062</v>
      </c>
      <c r="F68" s="20" t="s">
        <v>90</v>
      </c>
      <c r="G68" s="20" t="s">
        <v>90</v>
      </c>
      <c r="H68" s="20" t="s">
        <v>91</v>
      </c>
      <c r="I68" s="20" t="s">
        <v>92</v>
      </c>
      <c r="J68" s="19" t="s">
        <v>93</v>
      </c>
      <c r="L68" s="20">
        <v>0</v>
      </c>
      <c r="M68" s="20" t="s">
        <v>95</v>
      </c>
      <c r="N68" s="20" t="s">
        <v>91</v>
      </c>
      <c r="O68" s="20">
        <v>0</v>
      </c>
      <c r="P68" s="20">
        <v>370</v>
      </c>
      <c r="Q68" s="20">
        <v>56.81</v>
      </c>
      <c r="R68" s="20">
        <v>1292.884</v>
      </c>
      <c r="S68" s="20">
        <v>0.1</v>
      </c>
      <c r="T68" s="20">
        <v>0.88</v>
      </c>
      <c r="U68" s="20">
        <v>0.18</v>
      </c>
      <c r="V68" s="20">
        <v>0.09</v>
      </c>
      <c r="W68" s="20">
        <v>0.06</v>
      </c>
      <c r="X68" s="20">
        <v>147</v>
      </c>
      <c r="Y68" s="20">
        <v>132</v>
      </c>
      <c r="Z68" s="20">
        <v>179</v>
      </c>
      <c r="AA68" s="20">
        <v>180</v>
      </c>
      <c r="AB68" s="20">
        <v>147</v>
      </c>
      <c r="AC68" s="20">
        <v>132</v>
      </c>
      <c r="AD68" s="20">
        <v>179</v>
      </c>
      <c r="AE68" s="20">
        <v>180</v>
      </c>
    </row>
    <row r="69" spans="1:31">
      <c r="A69" s="20" t="s">
        <v>87</v>
      </c>
      <c r="B69" s="20">
        <v>220029640</v>
      </c>
      <c r="C69" s="20" t="s">
        <v>88</v>
      </c>
      <c r="D69" s="20" t="s">
        <v>89</v>
      </c>
      <c r="E69" s="20">
        <v>400454000062</v>
      </c>
      <c r="F69" s="20" t="s">
        <v>90</v>
      </c>
      <c r="G69" s="20" t="s">
        <v>90</v>
      </c>
      <c r="H69" s="20" t="s">
        <v>91</v>
      </c>
      <c r="I69" s="20" t="s">
        <v>92</v>
      </c>
      <c r="J69" s="19" t="s">
        <v>93</v>
      </c>
      <c r="L69" s="20">
        <v>0</v>
      </c>
      <c r="M69" s="20" t="s">
        <v>95</v>
      </c>
      <c r="N69" s="20" t="s">
        <v>91</v>
      </c>
      <c r="O69" s="20">
        <v>0</v>
      </c>
      <c r="P69" s="20">
        <v>375</v>
      </c>
      <c r="Q69" s="20">
        <v>57.67</v>
      </c>
      <c r="R69" s="20">
        <v>1292.962</v>
      </c>
      <c r="S69" s="20">
        <v>0.09</v>
      </c>
      <c r="T69" s="20">
        <v>0.92</v>
      </c>
      <c r="U69" s="20">
        <v>0.18</v>
      </c>
      <c r="V69" s="20">
        <v>0.09</v>
      </c>
      <c r="W69" s="20">
        <v>0.06</v>
      </c>
      <c r="X69" s="20">
        <v>149</v>
      </c>
      <c r="Y69" s="20">
        <v>134</v>
      </c>
      <c r="Z69" s="20">
        <v>181</v>
      </c>
      <c r="AA69" s="20">
        <v>181</v>
      </c>
      <c r="AB69" s="20">
        <v>149</v>
      </c>
      <c r="AC69" s="20">
        <v>134</v>
      </c>
      <c r="AD69" s="20">
        <v>181</v>
      </c>
      <c r="AE69" s="20">
        <v>181</v>
      </c>
    </row>
    <row r="70" spans="1:31">
      <c r="A70" s="20" t="s">
        <v>87</v>
      </c>
      <c r="B70" s="20">
        <v>220029640</v>
      </c>
      <c r="C70" s="20" t="s">
        <v>88</v>
      </c>
      <c r="D70" s="20" t="s">
        <v>89</v>
      </c>
      <c r="E70" s="20">
        <v>400454000062</v>
      </c>
      <c r="F70" s="20" t="s">
        <v>90</v>
      </c>
      <c r="G70" s="20" t="s">
        <v>90</v>
      </c>
      <c r="H70" s="20" t="s">
        <v>91</v>
      </c>
      <c r="I70" s="20" t="s">
        <v>92</v>
      </c>
      <c r="J70" s="19" t="s">
        <v>93</v>
      </c>
      <c r="L70" s="20">
        <v>0</v>
      </c>
      <c r="M70" s="20" t="s">
        <v>95</v>
      </c>
      <c r="N70" s="20" t="s">
        <v>91</v>
      </c>
      <c r="O70" s="20">
        <v>0</v>
      </c>
      <c r="P70" s="20">
        <v>380</v>
      </c>
      <c r="Q70" s="20">
        <v>58.45</v>
      </c>
      <c r="R70" s="20">
        <v>1293.0429999999999</v>
      </c>
      <c r="S70" s="20">
        <v>0.1</v>
      </c>
      <c r="T70" s="20">
        <v>0.92</v>
      </c>
      <c r="U70" s="20">
        <v>0.18</v>
      </c>
      <c r="V70" s="20">
        <v>0.09</v>
      </c>
      <c r="W70" s="20">
        <v>0.06</v>
      </c>
      <c r="X70" s="20">
        <v>150</v>
      </c>
      <c r="Y70" s="20">
        <v>136</v>
      </c>
      <c r="Z70" s="20">
        <v>183</v>
      </c>
      <c r="AA70" s="20">
        <v>183</v>
      </c>
      <c r="AB70" s="20">
        <v>150</v>
      </c>
      <c r="AC70" s="20">
        <v>136</v>
      </c>
      <c r="AD70" s="20">
        <v>183</v>
      </c>
      <c r="AE70" s="20">
        <v>183</v>
      </c>
    </row>
    <row r="71" spans="1:31">
      <c r="A71" s="20" t="s">
        <v>87</v>
      </c>
      <c r="B71" s="20">
        <v>220029640</v>
      </c>
      <c r="C71" s="20" t="s">
        <v>88</v>
      </c>
      <c r="D71" s="20" t="s">
        <v>89</v>
      </c>
      <c r="E71" s="20">
        <v>400454000062</v>
      </c>
      <c r="F71" s="20" t="s">
        <v>90</v>
      </c>
      <c r="G71" s="20" t="s">
        <v>90</v>
      </c>
      <c r="H71" s="20" t="s">
        <v>91</v>
      </c>
      <c r="I71" s="20" t="s">
        <v>92</v>
      </c>
      <c r="J71" s="19" t="s">
        <v>93</v>
      </c>
      <c r="L71" s="20">
        <v>0</v>
      </c>
      <c r="M71" s="20" t="s">
        <v>95</v>
      </c>
      <c r="N71" s="20" t="s">
        <v>91</v>
      </c>
      <c r="O71" s="20">
        <v>0</v>
      </c>
      <c r="P71" s="20">
        <v>385</v>
      </c>
      <c r="Q71" s="20">
        <v>59.3</v>
      </c>
      <c r="R71" s="20">
        <v>1293.124</v>
      </c>
      <c r="S71" s="20">
        <v>0.1</v>
      </c>
      <c r="T71" s="20">
        <v>0.91</v>
      </c>
      <c r="U71" s="20">
        <v>0.18</v>
      </c>
      <c r="V71" s="20">
        <v>0.09</v>
      </c>
      <c r="W71" s="20">
        <v>0.06</v>
      </c>
      <c r="X71" s="20">
        <v>153</v>
      </c>
      <c r="Y71" s="20">
        <v>137</v>
      </c>
      <c r="Z71" s="20">
        <v>184</v>
      </c>
      <c r="AA71" s="20">
        <v>184</v>
      </c>
      <c r="AB71" s="20">
        <v>153</v>
      </c>
      <c r="AC71" s="20">
        <v>137</v>
      </c>
      <c r="AD71" s="20">
        <v>184</v>
      </c>
      <c r="AE71" s="20">
        <v>184</v>
      </c>
    </row>
    <row r="72" spans="1:31">
      <c r="A72" s="20" t="s">
        <v>87</v>
      </c>
      <c r="B72" s="20">
        <v>220029640</v>
      </c>
      <c r="C72" s="20" t="s">
        <v>88</v>
      </c>
      <c r="D72" s="20" t="s">
        <v>89</v>
      </c>
      <c r="E72" s="20">
        <v>400454000062</v>
      </c>
      <c r="F72" s="20" t="s">
        <v>90</v>
      </c>
      <c r="G72" s="20" t="s">
        <v>90</v>
      </c>
      <c r="H72" s="20" t="s">
        <v>91</v>
      </c>
      <c r="I72" s="20" t="s">
        <v>92</v>
      </c>
      <c r="J72" s="19" t="s">
        <v>93</v>
      </c>
      <c r="L72" s="20">
        <v>0</v>
      </c>
      <c r="M72" s="20" t="s">
        <v>95</v>
      </c>
      <c r="N72" s="20" t="s">
        <v>91</v>
      </c>
      <c r="O72" s="20">
        <v>0</v>
      </c>
      <c r="P72" s="20">
        <v>390</v>
      </c>
      <c r="Q72" s="20">
        <v>60.16</v>
      </c>
      <c r="R72" s="20">
        <v>1293.2049999999999</v>
      </c>
      <c r="S72" s="20">
        <v>0.09</v>
      </c>
      <c r="T72" s="20">
        <v>0.94</v>
      </c>
      <c r="U72" s="20">
        <v>0.18</v>
      </c>
      <c r="V72" s="20">
        <v>0.09</v>
      </c>
      <c r="W72" s="20">
        <v>0.06</v>
      </c>
      <c r="X72" s="20">
        <v>155</v>
      </c>
      <c r="Y72" s="20">
        <v>139</v>
      </c>
      <c r="Z72" s="20">
        <v>186</v>
      </c>
      <c r="AA72" s="20">
        <v>186</v>
      </c>
      <c r="AB72" s="20">
        <v>155</v>
      </c>
      <c r="AC72" s="20">
        <v>139</v>
      </c>
      <c r="AD72" s="20">
        <v>186</v>
      </c>
      <c r="AE72" s="20">
        <v>186</v>
      </c>
    </row>
    <row r="73" spans="1:31">
      <c r="A73" s="20" t="s">
        <v>87</v>
      </c>
      <c r="B73" s="20">
        <v>220029640</v>
      </c>
      <c r="C73" s="20" t="s">
        <v>88</v>
      </c>
      <c r="D73" s="20" t="s">
        <v>89</v>
      </c>
      <c r="E73" s="20">
        <v>400454000062</v>
      </c>
      <c r="F73" s="20" t="s">
        <v>90</v>
      </c>
      <c r="G73" s="20" t="s">
        <v>90</v>
      </c>
      <c r="H73" s="20" t="s">
        <v>91</v>
      </c>
      <c r="I73" s="20" t="s">
        <v>92</v>
      </c>
      <c r="J73" s="19" t="s">
        <v>93</v>
      </c>
      <c r="L73" s="20">
        <v>0</v>
      </c>
      <c r="M73" s="20" t="s">
        <v>95</v>
      </c>
      <c r="N73" s="20" t="s">
        <v>91</v>
      </c>
      <c r="O73" s="20">
        <v>0</v>
      </c>
      <c r="P73" s="20">
        <v>395</v>
      </c>
      <c r="Q73" s="20">
        <v>60.95</v>
      </c>
      <c r="R73" s="20">
        <v>1293.289</v>
      </c>
      <c r="S73" s="20">
        <v>0.11</v>
      </c>
      <c r="T73" s="20">
        <v>0.97</v>
      </c>
      <c r="U73" s="20">
        <v>0.18</v>
      </c>
      <c r="V73" s="20">
        <v>0.09</v>
      </c>
      <c r="W73" s="20">
        <v>0.06</v>
      </c>
      <c r="X73" s="20">
        <v>157</v>
      </c>
      <c r="Y73" s="20">
        <v>142</v>
      </c>
      <c r="Z73" s="20">
        <v>187</v>
      </c>
      <c r="AA73" s="20">
        <v>188</v>
      </c>
      <c r="AB73" s="20">
        <v>157</v>
      </c>
      <c r="AC73" s="20">
        <v>142</v>
      </c>
      <c r="AD73" s="20">
        <v>187</v>
      </c>
      <c r="AE73" s="20">
        <v>188</v>
      </c>
    </row>
    <row r="74" spans="1:31">
      <c r="A74" s="20" t="s">
        <v>87</v>
      </c>
      <c r="B74" s="20">
        <v>220029640</v>
      </c>
      <c r="C74" s="20" t="s">
        <v>88</v>
      </c>
      <c r="D74" s="20" t="s">
        <v>89</v>
      </c>
      <c r="E74" s="20">
        <v>400454000062</v>
      </c>
      <c r="F74" s="20" t="s">
        <v>90</v>
      </c>
      <c r="G74" s="20" t="s">
        <v>90</v>
      </c>
      <c r="H74" s="20" t="s">
        <v>91</v>
      </c>
      <c r="I74" s="20" t="s">
        <v>92</v>
      </c>
      <c r="J74" s="19" t="s">
        <v>93</v>
      </c>
      <c r="L74" s="20">
        <v>0</v>
      </c>
      <c r="M74" s="20" t="s">
        <v>95</v>
      </c>
      <c r="N74" s="20" t="s">
        <v>91</v>
      </c>
      <c r="O74" s="20">
        <v>0</v>
      </c>
      <c r="P74" s="20">
        <v>400</v>
      </c>
      <c r="Q74" s="20">
        <v>61.75</v>
      </c>
      <c r="R74" s="20">
        <v>1293.374</v>
      </c>
      <c r="S74" s="20">
        <v>0.11</v>
      </c>
      <c r="T74" s="20">
        <v>0.96</v>
      </c>
      <c r="U74" s="20">
        <v>0.18</v>
      </c>
      <c r="V74" s="20">
        <v>0.09</v>
      </c>
      <c r="W74" s="20">
        <v>0.06</v>
      </c>
      <c r="X74" s="20">
        <v>160</v>
      </c>
      <c r="Y74" s="20">
        <v>144</v>
      </c>
      <c r="Z74" s="20">
        <v>189</v>
      </c>
      <c r="AA74" s="20">
        <v>190</v>
      </c>
      <c r="AB74" s="20">
        <v>160</v>
      </c>
      <c r="AC74" s="20">
        <v>144</v>
      </c>
      <c r="AD74" s="20">
        <v>189</v>
      </c>
      <c r="AE74" s="20">
        <v>190</v>
      </c>
    </row>
    <row r="75" spans="1:31">
      <c r="A75" s="20" t="s">
        <v>87</v>
      </c>
      <c r="B75" s="20">
        <v>220029640</v>
      </c>
      <c r="C75" s="20" t="s">
        <v>88</v>
      </c>
      <c r="D75" s="20" t="s">
        <v>89</v>
      </c>
      <c r="E75" s="20">
        <v>400454000062</v>
      </c>
      <c r="F75" s="20" t="s">
        <v>90</v>
      </c>
      <c r="G75" s="20" t="s">
        <v>90</v>
      </c>
      <c r="H75" s="20" t="s">
        <v>91</v>
      </c>
      <c r="I75" s="20" t="s">
        <v>92</v>
      </c>
      <c r="J75" s="19" t="s">
        <v>93</v>
      </c>
      <c r="L75" s="20">
        <v>0</v>
      </c>
      <c r="M75" s="20" t="s">
        <v>95</v>
      </c>
      <c r="N75" s="20" t="s">
        <v>91</v>
      </c>
      <c r="O75" s="20">
        <v>0</v>
      </c>
      <c r="P75" s="20">
        <v>405</v>
      </c>
      <c r="Q75" s="20">
        <v>62.57</v>
      </c>
      <c r="R75" s="20">
        <v>1293.4590000000001</v>
      </c>
      <c r="S75" s="20">
        <v>0.1</v>
      </c>
      <c r="T75" s="20">
        <v>0.94</v>
      </c>
      <c r="U75" s="20">
        <v>0.18</v>
      </c>
      <c r="V75" s="20">
        <v>0.09</v>
      </c>
      <c r="W75" s="20">
        <v>0.06</v>
      </c>
      <c r="X75" s="20">
        <v>162</v>
      </c>
      <c r="Y75" s="20">
        <v>146</v>
      </c>
      <c r="Z75" s="20">
        <v>191</v>
      </c>
      <c r="AA75" s="20">
        <v>191</v>
      </c>
      <c r="AB75" s="20">
        <v>162</v>
      </c>
      <c r="AC75" s="20">
        <v>146</v>
      </c>
      <c r="AD75" s="20">
        <v>191</v>
      </c>
      <c r="AE75" s="20">
        <v>191</v>
      </c>
    </row>
    <row r="76" spans="1:31">
      <c r="A76" s="20" t="s">
        <v>87</v>
      </c>
      <c r="B76" s="20">
        <v>220029640</v>
      </c>
      <c r="C76" s="20" t="s">
        <v>88</v>
      </c>
      <c r="D76" s="20" t="s">
        <v>89</v>
      </c>
      <c r="E76" s="20">
        <v>400454000062</v>
      </c>
      <c r="F76" s="20" t="s">
        <v>90</v>
      </c>
      <c r="G76" s="20" t="s">
        <v>90</v>
      </c>
      <c r="H76" s="20" t="s">
        <v>91</v>
      </c>
      <c r="I76" s="20" t="s">
        <v>92</v>
      </c>
      <c r="J76" s="19" t="s">
        <v>93</v>
      </c>
      <c r="L76" s="20">
        <v>0</v>
      </c>
      <c r="M76" s="20" t="s">
        <v>95</v>
      </c>
      <c r="N76" s="20" t="s">
        <v>91</v>
      </c>
      <c r="O76" s="20">
        <v>0</v>
      </c>
      <c r="P76" s="20">
        <v>410</v>
      </c>
      <c r="Q76" s="20">
        <v>63.41</v>
      </c>
      <c r="R76" s="20">
        <v>1293.5450000000001</v>
      </c>
      <c r="S76" s="20">
        <v>0.1</v>
      </c>
      <c r="T76" s="20">
        <v>0.96</v>
      </c>
      <c r="U76" s="20">
        <v>0.18</v>
      </c>
      <c r="V76" s="20">
        <v>0.09</v>
      </c>
      <c r="W76" s="20">
        <v>0.06</v>
      </c>
      <c r="X76" s="20">
        <v>165</v>
      </c>
      <c r="Y76" s="20">
        <v>149</v>
      </c>
      <c r="Z76" s="20">
        <v>193</v>
      </c>
      <c r="AA76" s="20">
        <v>194</v>
      </c>
      <c r="AB76" s="20">
        <v>165</v>
      </c>
      <c r="AC76" s="20">
        <v>149</v>
      </c>
      <c r="AD76" s="20">
        <v>193</v>
      </c>
      <c r="AE76" s="20">
        <v>194</v>
      </c>
    </row>
    <row r="77" spans="1:31">
      <c r="A77" s="20" t="s">
        <v>87</v>
      </c>
      <c r="B77" s="20">
        <v>220029640</v>
      </c>
      <c r="C77" s="20" t="s">
        <v>88</v>
      </c>
      <c r="D77" s="20" t="s">
        <v>89</v>
      </c>
      <c r="E77" s="20">
        <v>400454000062</v>
      </c>
      <c r="F77" s="20" t="s">
        <v>90</v>
      </c>
      <c r="G77" s="20" t="s">
        <v>90</v>
      </c>
      <c r="H77" s="20" t="s">
        <v>91</v>
      </c>
      <c r="I77" s="20" t="s">
        <v>92</v>
      </c>
      <c r="J77" s="19" t="s">
        <v>93</v>
      </c>
      <c r="L77" s="20">
        <v>0</v>
      </c>
      <c r="M77" s="20" t="s">
        <v>95</v>
      </c>
      <c r="N77" s="20" t="s">
        <v>91</v>
      </c>
      <c r="O77" s="20">
        <v>0</v>
      </c>
      <c r="P77" s="20">
        <v>415</v>
      </c>
      <c r="Q77" s="20">
        <v>64.27</v>
      </c>
      <c r="R77" s="20">
        <v>1293.633</v>
      </c>
      <c r="S77" s="20">
        <v>0.1</v>
      </c>
      <c r="T77" s="20">
        <v>0.9</v>
      </c>
      <c r="U77" s="20">
        <v>0.18</v>
      </c>
      <c r="V77" s="20">
        <v>0.09</v>
      </c>
      <c r="W77" s="20">
        <v>0.06</v>
      </c>
      <c r="X77" s="20">
        <v>168</v>
      </c>
      <c r="Y77" s="20">
        <v>151</v>
      </c>
      <c r="Z77" s="20">
        <v>196</v>
      </c>
      <c r="AA77" s="20">
        <v>196</v>
      </c>
      <c r="AB77" s="20">
        <v>168</v>
      </c>
      <c r="AC77" s="20">
        <v>151</v>
      </c>
      <c r="AD77" s="20">
        <v>196</v>
      </c>
      <c r="AE77" s="20">
        <v>196</v>
      </c>
    </row>
    <row r="78" spans="1:31">
      <c r="A78" s="20" t="s">
        <v>87</v>
      </c>
      <c r="B78" s="20">
        <v>220029640</v>
      </c>
      <c r="C78" s="20" t="s">
        <v>88</v>
      </c>
      <c r="D78" s="20" t="s">
        <v>89</v>
      </c>
      <c r="E78" s="20">
        <v>400454000062</v>
      </c>
      <c r="F78" s="20" t="s">
        <v>90</v>
      </c>
      <c r="G78" s="20" t="s">
        <v>90</v>
      </c>
      <c r="H78" s="20" t="s">
        <v>91</v>
      </c>
      <c r="I78" s="20" t="s">
        <v>92</v>
      </c>
      <c r="J78" s="19" t="s">
        <v>93</v>
      </c>
      <c r="L78" s="20">
        <v>0</v>
      </c>
      <c r="M78" s="20" t="s">
        <v>95</v>
      </c>
      <c r="N78" s="20" t="s">
        <v>91</v>
      </c>
      <c r="O78" s="20">
        <v>0</v>
      </c>
      <c r="P78" s="20">
        <v>420</v>
      </c>
      <c r="Q78" s="20">
        <v>65.099999999999994</v>
      </c>
      <c r="R78" s="20">
        <v>1293.722</v>
      </c>
      <c r="S78" s="20">
        <v>0.11</v>
      </c>
      <c r="T78" s="20">
        <v>0.87</v>
      </c>
      <c r="U78" s="20">
        <v>0.18</v>
      </c>
      <c r="V78" s="20">
        <v>0.09</v>
      </c>
      <c r="W78" s="20">
        <v>0.06</v>
      </c>
      <c r="X78" s="20">
        <v>172</v>
      </c>
      <c r="Y78" s="20">
        <v>154</v>
      </c>
      <c r="Z78" s="20">
        <v>198</v>
      </c>
      <c r="AA78" s="20">
        <v>198</v>
      </c>
      <c r="AB78" s="20">
        <v>172</v>
      </c>
      <c r="AC78" s="20">
        <v>154</v>
      </c>
      <c r="AD78" s="20">
        <v>198</v>
      </c>
      <c r="AE78" s="20">
        <v>198</v>
      </c>
    </row>
    <row r="79" spans="1:31">
      <c r="A79" s="20" t="s">
        <v>87</v>
      </c>
      <c r="B79" s="20">
        <v>220029640</v>
      </c>
      <c r="C79" s="20" t="s">
        <v>88</v>
      </c>
      <c r="D79" s="20" t="s">
        <v>89</v>
      </c>
      <c r="E79" s="20">
        <v>400454000062</v>
      </c>
      <c r="F79" s="20" t="s">
        <v>90</v>
      </c>
      <c r="G79" s="20" t="s">
        <v>90</v>
      </c>
      <c r="H79" s="20" t="s">
        <v>91</v>
      </c>
      <c r="I79" s="20" t="s">
        <v>92</v>
      </c>
      <c r="J79" s="19" t="s">
        <v>93</v>
      </c>
      <c r="L79" s="20">
        <v>0</v>
      </c>
      <c r="M79" s="20" t="s">
        <v>95</v>
      </c>
      <c r="N79" s="20" t="s">
        <v>91</v>
      </c>
      <c r="O79" s="20">
        <v>0</v>
      </c>
      <c r="P79" s="20">
        <v>425</v>
      </c>
      <c r="Q79" s="20">
        <v>65.89</v>
      </c>
      <c r="R79" s="20">
        <v>1293.8109999999999</v>
      </c>
      <c r="S79" s="20">
        <v>0.11</v>
      </c>
      <c r="T79" s="20">
        <v>0.89</v>
      </c>
      <c r="U79" s="20">
        <v>0.18</v>
      </c>
      <c r="V79" s="20">
        <v>0.09</v>
      </c>
      <c r="W79" s="20">
        <v>0.06</v>
      </c>
      <c r="X79" s="20">
        <v>175</v>
      </c>
      <c r="Y79" s="20">
        <v>157</v>
      </c>
      <c r="Z79" s="20">
        <v>200</v>
      </c>
      <c r="AA79" s="20">
        <v>200</v>
      </c>
      <c r="AB79" s="20">
        <v>175</v>
      </c>
      <c r="AC79" s="20">
        <v>157</v>
      </c>
      <c r="AD79" s="20">
        <v>200</v>
      </c>
      <c r="AE79" s="20">
        <v>200</v>
      </c>
    </row>
    <row r="80" spans="1:31">
      <c r="A80" s="20" t="s">
        <v>87</v>
      </c>
      <c r="B80" s="20">
        <v>220029640</v>
      </c>
      <c r="C80" s="20" t="s">
        <v>88</v>
      </c>
      <c r="D80" s="20" t="s">
        <v>89</v>
      </c>
      <c r="E80" s="20">
        <v>400454000062</v>
      </c>
      <c r="F80" s="20" t="s">
        <v>90</v>
      </c>
      <c r="G80" s="20" t="s">
        <v>90</v>
      </c>
      <c r="H80" s="20" t="s">
        <v>91</v>
      </c>
      <c r="I80" s="20" t="s">
        <v>92</v>
      </c>
      <c r="J80" s="19" t="s">
        <v>93</v>
      </c>
      <c r="L80" s="20">
        <v>0</v>
      </c>
      <c r="M80" s="20" t="s">
        <v>95</v>
      </c>
      <c r="N80" s="20" t="s">
        <v>91</v>
      </c>
      <c r="O80" s="20">
        <v>0</v>
      </c>
      <c r="P80" s="20">
        <v>430</v>
      </c>
      <c r="Q80" s="20">
        <v>66.75</v>
      </c>
      <c r="R80" s="20">
        <v>1293.9010000000001</v>
      </c>
      <c r="S80" s="20">
        <v>0.1</v>
      </c>
      <c r="T80" s="20">
        <v>0.82</v>
      </c>
      <c r="U80" s="20">
        <v>0.18</v>
      </c>
      <c r="V80" s="20">
        <v>0.09</v>
      </c>
      <c r="W80" s="20">
        <v>0.06</v>
      </c>
      <c r="X80" s="20">
        <v>179</v>
      </c>
      <c r="Y80" s="20">
        <v>159</v>
      </c>
      <c r="Z80" s="20">
        <v>202</v>
      </c>
      <c r="AA80" s="20">
        <v>203</v>
      </c>
      <c r="AB80" s="20">
        <v>179</v>
      </c>
      <c r="AC80" s="20">
        <v>159</v>
      </c>
      <c r="AD80" s="20">
        <v>202</v>
      </c>
      <c r="AE80" s="20">
        <v>203</v>
      </c>
    </row>
    <row r="81" spans="1:44">
      <c r="A81" s="20" t="s">
        <v>87</v>
      </c>
      <c r="B81" s="20">
        <v>220029640</v>
      </c>
      <c r="C81" s="20" t="s">
        <v>88</v>
      </c>
      <c r="D81" s="20" t="s">
        <v>89</v>
      </c>
      <c r="E81" s="20">
        <v>400454000062</v>
      </c>
      <c r="F81" s="20" t="s">
        <v>90</v>
      </c>
      <c r="G81" s="20" t="s">
        <v>90</v>
      </c>
      <c r="H81" s="20" t="s">
        <v>91</v>
      </c>
      <c r="I81" s="20" t="s">
        <v>92</v>
      </c>
      <c r="J81" s="19" t="s">
        <v>93</v>
      </c>
      <c r="L81" s="20">
        <v>0</v>
      </c>
      <c r="M81" s="20" t="s">
        <v>95</v>
      </c>
      <c r="N81" s="20" t="s">
        <v>91</v>
      </c>
      <c r="O81" s="20">
        <v>0</v>
      </c>
      <c r="P81" s="20">
        <v>435</v>
      </c>
      <c r="Q81" s="20">
        <v>67.569999999999993</v>
      </c>
      <c r="R81" s="20">
        <v>1293.99</v>
      </c>
      <c r="S81" s="20">
        <v>0.11</v>
      </c>
      <c r="T81" s="20">
        <v>0.81</v>
      </c>
      <c r="U81" s="20">
        <v>0.18</v>
      </c>
      <c r="V81" s="20">
        <v>0.09</v>
      </c>
      <c r="W81" s="20">
        <v>0.06</v>
      </c>
      <c r="X81" s="20">
        <v>182</v>
      </c>
      <c r="Y81" s="20">
        <v>163</v>
      </c>
      <c r="Z81" s="20">
        <v>205</v>
      </c>
      <c r="AA81" s="20">
        <v>205</v>
      </c>
      <c r="AB81" s="20">
        <v>182</v>
      </c>
      <c r="AC81" s="20">
        <v>163</v>
      </c>
      <c r="AD81" s="20">
        <v>205</v>
      </c>
      <c r="AE81" s="20">
        <v>205</v>
      </c>
    </row>
    <row r="82" spans="1:44">
      <c r="A82" s="20" t="s">
        <v>87</v>
      </c>
      <c r="B82" s="20">
        <v>220029640</v>
      </c>
      <c r="C82" s="20" t="s">
        <v>88</v>
      </c>
      <c r="D82" s="20" t="s">
        <v>89</v>
      </c>
      <c r="E82" s="20">
        <v>400454000062</v>
      </c>
      <c r="F82" s="20" t="s">
        <v>90</v>
      </c>
      <c r="G82" s="20" t="s">
        <v>90</v>
      </c>
      <c r="H82" s="20" t="s">
        <v>91</v>
      </c>
      <c r="I82" s="20" t="s">
        <v>92</v>
      </c>
      <c r="J82" s="19" t="s">
        <v>93</v>
      </c>
      <c r="L82" s="20">
        <v>0</v>
      </c>
      <c r="M82" s="20" t="s">
        <v>95</v>
      </c>
      <c r="N82" s="20" t="s">
        <v>91</v>
      </c>
      <c r="O82" s="20">
        <v>0</v>
      </c>
      <c r="P82" s="20">
        <v>440</v>
      </c>
      <c r="Q82" s="20">
        <v>68.42</v>
      </c>
      <c r="R82" s="20">
        <v>1294.0820000000001</v>
      </c>
      <c r="S82" s="20">
        <v>0.11</v>
      </c>
      <c r="T82" s="20">
        <v>0.84</v>
      </c>
      <c r="U82" s="20">
        <v>0.18</v>
      </c>
      <c r="V82" s="20">
        <v>0.09</v>
      </c>
      <c r="W82" s="20">
        <v>0.06</v>
      </c>
      <c r="X82" s="20">
        <v>186</v>
      </c>
      <c r="Y82" s="20">
        <v>166</v>
      </c>
      <c r="Z82" s="20">
        <v>208</v>
      </c>
      <c r="AA82" s="20">
        <v>208</v>
      </c>
      <c r="AB82" s="20">
        <v>186</v>
      </c>
      <c r="AC82" s="20">
        <v>166</v>
      </c>
      <c r="AD82" s="20">
        <v>208</v>
      </c>
      <c r="AE82" s="20">
        <v>208</v>
      </c>
    </row>
    <row r="83" spans="1:44">
      <c r="A83" s="20" t="s">
        <v>87</v>
      </c>
      <c r="B83" s="20">
        <v>220029640</v>
      </c>
      <c r="C83" s="20" t="s">
        <v>88</v>
      </c>
      <c r="D83" s="20" t="s">
        <v>89</v>
      </c>
      <c r="E83" s="20">
        <v>400454000062</v>
      </c>
      <c r="F83" s="20" t="s">
        <v>90</v>
      </c>
      <c r="G83" s="20" t="s">
        <v>90</v>
      </c>
      <c r="H83" s="20" t="s">
        <v>91</v>
      </c>
      <c r="I83" s="20" t="s">
        <v>92</v>
      </c>
      <c r="J83" s="19" t="s">
        <v>93</v>
      </c>
      <c r="L83" s="20">
        <v>0</v>
      </c>
      <c r="M83" s="20" t="s">
        <v>95</v>
      </c>
      <c r="N83" s="20" t="s">
        <v>91</v>
      </c>
      <c r="O83" s="20">
        <v>0</v>
      </c>
      <c r="P83" s="20">
        <v>445</v>
      </c>
      <c r="Q83" s="20">
        <v>69.28</v>
      </c>
      <c r="R83" s="20">
        <v>1294.173</v>
      </c>
      <c r="S83" s="20">
        <v>0.11</v>
      </c>
      <c r="T83" s="20">
        <v>0.79</v>
      </c>
      <c r="U83" s="20">
        <v>0.18</v>
      </c>
      <c r="V83" s="20">
        <v>0.09</v>
      </c>
      <c r="W83" s="20">
        <v>0.06</v>
      </c>
      <c r="X83" s="20">
        <v>191</v>
      </c>
      <c r="Y83" s="20">
        <v>169</v>
      </c>
      <c r="Z83" s="20">
        <v>211</v>
      </c>
      <c r="AA83" s="20">
        <v>211</v>
      </c>
      <c r="AB83" s="20">
        <v>191</v>
      </c>
      <c r="AC83" s="20">
        <v>169</v>
      </c>
      <c r="AD83" s="20">
        <v>211</v>
      </c>
      <c r="AE83" s="20">
        <v>211</v>
      </c>
    </row>
    <row r="84" spans="1:44">
      <c r="A84" s="20" t="s">
        <v>87</v>
      </c>
      <c r="B84" s="20">
        <v>220029640</v>
      </c>
      <c r="C84" s="20" t="s">
        <v>88</v>
      </c>
      <c r="D84" s="20" t="s">
        <v>89</v>
      </c>
      <c r="E84" s="20">
        <v>400454000062</v>
      </c>
      <c r="F84" s="20" t="s">
        <v>90</v>
      </c>
      <c r="G84" s="20" t="s">
        <v>90</v>
      </c>
      <c r="H84" s="20" t="s">
        <v>91</v>
      </c>
      <c r="I84" s="20" t="s">
        <v>92</v>
      </c>
      <c r="J84" s="19" t="s">
        <v>93</v>
      </c>
      <c r="L84" s="20">
        <v>0</v>
      </c>
      <c r="M84" s="20" t="s">
        <v>95</v>
      </c>
      <c r="N84" s="20" t="s">
        <v>91</v>
      </c>
      <c r="O84" s="20">
        <v>0</v>
      </c>
      <c r="P84" s="20">
        <v>450</v>
      </c>
      <c r="Q84" s="20">
        <v>70.11</v>
      </c>
      <c r="R84" s="20">
        <v>1294.2660000000001</v>
      </c>
      <c r="S84" s="20">
        <v>0.11</v>
      </c>
      <c r="T84" s="20">
        <v>0.82</v>
      </c>
      <c r="U84" s="20">
        <v>0.18</v>
      </c>
      <c r="V84" s="20">
        <v>0.09</v>
      </c>
      <c r="W84" s="20">
        <v>0.06</v>
      </c>
      <c r="X84" s="20">
        <v>195</v>
      </c>
      <c r="Y84" s="20">
        <v>173</v>
      </c>
      <c r="Z84" s="20">
        <v>214</v>
      </c>
      <c r="AA84" s="20">
        <v>213</v>
      </c>
      <c r="AB84" s="20">
        <v>195</v>
      </c>
      <c r="AC84" s="20">
        <v>173</v>
      </c>
      <c r="AD84" s="20">
        <v>214</v>
      </c>
      <c r="AE84" s="20">
        <v>213</v>
      </c>
    </row>
    <row r="85" spans="1:44">
      <c r="J85" s="19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1:44">
      <c r="J86" s="19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spans="1:44">
      <c r="M87" s="20"/>
      <c r="N87" s="20"/>
      <c r="O87" s="2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44">
      <c r="M88" s="20"/>
      <c r="N88" s="20"/>
      <c r="O88" s="2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44">
      <c r="M89" s="20"/>
      <c r="N89" s="20"/>
      <c r="O89" s="2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44">
      <c r="M90" s="20"/>
      <c r="N90" s="20"/>
      <c r="O90" s="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44">
      <c r="M91" s="20"/>
      <c r="N91" s="20"/>
      <c r="O91" s="2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44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44">
      <c r="M93" s="20"/>
      <c r="N93" s="20"/>
      <c r="O93" s="20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3:44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3:44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3:44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3:44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3:44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3:44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3:44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3:44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3:44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3:44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3:44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3:44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3:44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3:44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3:44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3:44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3:31">
      <c r="M113" s="20"/>
      <c r="N113" s="20"/>
      <c r="O113" s="20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</row>
    <row r="114" spans="13:31">
      <c r="M114" s="20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</row>
    <row r="115" spans="13:31">
      <c r="M115" s="20"/>
      <c r="N115" s="20"/>
      <c r="O115" s="20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</row>
    <row r="116" spans="13:31">
      <c r="M116" s="20"/>
      <c r="N116" s="20"/>
      <c r="O116" s="20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</row>
    <row r="117" spans="13:31">
      <c r="M117" s="20"/>
      <c r="N117" s="20"/>
      <c r="O117" s="20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</row>
    <row r="118" spans="13:31">
      <c r="M118" s="20"/>
      <c r="N118" s="20"/>
      <c r="O118" s="20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</row>
    <row r="119" spans="13:31">
      <c r="M119" s="20"/>
      <c r="N119" s="20"/>
      <c r="O119" s="2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3:31"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3:31"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3:31"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3:31"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3:31"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3:31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3:31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3:31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3:31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6:31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6:31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6:31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6:31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6:31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6:31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6:31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6:31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6:31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6:31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6:31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6:31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6:31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6:31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6:31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6:31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6:31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6:31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6:31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6:31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6:31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6:31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6:31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226"/>
  <sheetViews>
    <sheetView zoomScale="55" zoomScaleNormal="55" workbookViewId="0">
      <selection activeCell="A2" sqref="A2:XFD119"/>
    </sheetView>
  </sheetViews>
  <sheetFormatPr defaultRowHeight="15.6"/>
  <cols>
    <col min="1" max="43" width="12.09765625" style="1" customWidth="1"/>
  </cols>
  <sheetData>
    <row r="1" spans="1:34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</row>
    <row r="2" spans="1:34">
      <c r="A2" s="13" t="s">
        <v>87</v>
      </c>
      <c r="B2" s="13">
        <v>220029640</v>
      </c>
      <c r="C2" s="13" t="s">
        <v>88</v>
      </c>
      <c r="D2" s="13" t="s">
        <v>89</v>
      </c>
      <c r="E2" s="13">
        <v>400454000062</v>
      </c>
      <c r="F2" s="13" t="s">
        <v>90</v>
      </c>
      <c r="G2" s="13" t="s">
        <v>90</v>
      </c>
      <c r="H2" s="13" t="s">
        <v>91</v>
      </c>
      <c r="I2" s="13" t="s">
        <v>92</v>
      </c>
      <c r="J2" s="14" t="s">
        <v>93</v>
      </c>
      <c r="K2" s="13"/>
      <c r="L2" s="13">
        <v>0</v>
      </c>
      <c r="M2" s="13" t="s">
        <v>96</v>
      </c>
      <c r="N2" s="13" t="s">
        <v>91</v>
      </c>
      <c r="O2" s="13">
        <v>0</v>
      </c>
      <c r="P2" s="11">
        <v>40</v>
      </c>
      <c r="Q2" s="12">
        <v>-0.21</v>
      </c>
      <c r="R2" s="12">
        <v>1308.3219999999999</v>
      </c>
      <c r="S2" s="12">
        <v>0.08</v>
      </c>
      <c r="T2" s="12">
        <v>2.4900000000000002</v>
      </c>
      <c r="U2" s="12">
        <v>0.17</v>
      </c>
      <c r="V2" s="12">
        <v>0.09</v>
      </c>
      <c r="W2" s="12">
        <v>0.06</v>
      </c>
      <c r="X2" s="12">
        <v>105</v>
      </c>
      <c r="Y2" s="12">
        <v>87</v>
      </c>
      <c r="Z2" s="12">
        <v>124</v>
      </c>
      <c r="AA2" s="12">
        <v>140</v>
      </c>
      <c r="AB2" s="12">
        <v>105</v>
      </c>
      <c r="AC2" s="12">
        <v>87</v>
      </c>
      <c r="AD2" s="12">
        <v>124</v>
      </c>
      <c r="AE2" s="12">
        <v>140</v>
      </c>
      <c r="AF2" s="13"/>
      <c r="AG2" s="13"/>
      <c r="AH2" s="13"/>
    </row>
    <row r="3" spans="1:34">
      <c r="A3" s="13" t="s">
        <v>87</v>
      </c>
      <c r="B3" s="13">
        <v>220029640</v>
      </c>
      <c r="C3" s="13" t="s">
        <v>88</v>
      </c>
      <c r="D3" s="13" t="s">
        <v>89</v>
      </c>
      <c r="E3" s="13">
        <v>400454000062</v>
      </c>
      <c r="F3" s="13" t="s">
        <v>90</v>
      </c>
      <c r="G3" s="13" t="s">
        <v>90</v>
      </c>
      <c r="H3" s="13" t="s">
        <v>91</v>
      </c>
      <c r="I3" s="13" t="s">
        <v>92</v>
      </c>
      <c r="J3" s="14" t="s">
        <v>93</v>
      </c>
      <c r="K3" s="13"/>
      <c r="L3" s="13">
        <v>0</v>
      </c>
      <c r="M3" s="13" t="s">
        <v>96</v>
      </c>
      <c r="N3" s="13" t="s">
        <v>91</v>
      </c>
      <c r="O3" s="13">
        <v>0</v>
      </c>
      <c r="P3" s="11">
        <v>45</v>
      </c>
      <c r="Q3" s="12">
        <v>0.75</v>
      </c>
      <c r="R3" s="12">
        <v>1308.4069999999999</v>
      </c>
      <c r="S3" s="12">
        <v>0.09</v>
      </c>
      <c r="T3" s="12">
        <v>2.4900000000000002</v>
      </c>
      <c r="U3" s="12">
        <v>0.17</v>
      </c>
      <c r="V3" s="12">
        <v>0.09</v>
      </c>
      <c r="W3" s="12">
        <v>0.06</v>
      </c>
      <c r="X3" s="12">
        <v>105</v>
      </c>
      <c r="Y3" s="12">
        <v>87</v>
      </c>
      <c r="Z3" s="12">
        <v>124</v>
      </c>
      <c r="AA3" s="12">
        <v>140</v>
      </c>
      <c r="AB3" s="12">
        <v>105</v>
      </c>
      <c r="AC3" s="12">
        <v>87</v>
      </c>
      <c r="AD3" s="12">
        <v>124</v>
      </c>
      <c r="AE3" s="12">
        <v>140</v>
      </c>
      <c r="AF3" s="13"/>
      <c r="AG3" s="13"/>
      <c r="AH3" s="13"/>
    </row>
    <row r="4" spans="1:34">
      <c r="A4" s="13" t="s">
        <v>87</v>
      </c>
      <c r="B4" s="13">
        <v>220029640</v>
      </c>
      <c r="C4" s="13" t="s">
        <v>88</v>
      </c>
      <c r="D4" s="13" t="s">
        <v>89</v>
      </c>
      <c r="E4" s="13">
        <v>400454000062</v>
      </c>
      <c r="F4" s="13" t="s">
        <v>90</v>
      </c>
      <c r="G4" s="13" t="s">
        <v>90</v>
      </c>
      <c r="H4" s="13" t="s">
        <v>91</v>
      </c>
      <c r="I4" s="13" t="s">
        <v>92</v>
      </c>
      <c r="J4" s="14" t="s">
        <v>93</v>
      </c>
      <c r="K4" s="13"/>
      <c r="L4" s="13">
        <v>0</v>
      </c>
      <c r="M4" s="13" t="s">
        <v>96</v>
      </c>
      <c r="N4" s="13" t="s">
        <v>91</v>
      </c>
      <c r="O4" s="13">
        <v>0</v>
      </c>
      <c r="P4" s="11">
        <v>50</v>
      </c>
      <c r="Q4" s="12">
        <v>1.76</v>
      </c>
      <c r="R4" s="12">
        <v>1308.4949999999999</v>
      </c>
      <c r="S4" s="12">
        <v>0.09</v>
      </c>
      <c r="T4" s="12">
        <v>2.41</v>
      </c>
      <c r="U4" s="12">
        <v>0.17</v>
      </c>
      <c r="V4" s="12">
        <v>0.09</v>
      </c>
      <c r="W4" s="12">
        <v>0.06</v>
      </c>
      <c r="X4" s="12">
        <v>105</v>
      </c>
      <c r="Y4" s="12">
        <v>87</v>
      </c>
      <c r="Z4" s="12">
        <v>125</v>
      </c>
      <c r="AA4" s="12">
        <v>140</v>
      </c>
      <c r="AB4" s="12">
        <v>105</v>
      </c>
      <c r="AC4" s="12">
        <v>87</v>
      </c>
      <c r="AD4" s="12">
        <v>125</v>
      </c>
      <c r="AE4" s="12">
        <v>140</v>
      </c>
      <c r="AF4" s="13"/>
      <c r="AG4" s="13"/>
      <c r="AH4" s="13"/>
    </row>
    <row r="5" spans="1:34">
      <c r="A5" s="13" t="s">
        <v>87</v>
      </c>
      <c r="B5" s="13">
        <v>220029640</v>
      </c>
      <c r="C5" s="13" t="s">
        <v>88</v>
      </c>
      <c r="D5" s="13" t="s">
        <v>89</v>
      </c>
      <c r="E5" s="13">
        <v>400454000062</v>
      </c>
      <c r="F5" s="13" t="s">
        <v>90</v>
      </c>
      <c r="G5" s="13" t="s">
        <v>90</v>
      </c>
      <c r="H5" s="13" t="s">
        <v>91</v>
      </c>
      <c r="I5" s="13" t="s">
        <v>92</v>
      </c>
      <c r="J5" s="14" t="s">
        <v>93</v>
      </c>
      <c r="K5" s="13"/>
      <c r="L5" s="13">
        <v>0</v>
      </c>
      <c r="M5" s="13" t="s">
        <v>96</v>
      </c>
      <c r="N5" s="13" t="s">
        <v>91</v>
      </c>
      <c r="O5" s="13">
        <v>0</v>
      </c>
      <c r="P5" s="11">
        <v>55</v>
      </c>
      <c r="Q5" s="12">
        <v>2.7</v>
      </c>
      <c r="R5" s="12">
        <v>1308.5830000000001</v>
      </c>
      <c r="S5" s="12">
        <v>0.09</v>
      </c>
      <c r="T5" s="12">
        <v>2.46</v>
      </c>
      <c r="U5" s="12">
        <v>0.17</v>
      </c>
      <c r="V5" s="12">
        <v>0.09</v>
      </c>
      <c r="W5" s="12">
        <v>0.06</v>
      </c>
      <c r="X5" s="12">
        <v>105</v>
      </c>
      <c r="Y5" s="12">
        <v>88</v>
      </c>
      <c r="Z5" s="12">
        <v>126</v>
      </c>
      <c r="AA5" s="12">
        <v>140</v>
      </c>
      <c r="AB5" s="12">
        <v>105</v>
      </c>
      <c r="AC5" s="12">
        <v>88</v>
      </c>
      <c r="AD5" s="12">
        <v>126</v>
      </c>
      <c r="AE5" s="12">
        <v>140</v>
      </c>
      <c r="AF5" s="13"/>
      <c r="AG5" s="13"/>
      <c r="AH5" s="13"/>
    </row>
    <row r="6" spans="1:34">
      <c r="A6" s="13" t="s">
        <v>87</v>
      </c>
      <c r="B6" s="13">
        <v>220029640</v>
      </c>
      <c r="C6" s="13" t="s">
        <v>88</v>
      </c>
      <c r="D6" s="13" t="s">
        <v>89</v>
      </c>
      <c r="E6" s="13">
        <v>400454000062</v>
      </c>
      <c r="F6" s="13" t="s">
        <v>90</v>
      </c>
      <c r="G6" s="13" t="s">
        <v>90</v>
      </c>
      <c r="H6" s="13" t="s">
        <v>91</v>
      </c>
      <c r="I6" s="13" t="s">
        <v>92</v>
      </c>
      <c r="J6" s="14" t="s">
        <v>93</v>
      </c>
      <c r="K6" s="13"/>
      <c r="L6" s="13">
        <v>0</v>
      </c>
      <c r="M6" s="13" t="s">
        <v>96</v>
      </c>
      <c r="N6" s="13" t="s">
        <v>91</v>
      </c>
      <c r="O6" s="13">
        <v>0</v>
      </c>
      <c r="P6" s="11">
        <v>60</v>
      </c>
      <c r="Q6" s="12">
        <v>3.69</v>
      </c>
      <c r="R6" s="12">
        <v>1308.671</v>
      </c>
      <c r="S6" s="12">
        <v>0.09</v>
      </c>
      <c r="T6" s="12">
        <v>2.48</v>
      </c>
      <c r="U6" s="12">
        <v>0.17</v>
      </c>
      <c r="V6" s="12">
        <v>0.09</v>
      </c>
      <c r="W6" s="12">
        <v>0.06</v>
      </c>
      <c r="X6" s="12">
        <v>105</v>
      </c>
      <c r="Y6" s="12">
        <v>88</v>
      </c>
      <c r="Z6" s="12">
        <v>127</v>
      </c>
      <c r="AA6" s="12">
        <v>140</v>
      </c>
      <c r="AB6" s="12">
        <v>105</v>
      </c>
      <c r="AC6" s="12">
        <v>88</v>
      </c>
      <c r="AD6" s="12">
        <v>127</v>
      </c>
      <c r="AE6" s="12">
        <v>140</v>
      </c>
      <c r="AF6" s="13"/>
      <c r="AG6" s="13"/>
      <c r="AH6" s="13"/>
    </row>
    <row r="7" spans="1:34">
      <c r="A7" s="13" t="s">
        <v>87</v>
      </c>
      <c r="B7" s="13">
        <v>220029640</v>
      </c>
      <c r="C7" s="13" t="s">
        <v>88</v>
      </c>
      <c r="D7" s="13" t="s">
        <v>89</v>
      </c>
      <c r="E7" s="13">
        <v>400454000062</v>
      </c>
      <c r="F7" s="13" t="s">
        <v>90</v>
      </c>
      <c r="G7" s="13" t="s">
        <v>90</v>
      </c>
      <c r="H7" s="13" t="s">
        <v>91</v>
      </c>
      <c r="I7" s="13" t="s">
        <v>92</v>
      </c>
      <c r="J7" s="14" t="s">
        <v>93</v>
      </c>
      <c r="K7" s="13"/>
      <c r="L7" s="13">
        <v>0</v>
      </c>
      <c r="M7" s="13" t="s">
        <v>96</v>
      </c>
      <c r="N7" s="13" t="s">
        <v>91</v>
      </c>
      <c r="O7" s="13">
        <v>0</v>
      </c>
      <c r="P7" s="11">
        <v>65</v>
      </c>
      <c r="Q7" s="12">
        <v>4.67</v>
      </c>
      <c r="R7" s="12">
        <v>1308.758</v>
      </c>
      <c r="S7" s="12">
        <v>0.09</v>
      </c>
      <c r="T7" s="12">
        <v>2.48</v>
      </c>
      <c r="U7" s="12">
        <v>0.17</v>
      </c>
      <c r="V7" s="12">
        <v>0.09</v>
      </c>
      <c r="W7" s="12">
        <v>0.06</v>
      </c>
      <c r="X7" s="12">
        <v>105</v>
      </c>
      <c r="Y7" s="12">
        <v>88</v>
      </c>
      <c r="Z7" s="12">
        <v>127</v>
      </c>
      <c r="AA7" s="12">
        <v>140</v>
      </c>
      <c r="AB7" s="12">
        <v>105</v>
      </c>
      <c r="AC7" s="12">
        <v>88</v>
      </c>
      <c r="AD7" s="12">
        <v>127</v>
      </c>
      <c r="AE7" s="12">
        <v>140</v>
      </c>
      <c r="AF7" s="13"/>
      <c r="AG7" s="13"/>
      <c r="AH7" s="13"/>
    </row>
    <row r="8" spans="1:34">
      <c r="A8" s="13" t="s">
        <v>87</v>
      </c>
      <c r="B8" s="13">
        <v>220029640</v>
      </c>
      <c r="C8" s="13" t="s">
        <v>88</v>
      </c>
      <c r="D8" s="13" t="s">
        <v>89</v>
      </c>
      <c r="E8" s="13">
        <v>400454000062</v>
      </c>
      <c r="F8" s="13" t="s">
        <v>90</v>
      </c>
      <c r="G8" s="13" t="s">
        <v>90</v>
      </c>
      <c r="H8" s="13" t="s">
        <v>91</v>
      </c>
      <c r="I8" s="13" t="s">
        <v>92</v>
      </c>
      <c r="J8" s="14" t="s">
        <v>93</v>
      </c>
      <c r="K8" s="13"/>
      <c r="L8" s="13">
        <v>0</v>
      </c>
      <c r="M8" s="13" t="s">
        <v>96</v>
      </c>
      <c r="N8" s="13" t="s">
        <v>91</v>
      </c>
      <c r="O8" s="13">
        <v>0</v>
      </c>
      <c r="P8" s="11">
        <v>70</v>
      </c>
      <c r="Q8" s="12">
        <v>5.61</v>
      </c>
      <c r="R8" s="12">
        <v>1308.8420000000001</v>
      </c>
      <c r="S8" s="12">
        <v>0.09</v>
      </c>
      <c r="T8" s="12">
        <v>2.4500000000000002</v>
      </c>
      <c r="U8" s="12">
        <v>0.17</v>
      </c>
      <c r="V8" s="12">
        <v>0.09</v>
      </c>
      <c r="W8" s="12">
        <v>0.06</v>
      </c>
      <c r="X8" s="12">
        <v>105</v>
      </c>
      <c r="Y8" s="12">
        <v>88</v>
      </c>
      <c r="Z8" s="12">
        <v>128</v>
      </c>
      <c r="AA8" s="12">
        <v>140</v>
      </c>
      <c r="AB8" s="12">
        <v>105</v>
      </c>
      <c r="AC8" s="12">
        <v>88</v>
      </c>
      <c r="AD8" s="12">
        <v>128</v>
      </c>
      <c r="AE8" s="12">
        <v>140</v>
      </c>
      <c r="AF8" s="13"/>
      <c r="AG8" s="13"/>
      <c r="AH8" s="13"/>
    </row>
    <row r="9" spans="1:34">
      <c r="A9" s="13" t="s">
        <v>87</v>
      </c>
      <c r="B9" s="13">
        <v>220029640</v>
      </c>
      <c r="C9" s="13" t="s">
        <v>88</v>
      </c>
      <c r="D9" s="13" t="s">
        <v>89</v>
      </c>
      <c r="E9" s="13">
        <v>400454000062</v>
      </c>
      <c r="F9" s="13" t="s">
        <v>90</v>
      </c>
      <c r="G9" s="13" t="s">
        <v>90</v>
      </c>
      <c r="H9" s="13" t="s">
        <v>91</v>
      </c>
      <c r="I9" s="13" t="s">
        <v>92</v>
      </c>
      <c r="J9" s="14" t="s">
        <v>93</v>
      </c>
      <c r="K9" s="13"/>
      <c r="L9" s="13">
        <v>0</v>
      </c>
      <c r="M9" s="13" t="s">
        <v>96</v>
      </c>
      <c r="N9" s="13" t="s">
        <v>91</v>
      </c>
      <c r="O9" s="13">
        <v>0</v>
      </c>
      <c r="P9" s="11">
        <v>75</v>
      </c>
      <c r="Q9" s="12">
        <v>6.5</v>
      </c>
      <c r="R9" s="12">
        <v>1308.925</v>
      </c>
      <c r="S9" s="12">
        <v>0.09</v>
      </c>
      <c r="T9" s="12">
        <v>2.46</v>
      </c>
      <c r="U9" s="12">
        <v>0.17</v>
      </c>
      <c r="V9" s="12">
        <v>0.09</v>
      </c>
      <c r="W9" s="12">
        <v>0.06</v>
      </c>
      <c r="X9" s="12">
        <v>105</v>
      </c>
      <c r="Y9" s="12">
        <v>88</v>
      </c>
      <c r="Z9" s="12">
        <v>129</v>
      </c>
      <c r="AA9" s="12">
        <v>140</v>
      </c>
      <c r="AB9" s="12">
        <v>105</v>
      </c>
      <c r="AC9" s="12">
        <v>88</v>
      </c>
      <c r="AD9" s="12">
        <v>129</v>
      </c>
      <c r="AE9" s="12">
        <v>140</v>
      </c>
      <c r="AF9" s="13"/>
      <c r="AG9" s="13"/>
      <c r="AH9" s="13"/>
    </row>
    <row r="10" spans="1:34">
      <c r="A10" s="13" t="s">
        <v>87</v>
      </c>
      <c r="B10" s="13">
        <v>220029640</v>
      </c>
      <c r="C10" s="13" t="s">
        <v>88</v>
      </c>
      <c r="D10" s="13" t="s">
        <v>89</v>
      </c>
      <c r="E10" s="13">
        <v>400454000062</v>
      </c>
      <c r="F10" s="13" t="s">
        <v>90</v>
      </c>
      <c r="G10" s="13" t="s">
        <v>90</v>
      </c>
      <c r="H10" s="13" t="s">
        <v>91</v>
      </c>
      <c r="I10" s="13" t="s">
        <v>92</v>
      </c>
      <c r="J10" s="14" t="s">
        <v>93</v>
      </c>
      <c r="K10" s="13"/>
      <c r="L10" s="13">
        <v>0</v>
      </c>
      <c r="M10" s="13" t="s">
        <v>96</v>
      </c>
      <c r="N10" s="13" t="s">
        <v>91</v>
      </c>
      <c r="O10" s="13">
        <v>0</v>
      </c>
      <c r="P10" s="11">
        <v>80</v>
      </c>
      <c r="Q10" s="12">
        <v>7.41</v>
      </c>
      <c r="R10" s="12">
        <v>1309.008</v>
      </c>
      <c r="S10" s="12">
        <v>0.09</v>
      </c>
      <c r="T10" s="12">
        <v>2.4900000000000002</v>
      </c>
      <c r="U10" s="12">
        <v>0.17</v>
      </c>
      <c r="V10" s="12">
        <v>0.09</v>
      </c>
      <c r="W10" s="12">
        <v>0.06</v>
      </c>
      <c r="X10" s="12">
        <v>105</v>
      </c>
      <c r="Y10" s="12">
        <v>89</v>
      </c>
      <c r="Z10" s="12">
        <v>129</v>
      </c>
      <c r="AA10" s="12">
        <v>140</v>
      </c>
      <c r="AB10" s="12">
        <v>105</v>
      </c>
      <c r="AC10" s="12">
        <v>89</v>
      </c>
      <c r="AD10" s="12">
        <v>129</v>
      </c>
      <c r="AE10" s="12">
        <v>140</v>
      </c>
      <c r="AF10" s="13"/>
      <c r="AG10" s="13"/>
      <c r="AH10" s="13"/>
    </row>
    <row r="11" spans="1:34">
      <c r="A11" s="13" t="s">
        <v>87</v>
      </c>
      <c r="B11" s="13">
        <v>220029640</v>
      </c>
      <c r="C11" s="13" t="s">
        <v>88</v>
      </c>
      <c r="D11" s="13" t="s">
        <v>89</v>
      </c>
      <c r="E11" s="13">
        <v>400454000062</v>
      </c>
      <c r="F11" s="13" t="s">
        <v>90</v>
      </c>
      <c r="G11" s="13" t="s">
        <v>90</v>
      </c>
      <c r="H11" s="13" t="s">
        <v>91</v>
      </c>
      <c r="I11" s="13" t="s">
        <v>92</v>
      </c>
      <c r="J11" s="14" t="s">
        <v>93</v>
      </c>
      <c r="K11" s="13"/>
      <c r="L11" s="13">
        <v>0</v>
      </c>
      <c r="M11" s="13" t="s">
        <v>96</v>
      </c>
      <c r="N11" s="13" t="s">
        <v>91</v>
      </c>
      <c r="O11" s="13">
        <v>0</v>
      </c>
      <c r="P11" s="11">
        <v>85</v>
      </c>
      <c r="Q11" s="12">
        <v>8.3000000000000007</v>
      </c>
      <c r="R11" s="12">
        <v>1309.088</v>
      </c>
      <c r="S11" s="12">
        <v>0.09</v>
      </c>
      <c r="T11" s="12">
        <v>2.48</v>
      </c>
      <c r="U11" s="12">
        <v>0.17</v>
      </c>
      <c r="V11" s="12">
        <v>0.09</v>
      </c>
      <c r="W11" s="12">
        <v>0.06</v>
      </c>
      <c r="X11" s="12">
        <v>105</v>
      </c>
      <c r="Y11" s="12">
        <v>89</v>
      </c>
      <c r="Z11" s="12">
        <v>130</v>
      </c>
      <c r="AA11" s="12">
        <v>141</v>
      </c>
      <c r="AB11" s="12">
        <v>105</v>
      </c>
      <c r="AC11" s="12">
        <v>89</v>
      </c>
      <c r="AD11" s="12">
        <v>130</v>
      </c>
      <c r="AE11" s="12">
        <v>141</v>
      </c>
      <c r="AF11" s="13"/>
      <c r="AG11" s="13"/>
      <c r="AH11" s="13"/>
    </row>
    <row r="12" spans="1:34">
      <c r="A12" s="13" t="s">
        <v>87</v>
      </c>
      <c r="B12" s="13">
        <v>220029640</v>
      </c>
      <c r="C12" s="13" t="s">
        <v>88</v>
      </c>
      <c r="D12" s="13" t="s">
        <v>89</v>
      </c>
      <c r="E12" s="13">
        <v>400454000062</v>
      </c>
      <c r="F12" s="13" t="s">
        <v>90</v>
      </c>
      <c r="G12" s="13" t="s">
        <v>90</v>
      </c>
      <c r="H12" s="13" t="s">
        <v>91</v>
      </c>
      <c r="I12" s="13" t="s">
        <v>92</v>
      </c>
      <c r="J12" s="14" t="s">
        <v>93</v>
      </c>
      <c r="K12" s="13"/>
      <c r="L12" s="13">
        <v>0</v>
      </c>
      <c r="M12" s="13" t="s">
        <v>96</v>
      </c>
      <c r="N12" s="13" t="s">
        <v>91</v>
      </c>
      <c r="O12" s="13">
        <v>0</v>
      </c>
      <c r="P12" s="11">
        <v>90</v>
      </c>
      <c r="Q12" s="12">
        <v>9.17</v>
      </c>
      <c r="R12" s="12">
        <v>1309.17</v>
      </c>
      <c r="S12" s="12">
        <v>0.09</v>
      </c>
      <c r="T12" s="12">
        <v>2.5099999999999998</v>
      </c>
      <c r="U12" s="12">
        <v>0.17</v>
      </c>
      <c r="V12" s="12">
        <v>0.09</v>
      </c>
      <c r="W12" s="12">
        <v>0.06</v>
      </c>
      <c r="X12" s="12">
        <v>105</v>
      </c>
      <c r="Y12" s="12">
        <v>89</v>
      </c>
      <c r="Z12" s="12">
        <v>131</v>
      </c>
      <c r="AA12" s="12">
        <v>141</v>
      </c>
      <c r="AB12" s="12">
        <v>105</v>
      </c>
      <c r="AC12" s="12">
        <v>89</v>
      </c>
      <c r="AD12" s="12">
        <v>131</v>
      </c>
      <c r="AE12" s="12">
        <v>141</v>
      </c>
      <c r="AF12" s="13"/>
      <c r="AG12" s="13"/>
      <c r="AH12" s="13"/>
    </row>
    <row r="13" spans="1:34">
      <c r="A13" s="13" t="s">
        <v>87</v>
      </c>
      <c r="B13" s="13">
        <v>220029640</v>
      </c>
      <c r="C13" s="13" t="s">
        <v>88</v>
      </c>
      <c r="D13" s="13" t="s">
        <v>89</v>
      </c>
      <c r="E13" s="13">
        <v>400454000062</v>
      </c>
      <c r="F13" s="13" t="s">
        <v>90</v>
      </c>
      <c r="G13" s="13" t="s">
        <v>90</v>
      </c>
      <c r="H13" s="13" t="s">
        <v>91</v>
      </c>
      <c r="I13" s="13" t="s">
        <v>92</v>
      </c>
      <c r="J13" s="14" t="s">
        <v>93</v>
      </c>
      <c r="K13" s="13"/>
      <c r="L13" s="13">
        <v>0</v>
      </c>
      <c r="M13" s="13" t="s">
        <v>96</v>
      </c>
      <c r="N13" s="13" t="s">
        <v>91</v>
      </c>
      <c r="O13" s="13">
        <v>0</v>
      </c>
      <c r="P13" s="11">
        <v>95</v>
      </c>
      <c r="Q13" s="12">
        <v>10.050000000000001</v>
      </c>
      <c r="R13" s="12">
        <v>1309.249</v>
      </c>
      <c r="S13" s="12">
        <v>0.09</v>
      </c>
      <c r="T13" s="12">
        <v>2.5099999999999998</v>
      </c>
      <c r="U13" s="12">
        <v>0.17</v>
      </c>
      <c r="V13" s="12">
        <v>0.09</v>
      </c>
      <c r="W13" s="12">
        <v>0.06</v>
      </c>
      <c r="X13" s="12">
        <v>105</v>
      </c>
      <c r="Y13" s="12">
        <v>90</v>
      </c>
      <c r="Z13" s="12">
        <v>132</v>
      </c>
      <c r="AA13" s="12">
        <v>141</v>
      </c>
      <c r="AB13" s="12">
        <v>105</v>
      </c>
      <c r="AC13" s="12">
        <v>90</v>
      </c>
      <c r="AD13" s="12">
        <v>132</v>
      </c>
      <c r="AE13" s="12">
        <v>141</v>
      </c>
      <c r="AF13" s="13"/>
      <c r="AG13" s="13"/>
      <c r="AH13" s="13"/>
    </row>
    <row r="14" spans="1:34">
      <c r="A14" s="13" t="s">
        <v>87</v>
      </c>
      <c r="B14" s="13">
        <v>220029640</v>
      </c>
      <c r="C14" s="13" t="s">
        <v>88</v>
      </c>
      <c r="D14" s="13" t="s">
        <v>89</v>
      </c>
      <c r="E14" s="13">
        <v>400454000062</v>
      </c>
      <c r="F14" s="13" t="s">
        <v>90</v>
      </c>
      <c r="G14" s="13" t="s">
        <v>90</v>
      </c>
      <c r="H14" s="13" t="s">
        <v>91</v>
      </c>
      <c r="I14" s="13" t="s">
        <v>92</v>
      </c>
      <c r="J14" s="14" t="s">
        <v>93</v>
      </c>
      <c r="K14" s="13"/>
      <c r="L14" s="13">
        <v>0</v>
      </c>
      <c r="M14" s="13" t="s">
        <v>96</v>
      </c>
      <c r="N14" s="13" t="s">
        <v>91</v>
      </c>
      <c r="O14" s="13">
        <v>0</v>
      </c>
      <c r="P14" s="11">
        <v>100</v>
      </c>
      <c r="Q14" s="12">
        <v>10.95</v>
      </c>
      <c r="R14" s="12">
        <v>1309.329</v>
      </c>
      <c r="S14" s="12">
        <v>0.09</v>
      </c>
      <c r="T14" s="12">
        <v>2.56</v>
      </c>
      <c r="U14" s="12">
        <v>0.17</v>
      </c>
      <c r="V14" s="12">
        <v>0.09</v>
      </c>
      <c r="W14" s="12">
        <v>0.06</v>
      </c>
      <c r="X14" s="12">
        <v>106</v>
      </c>
      <c r="Y14" s="12">
        <v>90</v>
      </c>
      <c r="Z14" s="12">
        <v>133</v>
      </c>
      <c r="AA14" s="12">
        <v>141</v>
      </c>
      <c r="AB14" s="12">
        <v>106</v>
      </c>
      <c r="AC14" s="12">
        <v>90</v>
      </c>
      <c r="AD14" s="12">
        <v>133</v>
      </c>
      <c r="AE14" s="12">
        <v>141</v>
      </c>
      <c r="AF14" s="13"/>
      <c r="AG14" s="13"/>
      <c r="AH14" s="13"/>
    </row>
    <row r="15" spans="1:34">
      <c r="A15" s="13" t="s">
        <v>87</v>
      </c>
      <c r="B15" s="13">
        <v>220029640</v>
      </c>
      <c r="C15" s="13" t="s">
        <v>88</v>
      </c>
      <c r="D15" s="13" t="s">
        <v>89</v>
      </c>
      <c r="E15" s="13">
        <v>400454000062</v>
      </c>
      <c r="F15" s="13" t="s">
        <v>90</v>
      </c>
      <c r="G15" s="13" t="s">
        <v>90</v>
      </c>
      <c r="H15" s="13" t="s">
        <v>91</v>
      </c>
      <c r="I15" s="13" t="s">
        <v>92</v>
      </c>
      <c r="J15" s="14" t="s">
        <v>93</v>
      </c>
      <c r="K15" s="13"/>
      <c r="L15" s="13">
        <v>0</v>
      </c>
      <c r="M15" s="13" t="s">
        <v>96</v>
      </c>
      <c r="N15" s="13" t="s">
        <v>91</v>
      </c>
      <c r="O15" s="13">
        <v>0</v>
      </c>
      <c r="P15" s="11">
        <v>105</v>
      </c>
      <c r="Q15" s="12">
        <v>11.82</v>
      </c>
      <c r="R15" s="12">
        <v>1309.4090000000001</v>
      </c>
      <c r="S15" s="12">
        <v>0.09</v>
      </c>
      <c r="T15" s="12">
        <v>2.62</v>
      </c>
      <c r="U15" s="12">
        <v>0.17</v>
      </c>
      <c r="V15" s="12">
        <v>0.09</v>
      </c>
      <c r="W15" s="12">
        <v>0.06</v>
      </c>
      <c r="X15" s="12">
        <v>106</v>
      </c>
      <c r="Y15" s="12">
        <v>90</v>
      </c>
      <c r="Z15" s="12">
        <v>134</v>
      </c>
      <c r="AA15" s="12">
        <v>141</v>
      </c>
      <c r="AB15" s="12">
        <v>106</v>
      </c>
      <c r="AC15" s="12">
        <v>90</v>
      </c>
      <c r="AD15" s="12">
        <v>134</v>
      </c>
      <c r="AE15" s="12">
        <v>141</v>
      </c>
      <c r="AF15" s="13"/>
      <c r="AG15" s="13"/>
      <c r="AH15" s="13"/>
    </row>
    <row r="16" spans="1:34">
      <c r="A16" s="13" t="s">
        <v>87</v>
      </c>
      <c r="B16" s="13">
        <v>220029640</v>
      </c>
      <c r="C16" s="13" t="s">
        <v>88</v>
      </c>
      <c r="D16" s="13" t="s">
        <v>89</v>
      </c>
      <c r="E16" s="13">
        <v>400454000062</v>
      </c>
      <c r="F16" s="13" t="s">
        <v>90</v>
      </c>
      <c r="G16" s="13" t="s">
        <v>90</v>
      </c>
      <c r="H16" s="13" t="s">
        <v>91</v>
      </c>
      <c r="I16" s="13" t="s">
        <v>92</v>
      </c>
      <c r="J16" s="14" t="s">
        <v>93</v>
      </c>
      <c r="K16" s="13"/>
      <c r="L16" s="13">
        <v>0</v>
      </c>
      <c r="M16" s="13" t="s">
        <v>96</v>
      </c>
      <c r="N16" s="13" t="s">
        <v>91</v>
      </c>
      <c r="O16" s="13">
        <v>0</v>
      </c>
      <c r="P16" s="11">
        <v>110</v>
      </c>
      <c r="Q16" s="12">
        <v>12.69</v>
      </c>
      <c r="R16" s="12">
        <v>1309.49</v>
      </c>
      <c r="S16" s="12">
        <v>0.09</v>
      </c>
      <c r="T16" s="12">
        <v>2.6</v>
      </c>
      <c r="U16" s="12">
        <v>0.17</v>
      </c>
      <c r="V16" s="12">
        <v>0.09</v>
      </c>
      <c r="W16" s="12">
        <v>0.06</v>
      </c>
      <c r="X16" s="12">
        <v>106</v>
      </c>
      <c r="Y16" s="12">
        <v>90</v>
      </c>
      <c r="Z16" s="12">
        <v>135</v>
      </c>
      <c r="AA16" s="12">
        <v>141</v>
      </c>
      <c r="AB16" s="12">
        <v>106</v>
      </c>
      <c r="AC16" s="12">
        <v>90</v>
      </c>
      <c r="AD16" s="12">
        <v>135</v>
      </c>
      <c r="AE16" s="12">
        <v>141</v>
      </c>
      <c r="AF16" s="13"/>
      <c r="AG16" s="13"/>
      <c r="AH16" s="13"/>
    </row>
    <row r="17" spans="1:34">
      <c r="A17" s="13" t="s">
        <v>87</v>
      </c>
      <c r="B17" s="13">
        <v>220029640</v>
      </c>
      <c r="C17" s="13" t="s">
        <v>88</v>
      </c>
      <c r="D17" s="13" t="s">
        <v>89</v>
      </c>
      <c r="E17" s="13">
        <v>400454000062</v>
      </c>
      <c r="F17" s="13" t="s">
        <v>90</v>
      </c>
      <c r="G17" s="13" t="s">
        <v>90</v>
      </c>
      <c r="H17" s="13" t="s">
        <v>91</v>
      </c>
      <c r="I17" s="13" t="s">
        <v>92</v>
      </c>
      <c r="J17" s="14" t="s">
        <v>93</v>
      </c>
      <c r="K17" s="13"/>
      <c r="L17" s="13">
        <v>0</v>
      </c>
      <c r="M17" s="13" t="s">
        <v>96</v>
      </c>
      <c r="N17" s="13" t="s">
        <v>91</v>
      </c>
      <c r="O17" s="13">
        <v>0</v>
      </c>
      <c r="P17" s="11">
        <v>115</v>
      </c>
      <c r="Q17" s="12">
        <v>13.56</v>
      </c>
      <c r="R17" s="12">
        <v>1309.5730000000001</v>
      </c>
      <c r="S17" s="12">
        <v>0.1</v>
      </c>
      <c r="T17" s="12">
        <v>2.59</v>
      </c>
      <c r="U17" s="12">
        <v>0.17</v>
      </c>
      <c r="V17" s="12">
        <v>0.09</v>
      </c>
      <c r="W17" s="12">
        <v>0.06</v>
      </c>
      <c r="X17" s="12">
        <v>106</v>
      </c>
      <c r="Y17" s="12">
        <v>91</v>
      </c>
      <c r="Z17" s="12">
        <v>136</v>
      </c>
      <c r="AA17" s="12">
        <v>141</v>
      </c>
      <c r="AB17" s="12">
        <v>106</v>
      </c>
      <c r="AC17" s="12">
        <v>91</v>
      </c>
      <c r="AD17" s="12">
        <v>136</v>
      </c>
      <c r="AE17" s="12">
        <v>141</v>
      </c>
      <c r="AF17" s="13"/>
      <c r="AG17" s="13"/>
      <c r="AH17" s="13"/>
    </row>
    <row r="18" spans="1:34">
      <c r="A18" s="13" t="s">
        <v>87</v>
      </c>
      <c r="B18" s="13">
        <v>220029640</v>
      </c>
      <c r="C18" s="13" t="s">
        <v>88</v>
      </c>
      <c r="D18" s="13" t="s">
        <v>89</v>
      </c>
      <c r="E18" s="13">
        <v>400454000062</v>
      </c>
      <c r="F18" s="13" t="s">
        <v>90</v>
      </c>
      <c r="G18" s="13" t="s">
        <v>90</v>
      </c>
      <c r="H18" s="13" t="s">
        <v>91</v>
      </c>
      <c r="I18" s="13" t="s">
        <v>92</v>
      </c>
      <c r="J18" s="14" t="s">
        <v>93</v>
      </c>
      <c r="K18" s="13"/>
      <c r="L18" s="13">
        <v>0</v>
      </c>
      <c r="M18" s="13" t="s">
        <v>96</v>
      </c>
      <c r="N18" s="13" t="s">
        <v>91</v>
      </c>
      <c r="O18" s="13">
        <v>0</v>
      </c>
      <c r="P18" s="11">
        <v>120</v>
      </c>
      <c r="Q18" s="12">
        <v>14.41</v>
      </c>
      <c r="R18" s="12">
        <v>1309.654</v>
      </c>
      <c r="S18" s="12">
        <v>0.1</v>
      </c>
      <c r="T18" s="12">
        <v>2.66</v>
      </c>
      <c r="U18" s="12">
        <v>0.17</v>
      </c>
      <c r="V18" s="12">
        <v>0.09</v>
      </c>
      <c r="W18" s="12">
        <v>0.06</v>
      </c>
      <c r="X18" s="12">
        <v>106</v>
      </c>
      <c r="Y18" s="12">
        <v>91</v>
      </c>
      <c r="Z18" s="12">
        <v>137</v>
      </c>
      <c r="AA18" s="12">
        <v>142</v>
      </c>
      <c r="AB18" s="12">
        <v>106</v>
      </c>
      <c r="AC18" s="12">
        <v>91</v>
      </c>
      <c r="AD18" s="12">
        <v>137</v>
      </c>
      <c r="AE18" s="12">
        <v>142</v>
      </c>
      <c r="AF18" s="13"/>
      <c r="AG18" s="13"/>
      <c r="AH18" s="13"/>
    </row>
    <row r="19" spans="1:34">
      <c r="A19" s="13" t="s">
        <v>87</v>
      </c>
      <c r="B19" s="13">
        <v>220029640</v>
      </c>
      <c r="C19" s="13" t="s">
        <v>88</v>
      </c>
      <c r="D19" s="13" t="s">
        <v>89</v>
      </c>
      <c r="E19" s="13">
        <v>400454000062</v>
      </c>
      <c r="F19" s="13" t="s">
        <v>90</v>
      </c>
      <c r="G19" s="13" t="s">
        <v>90</v>
      </c>
      <c r="H19" s="13" t="s">
        <v>91</v>
      </c>
      <c r="I19" s="13" t="s">
        <v>92</v>
      </c>
      <c r="J19" s="14" t="s">
        <v>93</v>
      </c>
      <c r="K19" s="13"/>
      <c r="L19" s="13">
        <v>0</v>
      </c>
      <c r="M19" s="13" t="s">
        <v>96</v>
      </c>
      <c r="N19" s="13" t="s">
        <v>91</v>
      </c>
      <c r="O19" s="13">
        <v>0</v>
      </c>
      <c r="P19" s="11">
        <v>125</v>
      </c>
      <c r="Q19" s="12">
        <v>15.26</v>
      </c>
      <c r="R19" s="12">
        <v>1309.7349999999999</v>
      </c>
      <c r="S19" s="12">
        <v>0.1</v>
      </c>
      <c r="T19" s="12">
        <v>2.66</v>
      </c>
      <c r="U19" s="12">
        <v>0.17</v>
      </c>
      <c r="V19" s="12">
        <v>0.09</v>
      </c>
      <c r="W19" s="12">
        <v>0.06</v>
      </c>
      <c r="X19" s="12">
        <v>106</v>
      </c>
      <c r="Y19" s="12">
        <v>92</v>
      </c>
      <c r="Z19" s="12">
        <v>138</v>
      </c>
      <c r="AA19" s="12">
        <v>142</v>
      </c>
      <c r="AB19" s="12">
        <v>106</v>
      </c>
      <c r="AC19" s="12">
        <v>92</v>
      </c>
      <c r="AD19" s="12">
        <v>138</v>
      </c>
      <c r="AE19" s="12">
        <v>142</v>
      </c>
      <c r="AF19" s="13"/>
      <c r="AG19" s="13"/>
      <c r="AH19" s="13"/>
    </row>
    <row r="20" spans="1:34">
      <c r="A20" s="13" t="s">
        <v>87</v>
      </c>
      <c r="B20" s="13">
        <v>220029640</v>
      </c>
      <c r="C20" s="13" t="s">
        <v>88</v>
      </c>
      <c r="D20" s="13" t="s">
        <v>89</v>
      </c>
      <c r="E20" s="13">
        <v>400454000062</v>
      </c>
      <c r="F20" s="13" t="s">
        <v>90</v>
      </c>
      <c r="G20" s="13" t="s">
        <v>90</v>
      </c>
      <c r="H20" s="13" t="s">
        <v>91</v>
      </c>
      <c r="I20" s="13" t="s">
        <v>92</v>
      </c>
      <c r="J20" s="14" t="s">
        <v>93</v>
      </c>
      <c r="K20" s="13"/>
      <c r="L20" s="13">
        <v>0</v>
      </c>
      <c r="M20" s="13" t="s">
        <v>96</v>
      </c>
      <c r="N20" s="13" t="s">
        <v>91</v>
      </c>
      <c r="O20" s="13">
        <v>0</v>
      </c>
      <c r="P20" s="11">
        <v>130</v>
      </c>
      <c r="Q20" s="12">
        <v>16.12</v>
      </c>
      <c r="R20" s="12">
        <v>1309.8140000000001</v>
      </c>
      <c r="S20" s="12">
        <v>0.09</v>
      </c>
      <c r="T20" s="12">
        <v>2.61</v>
      </c>
      <c r="U20" s="12">
        <v>0.17</v>
      </c>
      <c r="V20" s="12">
        <v>0.09</v>
      </c>
      <c r="W20" s="12">
        <v>0.06</v>
      </c>
      <c r="X20" s="12">
        <v>107</v>
      </c>
      <c r="Y20" s="12">
        <v>92</v>
      </c>
      <c r="Z20" s="12">
        <v>138</v>
      </c>
      <c r="AA20" s="12">
        <v>142</v>
      </c>
      <c r="AB20" s="12">
        <v>107</v>
      </c>
      <c r="AC20" s="12">
        <v>92</v>
      </c>
      <c r="AD20" s="12">
        <v>138</v>
      </c>
      <c r="AE20" s="12">
        <v>142</v>
      </c>
      <c r="AF20" s="13"/>
      <c r="AG20" s="13"/>
      <c r="AH20" s="13"/>
    </row>
    <row r="21" spans="1:34">
      <c r="A21" s="13" t="s">
        <v>87</v>
      </c>
      <c r="B21" s="13">
        <v>220029640</v>
      </c>
      <c r="C21" s="13" t="s">
        <v>88</v>
      </c>
      <c r="D21" s="13" t="s">
        <v>89</v>
      </c>
      <c r="E21" s="13">
        <v>400454000062</v>
      </c>
      <c r="F21" s="13" t="s">
        <v>90</v>
      </c>
      <c r="G21" s="13" t="s">
        <v>90</v>
      </c>
      <c r="H21" s="13" t="s">
        <v>91</v>
      </c>
      <c r="I21" s="13" t="s">
        <v>92</v>
      </c>
      <c r="J21" s="14" t="s">
        <v>93</v>
      </c>
      <c r="K21" s="13"/>
      <c r="L21" s="13">
        <v>0</v>
      </c>
      <c r="M21" s="13" t="s">
        <v>96</v>
      </c>
      <c r="N21" s="13" t="s">
        <v>91</v>
      </c>
      <c r="O21" s="13">
        <v>0</v>
      </c>
      <c r="P21" s="11">
        <v>135</v>
      </c>
      <c r="Q21" s="12">
        <v>16.989999999999998</v>
      </c>
      <c r="R21" s="12">
        <v>1309.893</v>
      </c>
      <c r="S21" s="12">
        <v>0.09</v>
      </c>
      <c r="T21" s="12">
        <v>2.63</v>
      </c>
      <c r="U21" s="12">
        <v>0.17</v>
      </c>
      <c r="V21" s="12">
        <v>0.09</v>
      </c>
      <c r="W21" s="12">
        <v>0.06</v>
      </c>
      <c r="X21" s="12">
        <v>107</v>
      </c>
      <c r="Y21" s="12">
        <v>92</v>
      </c>
      <c r="Z21" s="12">
        <v>138</v>
      </c>
      <c r="AA21" s="12">
        <v>142</v>
      </c>
      <c r="AB21" s="12">
        <v>107</v>
      </c>
      <c r="AC21" s="12">
        <v>92</v>
      </c>
      <c r="AD21" s="12">
        <v>138</v>
      </c>
      <c r="AE21" s="12">
        <v>142</v>
      </c>
      <c r="AF21" s="13"/>
      <c r="AG21" s="13"/>
      <c r="AH21" s="13"/>
    </row>
    <row r="22" spans="1:34">
      <c r="A22" s="13" t="s">
        <v>87</v>
      </c>
      <c r="B22" s="13">
        <v>220029640</v>
      </c>
      <c r="C22" s="13" t="s">
        <v>88</v>
      </c>
      <c r="D22" s="13" t="s">
        <v>89</v>
      </c>
      <c r="E22" s="13">
        <v>400454000062</v>
      </c>
      <c r="F22" s="13" t="s">
        <v>90</v>
      </c>
      <c r="G22" s="13" t="s">
        <v>90</v>
      </c>
      <c r="H22" s="13" t="s">
        <v>91</v>
      </c>
      <c r="I22" s="13" t="s">
        <v>92</v>
      </c>
      <c r="J22" s="14" t="s">
        <v>93</v>
      </c>
      <c r="K22" s="13"/>
      <c r="L22" s="13">
        <v>0</v>
      </c>
      <c r="M22" s="13" t="s">
        <v>96</v>
      </c>
      <c r="N22" s="13" t="s">
        <v>91</v>
      </c>
      <c r="O22" s="13">
        <v>0</v>
      </c>
      <c r="P22" s="11">
        <v>140</v>
      </c>
      <c r="Q22" s="12">
        <v>17.829999999999998</v>
      </c>
      <c r="R22" s="12">
        <v>1309.97</v>
      </c>
      <c r="S22" s="12">
        <v>0.09</v>
      </c>
      <c r="T22" s="12">
        <v>2.63</v>
      </c>
      <c r="U22" s="12">
        <v>0.17</v>
      </c>
      <c r="V22" s="12">
        <v>0.09</v>
      </c>
      <c r="W22" s="12">
        <v>0.06</v>
      </c>
      <c r="X22" s="12">
        <v>107</v>
      </c>
      <c r="Y22" s="12">
        <v>92</v>
      </c>
      <c r="Z22" s="12">
        <v>138</v>
      </c>
      <c r="AA22" s="12">
        <v>143</v>
      </c>
      <c r="AB22" s="12">
        <v>107</v>
      </c>
      <c r="AC22" s="12">
        <v>92</v>
      </c>
      <c r="AD22" s="12">
        <v>138</v>
      </c>
      <c r="AE22" s="12">
        <v>143</v>
      </c>
      <c r="AF22" s="13"/>
      <c r="AG22" s="13"/>
      <c r="AH22" s="13"/>
    </row>
    <row r="23" spans="1:34">
      <c r="A23" s="13" t="s">
        <v>87</v>
      </c>
      <c r="B23" s="13">
        <v>220029640</v>
      </c>
      <c r="C23" s="13" t="s">
        <v>88</v>
      </c>
      <c r="D23" s="13" t="s">
        <v>89</v>
      </c>
      <c r="E23" s="13">
        <v>400454000062</v>
      </c>
      <c r="F23" s="13" t="s">
        <v>90</v>
      </c>
      <c r="G23" s="13" t="s">
        <v>90</v>
      </c>
      <c r="H23" s="13" t="s">
        <v>91</v>
      </c>
      <c r="I23" s="13" t="s">
        <v>92</v>
      </c>
      <c r="J23" s="14" t="s">
        <v>93</v>
      </c>
      <c r="K23" s="13"/>
      <c r="L23" s="13">
        <v>0</v>
      </c>
      <c r="M23" s="13" t="s">
        <v>96</v>
      </c>
      <c r="N23" s="13" t="s">
        <v>91</v>
      </c>
      <c r="O23" s="13">
        <v>0</v>
      </c>
      <c r="P23" s="11">
        <v>145</v>
      </c>
      <c r="Q23" s="12">
        <v>18.68</v>
      </c>
      <c r="R23" s="12">
        <v>1310.047</v>
      </c>
      <c r="S23" s="12">
        <v>0.09</v>
      </c>
      <c r="T23" s="12">
        <v>2.57</v>
      </c>
      <c r="U23" s="12">
        <v>0.17</v>
      </c>
      <c r="V23" s="12">
        <v>0.09</v>
      </c>
      <c r="W23" s="12">
        <v>0.06</v>
      </c>
      <c r="X23" s="12">
        <v>107</v>
      </c>
      <c r="Y23" s="12">
        <v>93</v>
      </c>
      <c r="Z23" s="12">
        <v>138</v>
      </c>
      <c r="AA23" s="12">
        <v>143</v>
      </c>
      <c r="AB23" s="12">
        <v>107</v>
      </c>
      <c r="AC23" s="12">
        <v>93</v>
      </c>
      <c r="AD23" s="12">
        <v>138</v>
      </c>
      <c r="AE23" s="12">
        <v>143</v>
      </c>
      <c r="AF23" s="13"/>
      <c r="AG23" s="13"/>
      <c r="AH23" s="13"/>
    </row>
    <row r="24" spans="1:34">
      <c r="A24" s="13" t="s">
        <v>87</v>
      </c>
      <c r="B24" s="13">
        <v>220029640</v>
      </c>
      <c r="C24" s="13" t="s">
        <v>88</v>
      </c>
      <c r="D24" s="13" t="s">
        <v>89</v>
      </c>
      <c r="E24" s="13">
        <v>400454000062</v>
      </c>
      <c r="F24" s="13" t="s">
        <v>90</v>
      </c>
      <c r="G24" s="13" t="s">
        <v>90</v>
      </c>
      <c r="H24" s="13" t="s">
        <v>91</v>
      </c>
      <c r="I24" s="13" t="s">
        <v>92</v>
      </c>
      <c r="J24" s="14" t="s">
        <v>93</v>
      </c>
      <c r="K24" s="13"/>
      <c r="L24" s="13">
        <v>0</v>
      </c>
      <c r="M24" s="13" t="s">
        <v>96</v>
      </c>
      <c r="N24" s="13" t="s">
        <v>91</v>
      </c>
      <c r="O24" s="13">
        <v>0</v>
      </c>
      <c r="P24" s="11">
        <v>150</v>
      </c>
      <c r="Q24" s="12">
        <v>19.5</v>
      </c>
      <c r="R24" s="12">
        <v>1310.124</v>
      </c>
      <c r="S24" s="12">
        <v>0.09</v>
      </c>
      <c r="T24" s="12">
        <v>2.54</v>
      </c>
      <c r="U24" s="12">
        <v>0.17</v>
      </c>
      <c r="V24" s="12">
        <v>0.09</v>
      </c>
      <c r="W24" s="12">
        <v>0.06</v>
      </c>
      <c r="X24" s="12">
        <v>107</v>
      </c>
      <c r="Y24" s="12">
        <v>93</v>
      </c>
      <c r="Z24" s="12">
        <v>139</v>
      </c>
      <c r="AA24" s="12">
        <v>143</v>
      </c>
      <c r="AB24" s="12">
        <v>107</v>
      </c>
      <c r="AC24" s="12">
        <v>93</v>
      </c>
      <c r="AD24" s="12">
        <v>139</v>
      </c>
      <c r="AE24" s="12">
        <v>143</v>
      </c>
      <c r="AF24" s="13"/>
      <c r="AG24" s="13"/>
      <c r="AH24" s="13"/>
    </row>
    <row r="25" spans="1:34">
      <c r="A25" s="13" t="s">
        <v>87</v>
      </c>
      <c r="B25" s="13">
        <v>220029640</v>
      </c>
      <c r="C25" s="13" t="s">
        <v>88</v>
      </c>
      <c r="D25" s="13" t="s">
        <v>89</v>
      </c>
      <c r="E25" s="13">
        <v>400454000062</v>
      </c>
      <c r="F25" s="13" t="s">
        <v>90</v>
      </c>
      <c r="G25" s="13" t="s">
        <v>90</v>
      </c>
      <c r="H25" s="13" t="s">
        <v>91</v>
      </c>
      <c r="I25" s="13" t="s">
        <v>92</v>
      </c>
      <c r="J25" s="14" t="s">
        <v>93</v>
      </c>
      <c r="K25" s="13"/>
      <c r="L25" s="13">
        <v>0</v>
      </c>
      <c r="M25" s="13" t="s">
        <v>96</v>
      </c>
      <c r="N25" s="13" t="s">
        <v>91</v>
      </c>
      <c r="O25" s="13">
        <v>0</v>
      </c>
      <c r="P25" s="11">
        <v>155</v>
      </c>
      <c r="Q25" s="12">
        <v>20.36</v>
      </c>
      <c r="R25" s="12">
        <v>1310.2</v>
      </c>
      <c r="S25" s="12">
        <v>0.09</v>
      </c>
      <c r="T25" s="12">
        <v>2.5299999999999998</v>
      </c>
      <c r="U25" s="12">
        <v>0.17</v>
      </c>
      <c r="V25" s="12">
        <v>0.09</v>
      </c>
      <c r="W25" s="12">
        <v>0.06</v>
      </c>
      <c r="X25" s="12">
        <v>107</v>
      </c>
      <c r="Y25" s="12">
        <v>93</v>
      </c>
      <c r="Z25" s="12">
        <v>139</v>
      </c>
      <c r="AA25" s="12">
        <v>144</v>
      </c>
      <c r="AB25" s="12">
        <v>107</v>
      </c>
      <c r="AC25" s="12">
        <v>93</v>
      </c>
      <c r="AD25" s="12">
        <v>139</v>
      </c>
      <c r="AE25" s="12">
        <v>144</v>
      </c>
      <c r="AF25" s="13"/>
      <c r="AG25" s="13"/>
      <c r="AH25" s="13"/>
    </row>
    <row r="26" spans="1:34">
      <c r="A26" s="13" t="s">
        <v>87</v>
      </c>
      <c r="B26" s="13">
        <v>220029640</v>
      </c>
      <c r="C26" s="13" t="s">
        <v>88</v>
      </c>
      <c r="D26" s="13" t="s">
        <v>89</v>
      </c>
      <c r="E26" s="13">
        <v>400454000062</v>
      </c>
      <c r="F26" s="13" t="s">
        <v>90</v>
      </c>
      <c r="G26" s="13" t="s">
        <v>90</v>
      </c>
      <c r="H26" s="13" t="s">
        <v>91</v>
      </c>
      <c r="I26" s="13" t="s">
        <v>92</v>
      </c>
      <c r="J26" s="14" t="s">
        <v>93</v>
      </c>
      <c r="K26" s="13"/>
      <c r="L26" s="13">
        <v>0</v>
      </c>
      <c r="M26" s="13" t="s">
        <v>96</v>
      </c>
      <c r="N26" s="13" t="s">
        <v>91</v>
      </c>
      <c r="O26" s="13">
        <v>0</v>
      </c>
      <c r="P26" s="11">
        <v>160</v>
      </c>
      <c r="Q26" s="12">
        <v>21.21</v>
      </c>
      <c r="R26" s="12">
        <v>1310.2739999999999</v>
      </c>
      <c r="S26" s="12">
        <v>0.09</v>
      </c>
      <c r="T26" s="12">
        <v>2.5099999999999998</v>
      </c>
      <c r="U26" s="12">
        <v>0.17</v>
      </c>
      <c r="V26" s="12">
        <v>0.09</v>
      </c>
      <c r="W26" s="12">
        <v>0.06</v>
      </c>
      <c r="X26" s="12">
        <v>107</v>
      </c>
      <c r="Y26" s="12">
        <v>94</v>
      </c>
      <c r="Z26" s="12">
        <v>140</v>
      </c>
      <c r="AA26" s="12">
        <v>144</v>
      </c>
      <c r="AB26" s="12">
        <v>107</v>
      </c>
      <c r="AC26" s="12">
        <v>94</v>
      </c>
      <c r="AD26" s="12">
        <v>140</v>
      </c>
      <c r="AE26" s="12">
        <v>144</v>
      </c>
      <c r="AF26" s="13"/>
      <c r="AG26" s="13"/>
      <c r="AH26" s="13"/>
    </row>
    <row r="27" spans="1:34">
      <c r="A27" s="13" t="s">
        <v>87</v>
      </c>
      <c r="B27" s="13">
        <v>220029640</v>
      </c>
      <c r="C27" s="13" t="s">
        <v>88</v>
      </c>
      <c r="D27" s="13" t="s">
        <v>89</v>
      </c>
      <c r="E27" s="13">
        <v>400454000062</v>
      </c>
      <c r="F27" s="13" t="s">
        <v>90</v>
      </c>
      <c r="G27" s="13" t="s">
        <v>90</v>
      </c>
      <c r="H27" s="13" t="s">
        <v>91</v>
      </c>
      <c r="I27" s="13" t="s">
        <v>92</v>
      </c>
      <c r="J27" s="14" t="s">
        <v>93</v>
      </c>
      <c r="K27" s="13"/>
      <c r="L27" s="13">
        <v>0</v>
      </c>
      <c r="M27" s="13" t="s">
        <v>96</v>
      </c>
      <c r="N27" s="13" t="s">
        <v>91</v>
      </c>
      <c r="O27" s="13">
        <v>0</v>
      </c>
      <c r="P27" s="11">
        <v>165</v>
      </c>
      <c r="Q27" s="12">
        <v>22.08</v>
      </c>
      <c r="R27" s="12">
        <v>1310.3510000000001</v>
      </c>
      <c r="S27" s="12">
        <v>0.09</v>
      </c>
      <c r="T27" s="12">
        <v>2.5499999999999998</v>
      </c>
      <c r="U27" s="12">
        <v>0.17</v>
      </c>
      <c r="V27" s="12">
        <v>0.09</v>
      </c>
      <c r="W27" s="12">
        <v>0.06</v>
      </c>
      <c r="X27" s="12">
        <v>108</v>
      </c>
      <c r="Y27" s="12">
        <v>94</v>
      </c>
      <c r="Z27" s="12">
        <v>140</v>
      </c>
      <c r="AA27" s="12">
        <v>144</v>
      </c>
      <c r="AB27" s="12">
        <v>108</v>
      </c>
      <c r="AC27" s="12">
        <v>94</v>
      </c>
      <c r="AD27" s="12">
        <v>140</v>
      </c>
      <c r="AE27" s="12">
        <v>144</v>
      </c>
      <c r="AF27" s="13"/>
      <c r="AG27" s="13"/>
      <c r="AH27" s="13"/>
    </row>
    <row r="28" spans="1:34">
      <c r="A28" s="13" t="s">
        <v>87</v>
      </c>
      <c r="B28" s="13">
        <v>220029640</v>
      </c>
      <c r="C28" s="13" t="s">
        <v>88</v>
      </c>
      <c r="D28" s="13" t="s">
        <v>89</v>
      </c>
      <c r="E28" s="13">
        <v>400454000062</v>
      </c>
      <c r="F28" s="13" t="s">
        <v>90</v>
      </c>
      <c r="G28" s="13" t="s">
        <v>90</v>
      </c>
      <c r="H28" s="13" t="s">
        <v>91</v>
      </c>
      <c r="I28" s="13" t="s">
        <v>92</v>
      </c>
      <c r="J28" s="14" t="s">
        <v>93</v>
      </c>
      <c r="K28" s="13"/>
      <c r="L28" s="13">
        <v>0</v>
      </c>
      <c r="M28" s="13" t="s">
        <v>96</v>
      </c>
      <c r="N28" s="13" t="s">
        <v>91</v>
      </c>
      <c r="O28" s="13">
        <v>0</v>
      </c>
      <c r="P28" s="11">
        <v>170</v>
      </c>
      <c r="Q28" s="12">
        <v>22.97</v>
      </c>
      <c r="R28" s="12">
        <v>1310.4280000000001</v>
      </c>
      <c r="S28" s="12">
        <v>0.09</v>
      </c>
      <c r="T28" s="12">
        <v>2.5299999999999998</v>
      </c>
      <c r="U28" s="12">
        <v>0.17</v>
      </c>
      <c r="V28" s="12">
        <v>0.09</v>
      </c>
      <c r="W28" s="12">
        <v>0.06</v>
      </c>
      <c r="X28" s="12">
        <v>108</v>
      </c>
      <c r="Y28" s="12">
        <v>95</v>
      </c>
      <c r="Z28" s="12">
        <v>141</v>
      </c>
      <c r="AA28" s="12">
        <v>145</v>
      </c>
      <c r="AB28" s="12">
        <v>108</v>
      </c>
      <c r="AC28" s="12">
        <v>95</v>
      </c>
      <c r="AD28" s="12">
        <v>141</v>
      </c>
      <c r="AE28" s="12">
        <v>145</v>
      </c>
      <c r="AF28" s="13"/>
      <c r="AG28" s="13"/>
      <c r="AH28" s="13"/>
    </row>
    <row r="29" spans="1:34">
      <c r="A29" s="13" t="s">
        <v>87</v>
      </c>
      <c r="B29" s="13">
        <v>220029640</v>
      </c>
      <c r="C29" s="13" t="s">
        <v>88</v>
      </c>
      <c r="D29" s="13" t="s">
        <v>89</v>
      </c>
      <c r="E29" s="13">
        <v>400454000062</v>
      </c>
      <c r="F29" s="13" t="s">
        <v>90</v>
      </c>
      <c r="G29" s="13" t="s">
        <v>90</v>
      </c>
      <c r="H29" s="13" t="s">
        <v>91</v>
      </c>
      <c r="I29" s="13" t="s">
        <v>92</v>
      </c>
      <c r="J29" s="14" t="s">
        <v>93</v>
      </c>
      <c r="K29" s="13"/>
      <c r="L29" s="13">
        <v>0</v>
      </c>
      <c r="M29" s="13" t="s">
        <v>96</v>
      </c>
      <c r="N29" s="13" t="s">
        <v>91</v>
      </c>
      <c r="O29" s="13">
        <v>0</v>
      </c>
      <c r="P29" s="11">
        <v>175</v>
      </c>
      <c r="Q29" s="12">
        <v>23.82</v>
      </c>
      <c r="R29" s="12">
        <v>1310.509</v>
      </c>
      <c r="S29" s="12">
        <v>0.1</v>
      </c>
      <c r="T29" s="12">
        <v>2.5099999999999998</v>
      </c>
      <c r="U29" s="12">
        <v>0.17</v>
      </c>
      <c r="V29" s="12">
        <v>0.09</v>
      </c>
      <c r="W29" s="12">
        <v>0.06</v>
      </c>
      <c r="X29" s="12">
        <v>109</v>
      </c>
      <c r="Y29" s="12">
        <v>95</v>
      </c>
      <c r="Z29" s="12">
        <v>142</v>
      </c>
      <c r="AA29" s="12">
        <v>145</v>
      </c>
      <c r="AB29" s="12">
        <v>109</v>
      </c>
      <c r="AC29" s="12">
        <v>95</v>
      </c>
      <c r="AD29" s="12">
        <v>142</v>
      </c>
      <c r="AE29" s="12">
        <v>145</v>
      </c>
      <c r="AF29" s="13"/>
      <c r="AG29" s="13"/>
      <c r="AH29" s="13"/>
    </row>
    <row r="30" spans="1:34">
      <c r="A30" s="13" t="s">
        <v>87</v>
      </c>
      <c r="B30" s="13">
        <v>220029640</v>
      </c>
      <c r="C30" s="13" t="s">
        <v>88</v>
      </c>
      <c r="D30" s="13" t="s">
        <v>89</v>
      </c>
      <c r="E30" s="13">
        <v>400454000062</v>
      </c>
      <c r="F30" s="13" t="s">
        <v>90</v>
      </c>
      <c r="G30" s="13" t="s">
        <v>90</v>
      </c>
      <c r="H30" s="13" t="s">
        <v>91</v>
      </c>
      <c r="I30" s="13" t="s">
        <v>92</v>
      </c>
      <c r="J30" s="14" t="s">
        <v>93</v>
      </c>
      <c r="K30" s="13"/>
      <c r="L30" s="13">
        <v>0</v>
      </c>
      <c r="M30" s="13" t="s">
        <v>96</v>
      </c>
      <c r="N30" s="13" t="s">
        <v>91</v>
      </c>
      <c r="O30" s="13">
        <v>0</v>
      </c>
      <c r="P30" s="11">
        <v>180</v>
      </c>
      <c r="Q30" s="12">
        <v>24.62</v>
      </c>
      <c r="R30" s="12">
        <v>1310.588</v>
      </c>
      <c r="S30" s="12">
        <v>0.1</v>
      </c>
      <c r="T30" s="12">
        <v>2.5499999999999998</v>
      </c>
      <c r="U30" s="12">
        <v>0.17</v>
      </c>
      <c r="V30" s="12">
        <v>0.09</v>
      </c>
      <c r="W30" s="12">
        <v>0.06</v>
      </c>
      <c r="X30" s="12">
        <v>109</v>
      </c>
      <c r="Y30" s="12">
        <v>95</v>
      </c>
      <c r="Z30" s="12">
        <v>142</v>
      </c>
      <c r="AA30" s="12">
        <v>145</v>
      </c>
      <c r="AB30" s="12">
        <v>109</v>
      </c>
      <c r="AC30" s="12">
        <v>95</v>
      </c>
      <c r="AD30" s="12">
        <v>142</v>
      </c>
      <c r="AE30" s="12">
        <v>145</v>
      </c>
      <c r="AF30" s="13"/>
      <c r="AG30" s="13"/>
      <c r="AH30" s="13"/>
    </row>
    <row r="31" spans="1:34">
      <c r="A31" s="13" t="s">
        <v>87</v>
      </c>
      <c r="B31" s="13">
        <v>220029640</v>
      </c>
      <c r="C31" s="13" t="s">
        <v>88</v>
      </c>
      <c r="D31" s="13" t="s">
        <v>89</v>
      </c>
      <c r="E31" s="13">
        <v>400454000062</v>
      </c>
      <c r="F31" s="13" t="s">
        <v>90</v>
      </c>
      <c r="G31" s="13" t="s">
        <v>90</v>
      </c>
      <c r="H31" s="13" t="s">
        <v>91</v>
      </c>
      <c r="I31" s="13" t="s">
        <v>92</v>
      </c>
      <c r="J31" s="14" t="s">
        <v>93</v>
      </c>
      <c r="K31" s="13"/>
      <c r="L31" s="13">
        <v>0</v>
      </c>
      <c r="M31" s="13" t="s">
        <v>96</v>
      </c>
      <c r="N31" s="13" t="s">
        <v>91</v>
      </c>
      <c r="O31" s="13">
        <v>0</v>
      </c>
      <c r="P31" s="11">
        <v>185</v>
      </c>
      <c r="Q31" s="12">
        <v>25.45</v>
      </c>
      <c r="R31" s="12">
        <v>1310.664</v>
      </c>
      <c r="S31" s="12">
        <v>0.09</v>
      </c>
      <c r="T31" s="12">
        <v>2.52</v>
      </c>
      <c r="U31" s="12">
        <v>0.17</v>
      </c>
      <c r="V31" s="12">
        <v>0.09</v>
      </c>
      <c r="W31" s="12">
        <v>0.06</v>
      </c>
      <c r="X31" s="12">
        <v>109</v>
      </c>
      <c r="Y31" s="12">
        <v>96</v>
      </c>
      <c r="Z31" s="12">
        <v>143</v>
      </c>
      <c r="AA31" s="12">
        <v>146</v>
      </c>
      <c r="AB31" s="12">
        <v>109</v>
      </c>
      <c r="AC31" s="12">
        <v>96</v>
      </c>
      <c r="AD31" s="12">
        <v>143</v>
      </c>
      <c r="AE31" s="12">
        <v>146</v>
      </c>
      <c r="AF31" s="13"/>
      <c r="AG31" s="13"/>
      <c r="AH31" s="13"/>
    </row>
    <row r="32" spans="1:34">
      <c r="A32" s="13" t="s">
        <v>87</v>
      </c>
      <c r="B32" s="13">
        <v>220029640</v>
      </c>
      <c r="C32" s="13" t="s">
        <v>88</v>
      </c>
      <c r="D32" s="13" t="s">
        <v>89</v>
      </c>
      <c r="E32" s="13">
        <v>400454000062</v>
      </c>
      <c r="F32" s="13" t="s">
        <v>90</v>
      </c>
      <c r="G32" s="13" t="s">
        <v>90</v>
      </c>
      <c r="H32" s="13" t="s">
        <v>91</v>
      </c>
      <c r="I32" s="13" t="s">
        <v>92</v>
      </c>
      <c r="J32" s="14" t="s">
        <v>93</v>
      </c>
      <c r="K32" s="13"/>
      <c r="L32" s="13">
        <v>0</v>
      </c>
      <c r="M32" s="13" t="s">
        <v>96</v>
      </c>
      <c r="N32" s="13" t="s">
        <v>91</v>
      </c>
      <c r="O32" s="13">
        <v>0</v>
      </c>
      <c r="P32" s="11">
        <v>190</v>
      </c>
      <c r="Q32" s="12">
        <v>26.29</v>
      </c>
      <c r="R32" s="12">
        <v>1310.7380000000001</v>
      </c>
      <c r="S32" s="12">
        <v>0.09</v>
      </c>
      <c r="T32" s="12">
        <v>2.5099999999999998</v>
      </c>
      <c r="U32" s="12">
        <v>0.17</v>
      </c>
      <c r="V32" s="12">
        <v>0.09</v>
      </c>
      <c r="W32" s="12">
        <v>0.06</v>
      </c>
      <c r="X32" s="12">
        <v>110</v>
      </c>
      <c r="Y32" s="12">
        <v>96</v>
      </c>
      <c r="Z32" s="12">
        <v>143</v>
      </c>
      <c r="AA32" s="12">
        <v>146</v>
      </c>
      <c r="AB32" s="12">
        <v>110</v>
      </c>
      <c r="AC32" s="12">
        <v>96</v>
      </c>
      <c r="AD32" s="12">
        <v>143</v>
      </c>
      <c r="AE32" s="12">
        <v>146</v>
      </c>
      <c r="AF32" s="13"/>
      <c r="AG32" s="13"/>
      <c r="AH32" s="13"/>
    </row>
    <row r="33" spans="1:34">
      <c r="A33" s="13" t="s">
        <v>87</v>
      </c>
      <c r="B33" s="13">
        <v>220029640</v>
      </c>
      <c r="C33" s="13" t="s">
        <v>88</v>
      </c>
      <c r="D33" s="13" t="s">
        <v>89</v>
      </c>
      <c r="E33" s="13">
        <v>400454000062</v>
      </c>
      <c r="F33" s="13" t="s">
        <v>90</v>
      </c>
      <c r="G33" s="13" t="s">
        <v>90</v>
      </c>
      <c r="H33" s="13" t="s">
        <v>91</v>
      </c>
      <c r="I33" s="13" t="s">
        <v>92</v>
      </c>
      <c r="J33" s="14" t="s">
        <v>93</v>
      </c>
      <c r="K33" s="13"/>
      <c r="L33" s="13">
        <v>0</v>
      </c>
      <c r="M33" s="13" t="s">
        <v>96</v>
      </c>
      <c r="N33" s="13" t="s">
        <v>91</v>
      </c>
      <c r="O33" s="13">
        <v>0</v>
      </c>
      <c r="P33" s="11">
        <v>195</v>
      </c>
      <c r="Q33" s="12">
        <v>27.11</v>
      </c>
      <c r="R33" s="12">
        <v>1310.8150000000001</v>
      </c>
      <c r="S33" s="12">
        <v>0.09</v>
      </c>
      <c r="T33" s="12">
        <v>2.54</v>
      </c>
      <c r="U33" s="12">
        <v>0.17</v>
      </c>
      <c r="V33" s="12">
        <v>0.09</v>
      </c>
      <c r="W33" s="12">
        <v>0.06</v>
      </c>
      <c r="X33" s="12">
        <v>111</v>
      </c>
      <c r="Y33" s="12">
        <v>97</v>
      </c>
      <c r="Z33" s="12">
        <v>144</v>
      </c>
      <c r="AA33" s="12">
        <v>147</v>
      </c>
      <c r="AB33" s="12">
        <v>111</v>
      </c>
      <c r="AC33" s="12">
        <v>97</v>
      </c>
      <c r="AD33" s="12">
        <v>144</v>
      </c>
      <c r="AE33" s="12">
        <v>147</v>
      </c>
      <c r="AF33" s="13"/>
      <c r="AG33" s="13"/>
      <c r="AH33" s="13"/>
    </row>
    <row r="34" spans="1:34">
      <c r="A34" s="13" t="s">
        <v>87</v>
      </c>
      <c r="B34" s="13">
        <v>220029640</v>
      </c>
      <c r="C34" s="13" t="s">
        <v>88</v>
      </c>
      <c r="D34" s="13" t="s">
        <v>89</v>
      </c>
      <c r="E34" s="13">
        <v>400454000062</v>
      </c>
      <c r="F34" s="13" t="s">
        <v>90</v>
      </c>
      <c r="G34" s="13" t="s">
        <v>90</v>
      </c>
      <c r="H34" s="13" t="s">
        <v>91</v>
      </c>
      <c r="I34" s="13" t="s">
        <v>92</v>
      </c>
      <c r="J34" s="14" t="s">
        <v>93</v>
      </c>
      <c r="K34" s="13"/>
      <c r="L34" s="13">
        <v>0</v>
      </c>
      <c r="M34" s="13" t="s">
        <v>96</v>
      </c>
      <c r="N34" s="13" t="s">
        <v>91</v>
      </c>
      <c r="O34" s="13">
        <v>0</v>
      </c>
      <c r="P34" s="11">
        <v>200</v>
      </c>
      <c r="Q34" s="12">
        <v>27.99</v>
      </c>
      <c r="R34" s="12">
        <v>1310.8910000000001</v>
      </c>
      <c r="S34" s="12">
        <v>0.09</v>
      </c>
      <c r="T34" s="12">
        <v>2.54</v>
      </c>
      <c r="U34" s="12">
        <v>0.17</v>
      </c>
      <c r="V34" s="12">
        <v>0.09</v>
      </c>
      <c r="W34" s="12">
        <v>0.06</v>
      </c>
      <c r="X34" s="12">
        <v>111</v>
      </c>
      <c r="Y34" s="12">
        <v>97</v>
      </c>
      <c r="Z34" s="12">
        <v>145</v>
      </c>
      <c r="AA34" s="12">
        <v>148</v>
      </c>
      <c r="AB34" s="12">
        <v>111</v>
      </c>
      <c r="AC34" s="12">
        <v>97</v>
      </c>
      <c r="AD34" s="12">
        <v>145</v>
      </c>
      <c r="AE34" s="12">
        <v>148</v>
      </c>
      <c r="AF34" s="13"/>
      <c r="AG34" s="13"/>
      <c r="AH34" s="13"/>
    </row>
    <row r="35" spans="1:34">
      <c r="A35" s="13" t="s">
        <v>87</v>
      </c>
      <c r="B35" s="13">
        <v>220029640</v>
      </c>
      <c r="C35" s="13" t="s">
        <v>88</v>
      </c>
      <c r="D35" s="13" t="s">
        <v>89</v>
      </c>
      <c r="E35" s="13">
        <v>400454000062</v>
      </c>
      <c r="F35" s="13" t="s">
        <v>90</v>
      </c>
      <c r="G35" s="13" t="s">
        <v>90</v>
      </c>
      <c r="H35" s="13" t="s">
        <v>91</v>
      </c>
      <c r="I35" s="13" t="s">
        <v>92</v>
      </c>
      <c r="J35" s="14" t="s">
        <v>93</v>
      </c>
      <c r="K35" s="13"/>
      <c r="L35" s="13">
        <v>0</v>
      </c>
      <c r="M35" s="13" t="s">
        <v>96</v>
      </c>
      <c r="N35" s="13" t="s">
        <v>91</v>
      </c>
      <c r="O35" s="13">
        <v>0</v>
      </c>
      <c r="P35" s="11">
        <v>205</v>
      </c>
      <c r="Q35" s="12">
        <v>28.8</v>
      </c>
      <c r="R35" s="12">
        <v>1310.9690000000001</v>
      </c>
      <c r="S35" s="12">
        <v>0.1</v>
      </c>
      <c r="T35" s="12">
        <v>2.57</v>
      </c>
      <c r="U35" s="12">
        <v>0.17</v>
      </c>
      <c r="V35" s="12">
        <v>0.09</v>
      </c>
      <c r="W35" s="12">
        <v>0.06</v>
      </c>
      <c r="X35" s="12">
        <v>111</v>
      </c>
      <c r="Y35" s="12">
        <v>98</v>
      </c>
      <c r="Z35" s="12">
        <v>145</v>
      </c>
      <c r="AA35" s="12">
        <v>148</v>
      </c>
      <c r="AB35" s="12">
        <v>111</v>
      </c>
      <c r="AC35" s="12">
        <v>98</v>
      </c>
      <c r="AD35" s="12">
        <v>145</v>
      </c>
      <c r="AE35" s="12">
        <v>148</v>
      </c>
      <c r="AF35" s="13"/>
      <c r="AG35" s="13"/>
      <c r="AH35" s="13"/>
    </row>
    <row r="36" spans="1:34">
      <c r="A36" s="13" t="s">
        <v>87</v>
      </c>
      <c r="B36" s="13">
        <v>220029640</v>
      </c>
      <c r="C36" s="13" t="s">
        <v>88</v>
      </c>
      <c r="D36" s="13" t="s">
        <v>89</v>
      </c>
      <c r="E36" s="13">
        <v>400454000062</v>
      </c>
      <c r="F36" s="13" t="s">
        <v>90</v>
      </c>
      <c r="G36" s="13" t="s">
        <v>90</v>
      </c>
      <c r="H36" s="13" t="s">
        <v>91</v>
      </c>
      <c r="I36" s="13" t="s">
        <v>92</v>
      </c>
      <c r="J36" s="14" t="s">
        <v>93</v>
      </c>
      <c r="K36" s="13"/>
      <c r="L36" s="13">
        <v>0</v>
      </c>
      <c r="M36" s="13" t="s">
        <v>96</v>
      </c>
      <c r="N36" s="13" t="s">
        <v>91</v>
      </c>
      <c r="O36" s="13">
        <v>0</v>
      </c>
      <c r="P36" s="11">
        <v>210</v>
      </c>
      <c r="Q36" s="12">
        <v>29.64</v>
      </c>
      <c r="R36" s="12">
        <v>1311.046</v>
      </c>
      <c r="S36" s="12">
        <v>0.09</v>
      </c>
      <c r="T36" s="12">
        <v>2.54</v>
      </c>
      <c r="U36" s="12">
        <v>0.17</v>
      </c>
      <c r="V36" s="12">
        <v>0.09</v>
      </c>
      <c r="W36" s="12">
        <v>0.06</v>
      </c>
      <c r="X36" s="12">
        <v>112</v>
      </c>
      <c r="Y36" s="12">
        <v>98</v>
      </c>
      <c r="Z36" s="12">
        <v>146</v>
      </c>
      <c r="AA36" s="12">
        <v>148</v>
      </c>
      <c r="AB36" s="12">
        <v>112</v>
      </c>
      <c r="AC36" s="12">
        <v>98</v>
      </c>
      <c r="AD36" s="12">
        <v>146</v>
      </c>
      <c r="AE36" s="12">
        <v>148</v>
      </c>
      <c r="AF36" s="13"/>
      <c r="AG36" s="13"/>
      <c r="AH36" s="13"/>
    </row>
    <row r="37" spans="1:34">
      <c r="A37" s="13" t="s">
        <v>87</v>
      </c>
      <c r="B37" s="13">
        <v>220029640</v>
      </c>
      <c r="C37" s="13" t="s">
        <v>88</v>
      </c>
      <c r="D37" s="13" t="s">
        <v>89</v>
      </c>
      <c r="E37" s="13">
        <v>400454000062</v>
      </c>
      <c r="F37" s="13" t="s">
        <v>90</v>
      </c>
      <c r="G37" s="13" t="s">
        <v>90</v>
      </c>
      <c r="H37" s="13" t="s">
        <v>91</v>
      </c>
      <c r="I37" s="13" t="s">
        <v>92</v>
      </c>
      <c r="J37" s="14" t="s">
        <v>93</v>
      </c>
      <c r="K37" s="13"/>
      <c r="L37" s="13">
        <v>0</v>
      </c>
      <c r="M37" s="13" t="s">
        <v>96</v>
      </c>
      <c r="N37" s="13" t="s">
        <v>91</v>
      </c>
      <c r="O37" s="13">
        <v>0</v>
      </c>
      <c r="P37" s="11">
        <v>215</v>
      </c>
      <c r="Q37" s="12">
        <v>30.49</v>
      </c>
      <c r="R37" s="12">
        <v>1311.124</v>
      </c>
      <c r="S37" s="12">
        <v>0.09</v>
      </c>
      <c r="T37" s="12">
        <v>2.59</v>
      </c>
      <c r="U37" s="12">
        <v>0.17</v>
      </c>
      <c r="V37" s="12">
        <v>0.09</v>
      </c>
      <c r="W37" s="12">
        <v>0.06</v>
      </c>
      <c r="X37" s="12">
        <v>113</v>
      </c>
      <c r="Y37" s="12">
        <v>99</v>
      </c>
      <c r="Z37" s="12">
        <v>146</v>
      </c>
      <c r="AA37" s="12">
        <v>149</v>
      </c>
      <c r="AB37" s="12">
        <v>113</v>
      </c>
      <c r="AC37" s="12">
        <v>99</v>
      </c>
      <c r="AD37" s="12">
        <v>146</v>
      </c>
      <c r="AE37" s="12">
        <v>149</v>
      </c>
      <c r="AF37" s="13"/>
      <c r="AG37" s="13"/>
      <c r="AH37" s="13"/>
    </row>
    <row r="38" spans="1:34">
      <c r="A38" s="13" t="s">
        <v>87</v>
      </c>
      <c r="B38" s="13">
        <v>220029640</v>
      </c>
      <c r="C38" s="13" t="s">
        <v>88</v>
      </c>
      <c r="D38" s="13" t="s">
        <v>89</v>
      </c>
      <c r="E38" s="13">
        <v>400454000062</v>
      </c>
      <c r="F38" s="13" t="s">
        <v>90</v>
      </c>
      <c r="G38" s="13" t="s">
        <v>90</v>
      </c>
      <c r="H38" s="13" t="s">
        <v>91</v>
      </c>
      <c r="I38" s="13" t="s">
        <v>92</v>
      </c>
      <c r="J38" s="14" t="s">
        <v>93</v>
      </c>
      <c r="K38" s="13"/>
      <c r="L38" s="13">
        <v>0</v>
      </c>
      <c r="M38" s="13" t="s">
        <v>96</v>
      </c>
      <c r="N38" s="13" t="s">
        <v>91</v>
      </c>
      <c r="O38" s="13">
        <v>0</v>
      </c>
      <c r="P38" s="11">
        <v>220</v>
      </c>
      <c r="Q38" s="12">
        <v>31.32</v>
      </c>
      <c r="R38" s="12">
        <v>1311.2</v>
      </c>
      <c r="S38" s="12">
        <v>0.09</v>
      </c>
      <c r="T38" s="12">
        <v>2.52</v>
      </c>
      <c r="U38" s="12">
        <v>0.17</v>
      </c>
      <c r="V38" s="12">
        <v>0.09</v>
      </c>
      <c r="W38" s="12">
        <v>0.06</v>
      </c>
      <c r="X38" s="12">
        <v>113</v>
      </c>
      <c r="Y38" s="12">
        <v>99</v>
      </c>
      <c r="Z38" s="12">
        <v>147</v>
      </c>
      <c r="AA38" s="12">
        <v>149</v>
      </c>
      <c r="AB38" s="12">
        <v>113</v>
      </c>
      <c r="AC38" s="12">
        <v>99</v>
      </c>
      <c r="AD38" s="12">
        <v>147</v>
      </c>
      <c r="AE38" s="12">
        <v>149</v>
      </c>
      <c r="AF38" s="13"/>
      <c r="AG38" s="13"/>
      <c r="AH38" s="13"/>
    </row>
    <row r="39" spans="1:34">
      <c r="A39" s="13" t="s">
        <v>87</v>
      </c>
      <c r="B39" s="13">
        <v>220029640</v>
      </c>
      <c r="C39" s="13" t="s">
        <v>88</v>
      </c>
      <c r="D39" s="13" t="s">
        <v>89</v>
      </c>
      <c r="E39" s="13">
        <v>400454000062</v>
      </c>
      <c r="F39" s="13" t="s">
        <v>90</v>
      </c>
      <c r="G39" s="13" t="s">
        <v>90</v>
      </c>
      <c r="H39" s="13" t="s">
        <v>91</v>
      </c>
      <c r="I39" s="13" t="s">
        <v>92</v>
      </c>
      <c r="J39" s="14" t="s">
        <v>93</v>
      </c>
      <c r="K39" s="13"/>
      <c r="L39" s="13">
        <v>0</v>
      </c>
      <c r="M39" s="13" t="s">
        <v>96</v>
      </c>
      <c r="N39" s="13" t="s">
        <v>91</v>
      </c>
      <c r="O39" s="13">
        <v>0</v>
      </c>
      <c r="P39" s="11">
        <v>225</v>
      </c>
      <c r="Q39" s="12">
        <v>32.159999999999997</v>
      </c>
      <c r="R39" s="12">
        <v>1311.277</v>
      </c>
      <c r="S39" s="12">
        <v>0.09</v>
      </c>
      <c r="T39" s="12">
        <v>2.46</v>
      </c>
      <c r="U39" s="12">
        <v>0.17</v>
      </c>
      <c r="V39" s="12">
        <v>0.09</v>
      </c>
      <c r="W39" s="12">
        <v>0.06</v>
      </c>
      <c r="X39" s="12">
        <v>114</v>
      </c>
      <c r="Y39" s="12">
        <v>100</v>
      </c>
      <c r="Z39" s="12">
        <v>147</v>
      </c>
      <c r="AA39" s="12">
        <v>150</v>
      </c>
      <c r="AB39" s="12">
        <v>114</v>
      </c>
      <c r="AC39" s="12">
        <v>100</v>
      </c>
      <c r="AD39" s="12">
        <v>147</v>
      </c>
      <c r="AE39" s="12">
        <v>150</v>
      </c>
      <c r="AF39" s="13"/>
      <c r="AG39" s="13"/>
      <c r="AH39" s="13"/>
    </row>
    <row r="40" spans="1:34">
      <c r="A40" s="13" t="s">
        <v>87</v>
      </c>
      <c r="B40" s="13">
        <v>220029640</v>
      </c>
      <c r="C40" s="13" t="s">
        <v>88</v>
      </c>
      <c r="D40" s="13" t="s">
        <v>89</v>
      </c>
      <c r="E40" s="13">
        <v>400454000062</v>
      </c>
      <c r="F40" s="13" t="s">
        <v>90</v>
      </c>
      <c r="G40" s="13" t="s">
        <v>90</v>
      </c>
      <c r="H40" s="13" t="s">
        <v>91</v>
      </c>
      <c r="I40" s="13" t="s">
        <v>92</v>
      </c>
      <c r="J40" s="14" t="s">
        <v>93</v>
      </c>
      <c r="K40" s="13"/>
      <c r="L40" s="13">
        <v>0</v>
      </c>
      <c r="M40" s="13" t="s">
        <v>96</v>
      </c>
      <c r="N40" s="13" t="s">
        <v>91</v>
      </c>
      <c r="O40" s="13">
        <v>0</v>
      </c>
      <c r="P40" s="11">
        <v>230</v>
      </c>
      <c r="Q40" s="12">
        <v>33.01</v>
      </c>
      <c r="R40" s="12">
        <v>1311.3520000000001</v>
      </c>
      <c r="S40" s="12">
        <v>0.09</v>
      </c>
      <c r="T40" s="12">
        <v>2.5099999999999998</v>
      </c>
      <c r="U40" s="12">
        <v>0.17</v>
      </c>
      <c r="V40" s="12">
        <v>0.09</v>
      </c>
      <c r="W40" s="12">
        <v>0.06</v>
      </c>
      <c r="X40" s="12">
        <v>115</v>
      </c>
      <c r="Y40" s="12">
        <v>101</v>
      </c>
      <c r="Z40" s="12">
        <v>148</v>
      </c>
      <c r="AA40" s="12">
        <v>151</v>
      </c>
      <c r="AB40" s="12">
        <v>115</v>
      </c>
      <c r="AC40" s="12">
        <v>101</v>
      </c>
      <c r="AD40" s="12">
        <v>148</v>
      </c>
      <c r="AE40" s="12">
        <v>151</v>
      </c>
      <c r="AF40" s="13"/>
      <c r="AG40" s="13"/>
      <c r="AH40" s="13"/>
    </row>
    <row r="41" spans="1:34">
      <c r="A41" s="13" t="s">
        <v>87</v>
      </c>
      <c r="B41" s="13">
        <v>220029640</v>
      </c>
      <c r="C41" s="13" t="s">
        <v>88</v>
      </c>
      <c r="D41" s="13" t="s">
        <v>89</v>
      </c>
      <c r="E41" s="13">
        <v>400454000062</v>
      </c>
      <c r="F41" s="13" t="s">
        <v>90</v>
      </c>
      <c r="G41" s="13" t="s">
        <v>90</v>
      </c>
      <c r="H41" s="13" t="s">
        <v>91</v>
      </c>
      <c r="I41" s="13" t="s">
        <v>92</v>
      </c>
      <c r="J41" s="14" t="s">
        <v>93</v>
      </c>
      <c r="K41" s="13"/>
      <c r="L41" s="13">
        <v>0</v>
      </c>
      <c r="M41" s="13" t="s">
        <v>96</v>
      </c>
      <c r="N41" s="13" t="s">
        <v>91</v>
      </c>
      <c r="O41" s="13">
        <v>0</v>
      </c>
      <c r="P41" s="11">
        <v>235</v>
      </c>
      <c r="Q41" s="12">
        <v>33.840000000000003</v>
      </c>
      <c r="R41" s="12">
        <v>1311.4280000000001</v>
      </c>
      <c r="S41" s="12">
        <v>0.09</v>
      </c>
      <c r="T41" s="12">
        <v>2.48</v>
      </c>
      <c r="U41" s="12">
        <v>0.17</v>
      </c>
      <c r="V41" s="12">
        <v>0.09</v>
      </c>
      <c r="W41" s="12">
        <v>0.06</v>
      </c>
      <c r="X41" s="12">
        <v>115</v>
      </c>
      <c r="Y41" s="12">
        <v>101</v>
      </c>
      <c r="Z41" s="12">
        <v>148</v>
      </c>
      <c r="AA41" s="12">
        <v>151</v>
      </c>
      <c r="AB41" s="12">
        <v>115</v>
      </c>
      <c r="AC41" s="12">
        <v>101</v>
      </c>
      <c r="AD41" s="12">
        <v>148</v>
      </c>
      <c r="AE41" s="12">
        <v>151</v>
      </c>
      <c r="AF41" s="13"/>
      <c r="AG41" s="13"/>
      <c r="AH41" s="13"/>
    </row>
    <row r="42" spans="1:34">
      <c r="A42" s="13" t="s">
        <v>87</v>
      </c>
      <c r="B42" s="13">
        <v>220029640</v>
      </c>
      <c r="C42" s="13" t="s">
        <v>88</v>
      </c>
      <c r="D42" s="13" t="s">
        <v>89</v>
      </c>
      <c r="E42" s="13">
        <v>400454000062</v>
      </c>
      <c r="F42" s="13" t="s">
        <v>90</v>
      </c>
      <c r="G42" s="13" t="s">
        <v>90</v>
      </c>
      <c r="H42" s="13" t="s">
        <v>91</v>
      </c>
      <c r="I42" s="13" t="s">
        <v>92</v>
      </c>
      <c r="J42" s="14" t="s">
        <v>93</v>
      </c>
      <c r="K42" s="13"/>
      <c r="L42" s="13">
        <v>0</v>
      </c>
      <c r="M42" s="13" t="s">
        <v>96</v>
      </c>
      <c r="N42" s="13" t="s">
        <v>91</v>
      </c>
      <c r="O42" s="13">
        <v>0</v>
      </c>
      <c r="P42" s="11">
        <v>240</v>
      </c>
      <c r="Q42" s="12">
        <v>34.68</v>
      </c>
      <c r="R42" s="12">
        <v>1311.5039999999999</v>
      </c>
      <c r="S42" s="12">
        <v>0.09</v>
      </c>
      <c r="T42" s="12">
        <v>2.4700000000000002</v>
      </c>
      <c r="U42" s="12">
        <v>0.17</v>
      </c>
      <c r="V42" s="12">
        <v>0.09</v>
      </c>
      <c r="W42" s="12">
        <v>0.06</v>
      </c>
      <c r="X42" s="12">
        <v>116</v>
      </c>
      <c r="Y42" s="12">
        <v>102</v>
      </c>
      <c r="Z42" s="12">
        <v>149</v>
      </c>
      <c r="AA42" s="12">
        <v>152</v>
      </c>
      <c r="AB42" s="12">
        <v>116</v>
      </c>
      <c r="AC42" s="12">
        <v>102</v>
      </c>
      <c r="AD42" s="12">
        <v>149</v>
      </c>
      <c r="AE42" s="12">
        <v>152</v>
      </c>
      <c r="AF42" s="13"/>
      <c r="AG42" s="13"/>
      <c r="AH42" s="13"/>
    </row>
    <row r="43" spans="1:34">
      <c r="A43" s="13" t="s">
        <v>87</v>
      </c>
      <c r="B43" s="13">
        <v>220029640</v>
      </c>
      <c r="C43" s="13" t="s">
        <v>88</v>
      </c>
      <c r="D43" s="13" t="s">
        <v>89</v>
      </c>
      <c r="E43" s="13">
        <v>400454000062</v>
      </c>
      <c r="F43" s="13" t="s">
        <v>90</v>
      </c>
      <c r="G43" s="13" t="s">
        <v>90</v>
      </c>
      <c r="H43" s="13" t="s">
        <v>91</v>
      </c>
      <c r="I43" s="13" t="s">
        <v>92</v>
      </c>
      <c r="J43" s="14" t="s">
        <v>93</v>
      </c>
      <c r="K43" s="13"/>
      <c r="L43" s="13">
        <v>0</v>
      </c>
      <c r="M43" s="13" t="s">
        <v>96</v>
      </c>
      <c r="N43" s="13" t="s">
        <v>91</v>
      </c>
      <c r="O43" s="13">
        <v>0</v>
      </c>
      <c r="P43" s="11">
        <v>245</v>
      </c>
      <c r="Q43" s="12">
        <v>35.54</v>
      </c>
      <c r="R43" s="12">
        <v>1311.58</v>
      </c>
      <c r="S43" s="12">
        <v>0.09</v>
      </c>
      <c r="T43" s="12">
        <v>2.4500000000000002</v>
      </c>
      <c r="U43" s="12">
        <v>0.17</v>
      </c>
      <c r="V43" s="12">
        <v>0.09</v>
      </c>
      <c r="W43" s="12">
        <v>0.06</v>
      </c>
      <c r="X43" s="12">
        <v>116</v>
      </c>
      <c r="Y43" s="12">
        <v>103</v>
      </c>
      <c r="Z43" s="12">
        <v>150</v>
      </c>
      <c r="AA43" s="12">
        <v>153</v>
      </c>
      <c r="AB43" s="12">
        <v>116</v>
      </c>
      <c r="AC43" s="12">
        <v>103</v>
      </c>
      <c r="AD43" s="12">
        <v>150</v>
      </c>
      <c r="AE43" s="12">
        <v>153</v>
      </c>
      <c r="AF43" s="13"/>
      <c r="AG43" s="13"/>
      <c r="AH43" s="13"/>
    </row>
    <row r="44" spans="1:34">
      <c r="A44" s="13" t="s">
        <v>87</v>
      </c>
      <c r="B44" s="13">
        <v>220029640</v>
      </c>
      <c r="C44" s="13" t="s">
        <v>88</v>
      </c>
      <c r="D44" s="13" t="s">
        <v>89</v>
      </c>
      <c r="E44" s="13">
        <v>400454000062</v>
      </c>
      <c r="F44" s="13" t="s">
        <v>90</v>
      </c>
      <c r="G44" s="13" t="s">
        <v>90</v>
      </c>
      <c r="H44" s="13" t="s">
        <v>91</v>
      </c>
      <c r="I44" s="13" t="s">
        <v>92</v>
      </c>
      <c r="J44" s="14" t="s">
        <v>93</v>
      </c>
      <c r="K44" s="13"/>
      <c r="L44" s="13">
        <v>0</v>
      </c>
      <c r="M44" s="13" t="s">
        <v>96</v>
      </c>
      <c r="N44" s="13" t="s">
        <v>91</v>
      </c>
      <c r="O44" s="13">
        <v>0</v>
      </c>
      <c r="P44" s="11">
        <v>250</v>
      </c>
      <c r="Q44" s="12">
        <v>36.369999999999997</v>
      </c>
      <c r="R44" s="12">
        <v>1311.655</v>
      </c>
      <c r="S44" s="12">
        <v>0.09</v>
      </c>
      <c r="T44" s="12">
        <v>2.48</v>
      </c>
      <c r="U44" s="12">
        <v>0.17</v>
      </c>
      <c r="V44" s="12">
        <v>0.09</v>
      </c>
      <c r="W44" s="12">
        <v>0.06</v>
      </c>
      <c r="X44" s="12">
        <v>117</v>
      </c>
      <c r="Y44" s="12">
        <v>104</v>
      </c>
      <c r="Z44" s="12">
        <v>150</v>
      </c>
      <c r="AA44" s="12">
        <v>154</v>
      </c>
      <c r="AB44" s="12">
        <v>117</v>
      </c>
      <c r="AC44" s="12">
        <v>104</v>
      </c>
      <c r="AD44" s="12">
        <v>150</v>
      </c>
      <c r="AE44" s="12">
        <v>154</v>
      </c>
      <c r="AF44" s="13"/>
      <c r="AG44" s="13"/>
      <c r="AH44" s="13"/>
    </row>
    <row r="45" spans="1:34">
      <c r="A45" s="13" t="s">
        <v>87</v>
      </c>
      <c r="B45" s="13">
        <v>220029640</v>
      </c>
      <c r="C45" s="13" t="s">
        <v>88</v>
      </c>
      <c r="D45" s="13" t="s">
        <v>89</v>
      </c>
      <c r="E45" s="13">
        <v>400454000062</v>
      </c>
      <c r="F45" s="13" t="s">
        <v>90</v>
      </c>
      <c r="G45" s="13" t="s">
        <v>90</v>
      </c>
      <c r="H45" s="13" t="s">
        <v>91</v>
      </c>
      <c r="I45" s="13" t="s">
        <v>92</v>
      </c>
      <c r="J45" s="14" t="s">
        <v>93</v>
      </c>
      <c r="K45" s="13"/>
      <c r="L45" s="13">
        <v>0</v>
      </c>
      <c r="M45" s="13" t="s">
        <v>96</v>
      </c>
      <c r="N45" s="13" t="s">
        <v>91</v>
      </c>
      <c r="O45" s="13">
        <v>0</v>
      </c>
      <c r="P45" s="11">
        <v>255</v>
      </c>
      <c r="Q45" s="12">
        <v>37.21</v>
      </c>
      <c r="R45" s="12">
        <v>1311.7329999999999</v>
      </c>
      <c r="S45" s="12">
        <v>0.09</v>
      </c>
      <c r="T45" s="12">
        <v>2.4700000000000002</v>
      </c>
      <c r="U45" s="12">
        <v>0.17</v>
      </c>
      <c r="V45" s="12">
        <v>0.09</v>
      </c>
      <c r="W45" s="12">
        <v>0.06</v>
      </c>
      <c r="X45" s="12">
        <v>118</v>
      </c>
      <c r="Y45" s="12">
        <v>104</v>
      </c>
      <c r="Z45" s="12">
        <v>151</v>
      </c>
      <c r="AA45" s="12">
        <v>154</v>
      </c>
      <c r="AB45" s="12">
        <v>118</v>
      </c>
      <c r="AC45" s="12">
        <v>104</v>
      </c>
      <c r="AD45" s="12">
        <v>151</v>
      </c>
      <c r="AE45" s="12">
        <v>154</v>
      </c>
      <c r="AF45" s="13"/>
      <c r="AG45" s="13"/>
      <c r="AH45" s="13"/>
    </row>
    <row r="46" spans="1:34">
      <c r="A46" s="13" t="s">
        <v>87</v>
      </c>
      <c r="B46" s="13">
        <v>220029640</v>
      </c>
      <c r="C46" s="13" t="s">
        <v>88</v>
      </c>
      <c r="D46" s="13" t="s">
        <v>89</v>
      </c>
      <c r="E46" s="13">
        <v>400454000062</v>
      </c>
      <c r="F46" s="13" t="s">
        <v>90</v>
      </c>
      <c r="G46" s="13" t="s">
        <v>90</v>
      </c>
      <c r="H46" s="13" t="s">
        <v>91</v>
      </c>
      <c r="I46" s="13" t="s">
        <v>92</v>
      </c>
      <c r="J46" s="14" t="s">
        <v>93</v>
      </c>
      <c r="K46" s="13"/>
      <c r="L46" s="13">
        <v>0</v>
      </c>
      <c r="M46" s="13" t="s">
        <v>96</v>
      </c>
      <c r="N46" s="13" t="s">
        <v>91</v>
      </c>
      <c r="O46" s="13">
        <v>0</v>
      </c>
      <c r="P46" s="11">
        <v>260</v>
      </c>
      <c r="Q46" s="12">
        <v>38.04</v>
      </c>
      <c r="R46" s="12">
        <v>1311.809</v>
      </c>
      <c r="S46" s="12">
        <v>0.09</v>
      </c>
      <c r="T46" s="12">
        <v>2.48</v>
      </c>
      <c r="U46" s="12">
        <v>0.17</v>
      </c>
      <c r="V46" s="12">
        <v>0.09</v>
      </c>
      <c r="W46" s="12">
        <v>0.06</v>
      </c>
      <c r="X46" s="12">
        <v>119</v>
      </c>
      <c r="Y46" s="12">
        <v>105</v>
      </c>
      <c r="Z46" s="12">
        <v>152</v>
      </c>
      <c r="AA46" s="12">
        <v>155</v>
      </c>
      <c r="AB46" s="12">
        <v>119</v>
      </c>
      <c r="AC46" s="12">
        <v>105</v>
      </c>
      <c r="AD46" s="12">
        <v>152</v>
      </c>
      <c r="AE46" s="12">
        <v>155</v>
      </c>
      <c r="AF46" s="13"/>
      <c r="AG46" s="13"/>
      <c r="AH46" s="13"/>
    </row>
    <row r="47" spans="1:34">
      <c r="A47" s="13" t="s">
        <v>87</v>
      </c>
      <c r="B47" s="13">
        <v>220029640</v>
      </c>
      <c r="C47" s="13" t="s">
        <v>88</v>
      </c>
      <c r="D47" s="13" t="s">
        <v>89</v>
      </c>
      <c r="E47" s="13">
        <v>400454000062</v>
      </c>
      <c r="F47" s="13" t="s">
        <v>90</v>
      </c>
      <c r="G47" s="13" t="s">
        <v>90</v>
      </c>
      <c r="H47" s="13" t="s">
        <v>91</v>
      </c>
      <c r="I47" s="13" t="s">
        <v>92</v>
      </c>
      <c r="J47" s="14" t="s">
        <v>93</v>
      </c>
      <c r="K47" s="13"/>
      <c r="L47" s="13">
        <v>0</v>
      </c>
      <c r="M47" s="13" t="s">
        <v>96</v>
      </c>
      <c r="N47" s="13" t="s">
        <v>91</v>
      </c>
      <c r="O47" s="13">
        <v>0</v>
      </c>
      <c r="P47" s="11">
        <v>265</v>
      </c>
      <c r="Q47" s="12">
        <v>38.9</v>
      </c>
      <c r="R47" s="12">
        <v>1311.8879999999999</v>
      </c>
      <c r="S47" s="12">
        <v>0.09</v>
      </c>
      <c r="T47" s="12">
        <v>2.5299999999999998</v>
      </c>
      <c r="U47" s="12">
        <v>0.17</v>
      </c>
      <c r="V47" s="12">
        <v>0.09</v>
      </c>
      <c r="W47" s="12">
        <v>0.06</v>
      </c>
      <c r="X47" s="12">
        <v>119</v>
      </c>
      <c r="Y47" s="12">
        <v>106</v>
      </c>
      <c r="Z47" s="12">
        <v>153</v>
      </c>
      <c r="AA47" s="12">
        <v>156</v>
      </c>
      <c r="AB47" s="12">
        <v>119</v>
      </c>
      <c r="AC47" s="12">
        <v>106</v>
      </c>
      <c r="AD47" s="12">
        <v>153</v>
      </c>
      <c r="AE47" s="12">
        <v>156</v>
      </c>
      <c r="AF47" s="13"/>
      <c r="AG47" s="13"/>
      <c r="AH47" s="13"/>
    </row>
    <row r="48" spans="1:34">
      <c r="A48" s="13" t="s">
        <v>87</v>
      </c>
      <c r="B48" s="13">
        <v>220029640</v>
      </c>
      <c r="C48" s="13" t="s">
        <v>88</v>
      </c>
      <c r="D48" s="13" t="s">
        <v>89</v>
      </c>
      <c r="E48" s="13">
        <v>400454000062</v>
      </c>
      <c r="F48" s="13" t="s">
        <v>90</v>
      </c>
      <c r="G48" s="13" t="s">
        <v>90</v>
      </c>
      <c r="H48" s="13" t="s">
        <v>91</v>
      </c>
      <c r="I48" s="13" t="s">
        <v>92</v>
      </c>
      <c r="J48" s="14" t="s">
        <v>93</v>
      </c>
      <c r="K48" s="13"/>
      <c r="L48" s="13">
        <v>0</v>
      </c>
      <c r="M48" s="13" t="s">
        <v>96</v>
      </c>
      <c r="N48" s="13" t="s">
        <v>91</v>
      </c>
      <c r="O48" s="13">
        <v>0</v>
      </c>
      <c r="P48" s="11">
        <v>270</v>
      </c>
      <c r="Q48" s="12">
        <v>39.75</v>
      </c>
      <c r="R48" s="12">
        <v>1311.9649999999999</v>
      </c>
      <c r="S48" s="12">
        <v>0.09</v>
      </c>
      <c r="T48" s="12">
        <v>2.57</v>
      </c>
      <c r="U48" s="12">
        <v>0.17</v>
      </c>
      <c r="V48" s="12">
        <v>0.09</v>
      </c>
      <c r="W48" s="12">
        <v>0.06</v>
      </c>
      <c r="X48" s="12">
        <v>120</v>
      </c>
      <c r="Y48" s="12">
        <v>107</v>
      </c>
      <c r="Z48" s="12">
        <v>155</v>
      </c>
      <c r="AA48" s="12">
        <v>156</v>
      </c>
      <c r="AB48" s="12">
        <v>120</v>
      </c>
      <c r="AC48" s="12">
        <v>107</v>
      </c>
      <c r="AD48" s="12">
        <v>155</v>
      </c>
      <c r="AE48" s="12">
        <v>156</v>
      </c>
      <c r="AF48" s="13"/>
      <c r="AG48" s="13"/>
      <c r="AH48" s="13"/>
    </row>
    <row r="49" spans="1:34">
      <c r="A49" s="13" t="s">
        <v>87</v>
      </c>
      <c r="B49" s="13">
        <v>220029640</v>
      </c>
      <c r="C49" s="13" t="s">
        <v>88</v>
      </c>
      <c r="D49" s="13" t="s">
        <v>89</v>
      </c>
      <c r="E49" s="13">
        <v>400454000062</v>
      </c>
      <c r="F49" s="13" t="s">
        <v>90</v>
      </c>
      <c r="G49" s="13" t="s">
        <v>90</v>
      </c>
      <c r="H49" s="13" t="s">
        <v>91</v>
      </c>
      <c r="I49" s="13" t="s">
        <v>92</v>
      </c>
      <c r="J49" s="14" t="s">
        <v>93</v>
      </c>
      <c r="K49" s="13"/>
      <c r="L49" s="13">
        <v>0</v>
      </c>
      <c r="M49" s="13" t="s">
        <v>96</v>
      </c>
      <c r="N49" s="13" t="s">
        <v>91</v>
      </c>
      <c r="O49" s="13">
        <v>0</v>
      </c>
      <c r="P49" s="11">
        <v>275</v>
      </c>
      <c r="Q49" s="12">
        <v>40.58</v>
      </c>
      <c r="R49" s="12">
        <v>1312.0450000000001</v>
      </c>
      <c r="S49" s="12">
        <v>0.1</v>
      </c>
      <c r="T49" s="12">
        <v>2.58</v>
      </c>
      <c r="U49" s="12">
        <v>0.17</v>
      </c>
      <c r="V49" s="12">
        <v>0.09</v>
      </c>
      <c r="W49" s="12">
        <v>0.06</v>
      </c>
      <c r="X49" s="12">
        <v>121</v>
      </c>
      <c r="Y49" s="12">
        <v>108</v>
      </c>
      <c r="Z49" s="12">
        <v>156</v>
      </c>
      <c r="AA49" s="12">
        <v>157</v>
      </c>
      <c r="AB49" s="12">
        <v>121</v>
      </c>
      <c r="AC49" s="12">
        <v>108</v>
      </c>
      <c r="AD49" s="12">
        <v>156</v>
      </c>
      <c r="AE49" s="12">
        <v>157</v>
      </c>
      <c r="AF49" s="13"/>
      <c r="AG49" s="13"/>
      <c r="AH49" s="13"/>
    </row>
    <row r="50" spans="1:34">
      <c r="A50" s="13" t="s">
        <v>87</v>
      </c>
      <c r="B50" s="13">
        <v>220029640</v>
      </c>
      <c r="C50" s="13" t="s">
        <v>88</v>
      </c>
      <c r="D50" s="13" t="s">
        <v>89</v>
      </c>
      <c r="E50" s="13">
        <v>400454000062</v>
      </c>
      <c r="F50" s="13" t="s">
        <v>90</v>
      </c>
      <c r="G50" s="13" t="s">
        <v>90</v>
      </c>
      <c r="H50" s="13" t="s">
        <v>91</v>
      </c>
      <c r="I50" s="13" t="s">
        <v>92</v>
      </c>
      <c r="J50" s="14" t="s">
        <v>93</v>
      </c>
      <c r="K50" s="13"/>
      <c r="L50" s="13">
        <v>0</v>
      </c>
      <c r="M50" s="13" t="s">
        <v>96</v>
      </c>
      <c r="N50" s="13" t="s">
        <v>91</v>
      </c>
      <c r="O50" s="13">
        <v>0</v>
      </c>
      <c r="P50" s="11">
        <v>280</v>
      </c>
      <c r="Q50" s="12">
        <v>41.42</v>
      </c>
      <c r="R50" s="12">
        <v>1312.1220000000001</v>
      </c>
      <c r="S50" s="12">
        <v>0.09</v>
      </c>
      <c r="T50" s="12">
        <v>2.5099999999999998</v>
      </c>
      <c r="U50" s="12">
        <v>0.17</v>
      </c>
      <c r="V50" s="12">
        <v>0.09</v>
      </c>
      <c r="W50" s="12">
        <v>0.06</v>
      </c>
      <c r="X50" s="12">
        <v>122</v>
      </c>
      <c r="Y50" s="12">
        <v>108</v>
      </c>
      <c r="Z50" s="12">
        <v>157</v>
      </c>
      <c r="AA50" s="12">
        <v>158</v>
      </c>
      <c r="AB50" s="12">
        <v>122</v>
      </c>
      <c r="AC50" s="12">
        <v>108</v>
      </c>
      <c r="AD50" s="12">
        <v>157</v>
      </c>
      <c r="AE50" s="12">
        <v>158</v>
      </c>
      <c r="AF50" s="13"/>
      <c r="AG50" s="13"/>
      <c r="AH50" s="13"/>
    </row>
    <row r="51" spans="1:34">
      <c r="A51" s="13" t="s">
        <v>87</v>
      </c>
      <c r="B51" s="13">
        <v>220029640</v>
      </c>
      <c r="C51" s="13" t="s">
        <v>88</v>
      </c>
      <c r="D51" s="13" t="s">
        <v>89</v>
      </c>
      <c r="E51" s="13">
        <v>400454000062</v>
      </c>
      <c r="F51" s="13" t="s">
        <v>90</v>
      </c>
      <c r="G51" s="13" t="s">
        <v>90</v>
      </c>
      <c r="H51" s="13" t="s">
        <v>91</v>
      </c>
      <c r="I51" s="13" t="s">
        <v>92</v>
      </c>
      <c r="J51" s="14" t="s">
        <v>93</v>
      </c>
      <c r="K51" s="13"/>
      <c r="L51" s="13">
        <v>0</v>
      </c>
      <c r="M51" s="13" t="s">
        <v>96</v>
      </c>
      <c r="N51" s="13" t="s">
        <v>91</v>
      </c>
      <c r="O51" s="13">
        <v>0</v>
      </c>
      <c r="P51" s="11">
        <v>285</v>
      </c>
      <c r="Q51" s="12">
        <v>42.24</v>
      </c>
      <c r="R51" s="12">
        <v>1312.2</v>
      </c>
      <c r="S51" s="12">
        <v>0.1</v>
      </c>
      <c r="T51" s="12">
        <v>2.5299999999999998</v>
      </c>
      <c r="U51" s="12">
        <v>0.17</v>
      </c>
      <c r="V51" s="12">
        <v>0.09</v>
      </c>
      <c r="W51" s="12">
        <v>0.06</v>
      </c>
      <c r="X51" s="12">
        <v>123</v>
      </c>
      <c r="Y51" s="12">
        <v>109</v>
      </c>
      <c r="Z51" s="12">
        <v>158</v>
      </c>
      <c r="AA51" s="12">
        <v>159</v>
      </c>
      <c r="AB51" s="12">
        <v>123</v>
      </c>
      <c r="AC51" s="12">
        <v>109</v>
      </c>
      <c r="AD51" s="12">
        <v>158</v>
      </c>
      <c r="AE51" s="12">
        <v>159</v>
      </c>
      <c r="AF51" s="13"/>
      <c r="AG51" s="13"/>
      <c r="AH51" s="13"/>
    </row>
    <row r="52" spans="1:34">
      <c r="A52" s="13" t="s">
        <v>87</v>
      </c>
      <c r="B52" s="13">
        <v>220029640</v>
      </c>
      <c r="C52" s="13" t="s">
        <v>88</v>
      </c>
      <c r="D52" s="13" t="s">
        <v>89</v>
      </c>
      <c r="E52" s="13">
        <v>400454000062</v>
      </c>
      <c r="F52" s="13" t="s">
        <v>90</v>
      </c>
      <c r="G52" s="13" t="s">
        <v>90</v>
      </c>
      <c r="H52" s="13" t="s">
        <v>91</v>
      </c>
      <c r="I52" s="13" t="s">
        <v>92</v>
      </c>
      <c r="J52" s="14" t="s">
        <v>93</v>
      </c>
      <c r="K52" s="13"/>
      <c r="L52" s="13">
        <v>0</v>
      </c>
      <c r="M52" s="13" t="s">
        <v>96</v>
      </c>
      <c r="N52" s="13" t="s">
        <v>91</v>
      </c>
      <c r="O52" s="13">
        <v>0</v>
      </c>
      <c r="P52" s="11">
        <v>290</v>
      </c>
      <c r="Q52" s="12">
        <v>43.48</v>
      </c>
      <c r="R52" s="12">
        <v>1312.279</v>
      </c>
      <c r="S52" s="12">
        <v>0.06</v>
      </c>
      <c r="T52" s="12">
        <v>2.5499999999999998</v>
      </c>
      <c r="U52" s="12">
        <v>0.17</v>
      </c>
      <c r="V52" s="12">
        <v>0.09</v>
      </c>
      <c r="W52" s="12">
        <v>0.06</v>
      </c>
      <c r="X52" s="12">
        <v>124</v>
      </c>
      <c r="Y52" s="12">
        <v>111</v>
      </c>
      <c r="Z52" s="12">
        <v>159</v>
      </c>
      <c r="AA52" s="12">
        <v>160</v>
      </c>
      <c r="AB52" s="12">
        <v>124</v>
      </c>
      <c r="AC52" s="12">
        <v>111</v>
      </c>
      <c r="AD52" s="12">
        <v>159</v>
      </c>
      <c r="AE52" s="12">
        <v>160</v>
      </c>
      <c r="AF52" s="13"/>
      <c r="AG52" s="13"/>
      <c r="AH52" s="13"/>
    </row>
    <row r="53" spans="1:34">
      <c r="A53" s="13" t="s">
        <v>87</v>
      </c>
      <c r="B53" s="13">
        <v>220029640</v>
      </c>
      <c r="C53" s="13" t="s">
        <v>88</v>
      </c>
      <c r="D53" s="13" t="s">
        <v>89</v>
      </c>
      <c r="E53" s="13">
        <v>400454000062</v>
      </c>
      <c r="F53" s="13" t="s">
        <v>90</v>
      </c>
      <c r="G53" s="13" t="s">
        <v>90</v>
      </c>
      <c r="H53" s="13" t="s">
        <v>91</v>
      </c>
      <c r="I53" s="13" t="s">
        <v>92</v>
      </c>
      <c r="J53" s="14" t="s">
        <v>93</v>
      </c>
      <c r="K53" s="13"/>
      <c r="L53" s="13">
        <v>0</v>
      </c>
      <c r="M53" s="13" t="s">
        <v>96</v>
      </c>
      <c r="N53" s="13" t="s">
        <v>91</v>
      </c>
      <c r="O53" s="13">
        <v>0</v>
      </c>
      <c r="P53" s="11">
        <v>295</v>
      </c>
      <c r="Q53" s="12">
        <v>44.27</v>
      </c>
      <c r="R53" s="12">
        <v>1312.4169999999999</v>
      </c>
      <c r="S53" s="12">
        <v>0.17</v>
      </c>
      <c r="T53" s="12">
        <v>2.56</v>
      </c>
      <c r="U53" s="12">
        <v>0.17</v>
      </c>
      <c r="V53" s="12">
        <v>0.09</v>
      </c>
      <c r="W53" s="12">
        <v>0.06</v>
      </c>
      <c r="X53" s="12">
        <v>125</v>
      </c>
      <c r="Y53" s="12">
        <v>112</v>
      </c>
      <c r="Z53" s="12">
        <v>160</v>
      </c>
      <c r="AA53" s="12">
        <v>161</v>
      </c>
      <c r="AB53" s="12">
        <v>125</v>
      </c>
      <c r="AC53" s="12">
        <v>112</v>
      </c>
      <c r="AD53" s="12">
        <v>160</v>
      </c>
      <c r="AE53" s="12">
        <v>161</v>
      </c>
      <c r="AF53" s="13"/>
      <c r="AG53" s="13"/>
      <c r="AH53" s="13"/>
    </row>
    <row r="54" spans="1:34">
      <c r="A54" s="13" t="s">
        <v>87</v>
      </c>
      <c r="B54" s="13">
        <v>220029640</v>
      </c>
      <c r="C54" s="13" t="s">
        <v>88</v>
      </c>
      <c r="D54" s="13" t="s">
        <v>89</v>
      </c>
      <c r="E54" s="13">
        <v>400454000062</v>
      </c>
      <c r="F54" s="13" t="s">
        <v>90</v>
      </c>
      <c r="G54" s="13" t="s">
        <v>90</v>
      </c>
      <c r="H54" s="13" t="s">
        <v>91</v>
      </c>
      <c r="I54" s="13" t="s">
        <v>92</v>
      </c>
      <c r="J54" s="14" t="s">
        <v>93</v>
      </c>
      <c r="K54" s="13"/>
      <c r="L54" s="13">
        <v>0</v>
      </c>
      <c r="M54" s="13" t="s">
        <v>96</v>
      </c>
      <c r="N54" s="13" t="s">
        <v>91</v>
      </c>
      <c r="O54" s="13">
        <v>0</v>
      </c>
      <c r="P54" s="11">
        <v>300</v>
      </c>
      <c r="Q54" s="12">
        <v>45.09</v>
      </c>
      <c r="R54" s="12">
        <v>1312.4739999999999</v>
      </c>
      <c r="S54" s="12">
        <v>7.0000000000000007E-2</v>
      </c>
      <c r="T54" s="12">
        <v>2.58</v>
      </c>
      <c r="U54" s="12">
        <v>0.17</v>
      </c>
      <c r="V54" s="12">
        <v>0.09</v>
      </c>
      <c r="W54" s="12">
        <v>0.06</v>
      </c>
      <c r="X54" s="12">
        <v>126</v>
      </c>
      <c r="Y54" s="12">
        <v>113</v>
      </c>
      <c r="Z54" s="12">
        <v>161</v>
      </c>
      <c r="AA54" s="12">
        <v>162</v>
      </c>
      <c r="AB54" s="12">
        <v>126</v>
      </c>
      <c r="AC54" s="12">
        <v>113</v>
      </c>
      <c r="AD54" s="12">
        <v>161</v>
      </c>
      <c r="AE54" s="12">
        <v>162</v>
      </c>
      <c r="AF54" s="13"/>
      <c r="AG54" s="13"/>
      <c r="AH54" s="13"/>
    </row>
    <row r="55" spans="1:34">
      <c r="A55" s="13" t="s">
        <v>87</v>
      </c>
      <c r="B55" s="13">
        <v>220029640</v>
      </c>
      <c r="C55" s="13" t="s">
        <v>88</v>
      </c>
      <c r="D55" s="13" t="s">
        <v>89</v>
      </c>
      <c r="E55" s="13">
        <v>400454000062</v>
      </c>
      <c r="F55" s="13" t="s">
        <v>90</v>
      </c>
      <c r="G55" s="13" t="s">
        <v>90</v>
      </c>
      <c r="H55" s="13" t="s">
        <v>91</v>
      </c>
      <c r="I55" s="13" t="s">
        <v>92</v>
      </c>
      <c r="J55" s="14" t="s">
        <v>93</v>
      </c>
      <c r="K55" s="13"/>
      <c r="L55" s="13">
        <v>0</v>
      </c>
      <c r="M55" s="13" t="s">
        <v>96</v>
      </c>
      <c r="N55" s="13" t="s">
        <v>91</v>
      </c>
      <c r="O55" s="13">
        <v>0</v>
      </c>
      <c r="P55" s="11">
        <v>305</v>
      </c>
      <c r="Q55" s="12">
        <v>45.94</v>
      </c>
      <c r="R55" s="12">
        <v>1312.5530000000001</v>
      </c>
      <c r="S55" s="12">
        <v>0.09</v>
      </c>
      <c r="T55" s="12">
        <v>2.54</v>
      </c>
      <c r="U55" s="12">
        <v>0.17</v>
      </c>
      <c r="V55" s="12">
        <v>0.09</v>
      </c>
      <c r="W55" s="12">
        <v>0.06</v>
      </c>
      <c r="X55" s="12">
        <v>127</v>
      </c>
      <c r="Y55" s="12">
        <v>114</v>
      </c>
      <c r="Z55" s="12">
        <v>162</v>
      </c>
      <c r="AA55" s="12">
        <v>163</v>
      </c>
      <c r="AB55" s="12">
        <v>127</v>
      </c>
      <c r="AC55" s="12">
        <v>114</v>
      </c>
      <c r="AD55" s="12">
        <v>162</v>
      </c>
      <c r="AE55" s="12">
        <v>163</v>
      </c>
      <c r="AF55" s="13"/>
      <c r="AG55" s="13"/>
      <c r="AH55" s="13"/>
    </row>
    <row r="56" spans="1:34">
      <c r="A56" s="13" t="s">
        <v>87</v>
      </c>
      <c r="B56" s="13">
        <v>220029640</v>
      </c>
      <c r="C56" s="13" t="s">
        <v>88</v>
      </c>
      <c r="D56" s="13" t="s">
        <v>89</v>
      </c>
      <c r="E56" s="13">
        <v>400454000062</v>
      </c>
      <c r="F56" s="13" t="s">
        <v>90</v>
      </c>
      <c r="G56" s="13" t="s">
        <v>90</v>
      </c>
      <c r="H56" s="13" t="s">
        <v>91</v>
      </c>
      <c r="I56" s="13" t="s">
        <v>92</v>
      </c>
      <c r="J56" s="14" t="s">
        <v>93</v>
      </c>
      <c r="K56" s="13"/>
      <c r="L56" s="13">
        <v>0</v>
      </c>
      <c r="M56" s="13" t="s">
        <v>96</v>
      </c>
      <c r="N56" s="13" t="s">
        <v>91</v>
      </c>
      <c r="O56" s="13">
        <v>0</v>
      </c>
      <c r="P56" s="11">
        <v>310</v>
      </c>
      <c r="Q56" s="12">
        <v>46.76</v>
      </c>
      <c r="R56" s="12">
        <v>1312.6320000000001</v>
      </c>
      <c r="S56" s="12">
        <v>0.1</v>
      </c>
      <c r="T56" s="12">
        <v>2.5499999999999998</v>
      </c>
      <c r="U56" s="12">
        <v>0.17</v>
      </c>
      <c r="V56" s="12">
        <v>0.09</v>
      </c>
      <c r="W56" s="12">
        <v>0.06</v>
      </c>
      <c r="X56" s="12">
        <v>129</v>
      </c>
      <c r="Y56" s="12">
        <v>115</v>
      </c>
      <c r="Z56" s="12">
        <v>163</v>
      </c>
      <c r="AA56" s="12">
        <v>165</v>
      </c>
      <c r="AB56" s="12">
        <v>129</v>
      </c>
      <c r="AC56" s="12">
        <v>115</v>
      </c>
      <c r="AD56" s="12">
        <v>163</v>
      </c>
      <c r="AE56" s="12">
        <v>165</v>
      </c>
      <c r="AF56" s="13"/>
      <c r="AG56" s="13"/>
      <c r="AH56" s="13"/>
    </row>
    <row r="57" spans="1:34">
      <c r="A57" s="13" t="s">
        <v>87</v>
      </c>
      <c r="B57" s="13">
        <v>220029640</v>
      </c>
      <c r="C57" s="13" t="s">
        <v>88</v>
      </c>
      <c r="D57" s="13" t="s">
        <v>89</v>
      </c>
      <c r="E57" s="13">
        <v>400454000062</v>
      </c>
      <c r="F57" s="13" t="s">
        <v>90</v>
      </c>
      <c r="G57" s="13" t="s">
        <v>90</v>
      </c>
      <c r="H57" s="13" t="s">
        <v>91</v>
      </c>
      <c r="I57" s="13" t="s">
        <v>92</v>
      </c>
      <c r="J57" s="14" t="s">
        <v>93</v>
      </c>
      <c r="K57" s="13"/>
      <c r="L57" s="13">
        <v>0</v>
      </c>
      <c r="M57" s="13" t="s">
        <v>96</v>
      </c>
      <c r="N57" s="13" t="s">
        <v>91</v>
      </c>
      <c r="O57" s="13">
        <v>0</v>
      </c>
      <c r="P57" s="11">
        <v>315</v>
      </c>
      <c r="Q57" s="12">
        <v>47.6</v>
      </c>
      <c r="R57" s="12">
        <v>1312.7090000000001</v>
      </c>
      <c r="S57" s="12">
        <v>0.09</v>
      </c>
      <c r="T57" s="12">
        <v>2.52</v>
      </c>
      <c r="U57" s="12">
        <v>0.17</v>
      </c>
      <c r="V57" s="12">
        <v>0.09</v>
      </c>
      <c r="W57" s="12">
        <v>0.06</v>
      </c>
      <c r="X57" s="12">
        <v>130</v>
      </c>
      <c r="Y57" s="12">
        <v>116</v>
      </c>
      <c r="Z57" s="12">
        <v>164</v>
      </c>
      <c r="AA57" s="12">
        <v>166</v>
      </c>
      <c r="AB57" s="12">
        <v>130</v>
      </c>
      <c r="AC57" s="12">
        <v>116</v>
      </c>
      <c r="AD57" s="12">
        <v>164</v>
      </c>
      <c r="AE57" s="12">
        <v>166</v>
      </c>
      <c r="AF57" s="13"/>
      <c r="AG57" s="13"/>
      <c r="AH57" s="13"/>
    </row>
    <row r="58" spans="1:34">
      <c r="A58" s="13" t="s">
        <v>87</v>
      </c>
      <c r="B58" s="13">
        <v>220029640</v>
      </c>
      <c r="C58" s="13" t="s">
        <v>88</v>
      </c>
      <c r="D58" s="13" t="s">
        <v>89</v>
      </c>
      <c r="E58" s="13">
        <v>400454000062</v>
      </c>
      <c r="F58" s="13" t="s">
        <v>90</v>
      </c>
      <c r="G58" s="13" t="s">
        <v>90</v>
      </c>
      <c r="H58" s="13" t="s">
        <v>91</v>
      </c>
      <c r="I58" s="13" t="s">
        <v>92</v>
      </c>
      <c r="J58" s="14" t="s">
        <v>93</v>
      </c>
      <c r="K58" s="13"/>
      <c r="L58" s="13">
        <v>0</v>
      </c>
      <c r="M58" s="13" t="s">
        <v>96</v>
      </c>
      <c r="N58" s="13" t="s">
        <v>91</v>
      </c>
      <c r="O58" s="13">
        <v>0</v>
      </c>
      <c r="P58" s="11">
        <v>320</v>
      </c>
      <c r="Q58" s="12">
        <v>48.45</v>
      </c>
      <c r="R58" s="12">
        <v>1312.788</v>
      </c>
      <c r="S58" s="12">
        <v>0.09</v>
      </c>
      <c r="T58" s="12">
        <v>2.5299999999999998</v>
      </c>
      <c r="U58" s="12">
        <v>0.17</v>
      </c>
      <c r="V58" s="12">
        <v>0.09</v>
      </c>
      <c r="W58" s="12">
        <v>0.06</v>
      </c>
      <c r="X58" s="12">
        <v>131</v>
      </c>
      <c r="Y58" s="12">
        <v>117</v>
      </c>
      <c r="Z58" s="12">
        <v>165</v>
      </c>
      <c r="AA58" s="12">
        <v>167</v>
      </c>
      <c r="AB58" s="12">
        <v>131</v>
      </c>
      <c r="AC58" s="12">
        <v>117</v>
      </c>
      <c r="AD58" s="12">
        <v>165</v>
      </c>
      <c r="AE58" s="12">
        <v>167</v>
      </c>
      <c r="AF58" s="13"/>
      <c r="AG58" s="13"/>
      <c r="AH58" s="13"/>
    </row>
    <row r="59" spans="1:34">
      <c r="A59" s="13" t="s">
        <v>87</v>
      </c>
      <c r="B59" s="13">
        <v>220029640</v>
      </c>
      <c r="C59" s="13" t="s">
        <v>88</v>
      </c>
      <c r="D59" s="13" t="s">
        <v>89</v>
      </c>
      <c r="E59" s="13">
        <v>400454000062</v>
      </c>
      <c r="F59" s="13" t="s">
        <v>90</v>
      </c>
      <c r="G59" s="13" t="s">
        <v>90</v>
      </c>
      <c r="H59" s="13" t="s">
        <v>91</v>
      </c>
      <c r="I59" s="13" t="s">
        <v>92</v>
      </c>
      <c r="J59" s="14" t="s">
        <v>93</v>
      </c>
      <c r="K59" s="13"/>
      <c r="L59" s="13">
        <v>0</v>
      </c>
      <c r="M59" s="13" t="s">
        <v>96</v>
      </c>
      <c r="N59" s="13" t="s">
        <v>91</v>
      </c>
      <c r="O59" s="13">
        <v>0</v>
      </c>
      <c r="P59" s="11">
        <v>325</v>
      </c>
      <c r="Q59" s="12">
        <v>49.28</v>
      </c>
      <c r="R59" s="12">
        <v>1312.8689999999999</v>
      </c>
      <c r="S59" s="12">
        <v>0.1</v>
      </c>
      <c r="T59" s="12">
        <v>2.52</v>
      </c>
      <c r="U59" s="12">
        <v>0.17</v>
      </c>
      <c r="V59" s="12">
        <v>0.09</v>
      </c>
      <c r="W59" s="12">
        <v>0.06</v>
      </c>
      <c r="X59" s="12">
        <v>132</v>
      </c>
      <c r="Y59" s="12">
        <v>118</v>
      </c>
      <c r="Z59" s="12">
        <v>166</v>
      </c>
      <c r="AA59" s="12">
        <v>168</v>
      </c>
      <c r="AB59" s="12">
        <v>132</v>
      </c>
      <c r="AC59" s="12">
        <v>118</v>
      </c>
      <c r="AD59" s="12">
        <v>166</v>
      </c>
      <c r="AE59" s="12">
        <v>168</v>
      </c>
      <c r="AF59" s="13"/>
      <c r="AG59" s="13"/>
      <c r="AH59" s="13"/>
    </row>
    <row r="60" spans="1:34">
      <c r="A60" s="13" t="s">
        <v>87</v>
      </c>
      <c r="B60" s="13">
        <v>220029640</v>
      </c>
      <c r="C60" s="13" t="s">
        <v>88</v>
      </c>
      <c r="D60" s="13" t="s">
        <v>89</v>
      </c>
      <c r="E60" s="13">
        <v>400454000062</v>
      </c>
      <c r="F60" s="13" t="s">
        <v>90</v>
      </c>
      <c r="G60" s="13" t="s">
        <v>90</v>
      </c>
      <c r="H60" s="13" t="s">
        <v>91</v>
      </c>
      <c r="I60" s="13" t="s">
        <v>92</v>
      </c>
      <c r="J60" s="14" t="s">
        <v>93</v>
      </c>
      <c r="K60" s="13"/>
      <c r="L60" s="13">
        <v>0</v>
      </c>
      <c r="M60" s="13" t="s">
        <v>96</v>
      </c>
      <c r="N60" s="13" t="s">
        <v>91</v>
      </c>
      <c r="O60" s="13">
        <v>0</v>
      </c>
      <c r="P60" s="11">
        <v>330</v>
      </c>
      <c r="Q60" s="12">
        <v>50.12</v>
      </c>
      <c r="R60" s="12">
        <v>1312.9480000000001</v>
      </c>
      <c r="S60" s="12">
        <v>0.09</v>
      </c>
      <c r="T60" s="12">
        <v>2.5099999999999998</v>
      </c>
      <c r="U60" s="12">
        <v>0.17</v>
      </c>
      <c r="V60" s="12">
        <v>0.09</v>
      </c>
      <c r="W60" s="12">
        <v>0.06</v>
      </c>
      <c r="X60" s="12">
        <v>134</v>
      </c>
      <c r="Y60" s="12">
        <v>120</v>
      </c>
      <c r="Z60" s="12">
        <v>167</v>
      </c>
      <c r="AA60" s="12">
        <v>169</v>
      </c>
      <c r="AB60" s="12">
        <v>134</v>
      </c>
      <c r="AC60" s="12">
        <v>120</v>
      </c>
      <c r="AD60" s="12">
        <v>167</v>
      </c>
      <c r="AE60" s="12">
        <v>169</v>
      </c>
      <c r="AF60" s="13"/>
      <c r="AG60" s="13"/>
      <c r="AH60" s="13"/>
    </row>
    <row r="61" spans="1:34">
      <c r="A61" s="13" t="s">
        <v>87</v>
      </c>
      <c r="B61" s="13">
        <v>220029640</v>
      </c>
      <c r="C61" s="13" t="s">
        <v>88</v>
      </c>
      <c r="D61" s="13" t="s">
        <v>89</v>
      </c>
      <c r="E61" s="13">
        <v>400454000062</v>
      </c>
      <c r="F61" s="13" t="s">
        <v>90</v>
      </c>
      <c r="G61" s="13" t="s">
        <v>90</v>
      </c>
      <c r="H61" s="13" t="s">
        <v>91</v>
      </c>
      <c r="I61" s="13" t="s">
        <v>92</v>
      </c>
      <c r="J61" s="14" t="s">
        <v>93</v>
      </c>
      <c r="K61" s="13"/>
      <c r="L61" s="13">
        <v>0</v>
      </c>
      <c r="M61" s="13" t="s">
        <v>96</v>
      </c>
      <c r="N61" s="13" t="s">
        <v>91</v>
      </c>
      <c r="O61" s="13">
        <v>0</v>
      </c>
      <c r="P61" s="11">
        <v>335</v>
      </c>
      <c r="Q61" s="12">
        <v>50.94</v>
      </c>
      <c r="R61" s="12">
        <v>1313.0239999999999</v>
      </c>
      <c r="S61" s="12">
        <v>0.09</v>
      </c>
      <c r="T61" s="12">
        <v>2.48</v>
      </c>
      <c r="U61" s="12">
        <v>0.17</v>
      </c>
      <c r="V61" s="12">
        <v>0.09</v>
      </c>
      <c r="W61" s="12">
        <v>0.06</v>
      </c>
      <c r="X61" s="12">
        <v>135</v>
      </c>
      <c r="Y61" s="12">
        <v>121</v>
      </c>
      <c r="Z61" s="12">
        <v>169</v>
      </c>
      <c r="AA61" s="12">
        <v>170</v>
      </c>
      <c r="AB61" s="12">
        <v>135</v>
      </c>
      <c r="AC61" s="12">
        <v>121</v>
      </c>
      <c r="AD61" s="12">
        <v>169</v>
      </c>
      <c r="AE61" s="12">
        <v>170</v>
      </c>
      <c r="AF61" s="13"/>
      <c r="AG61" s="13"/>
      <c r="AH61" s="13"/>
    </row>
    <row r="62" spans="1:34">
      <c r="A62" s="13" t="s">
        <v>87</v>
      </c>
      <c r="B62" s="13">
        <v>220029640</v>
      </c>
      <c r="C62" s="13" t="s">
        <v>88</v>
      </c>
      <c r="D62" s="13" t="s">
        <v>89</v>
      </c>
      <c r="E62" s="13">
        <v>400454000062</v>
      </c>
      <c r="F62" s="13" t="s">
        <v>90</v>
      </c>
      <c r="G62" s="13" t="s">
        <v>90</v>
      </c>
      <c r="H62" s="13" t="s">
        <v>91</v>
      </c>
      <c r="I62" s="13" t="s">
        <v>92</v>
      </c>
      <c r="J62" s="14" t="s">
        <v>93</v>
      </c>
      <c r="K62" s="13"/>
      <c r="L62" s="13">
        <v>0</v>
      </c>
      <c r="M62" s="13" t="s">
        <v>96</v>
      </c>
      <c r="N62" s="13" t="s">
        <v>91</v>
      </c>
      <c r="O62" s="13">
        <v>0</v>
      </c>
      <c r="P62" s="11">
        <v>340</v>
      </c>
      <c r="Q62" s="12">
        <v>51.77</v>
      </c>
      <c r="R62" s="12">
        <v>1313.1030000000001</v>
      </c>
      <c r="S62" s="12">
        <v>0.1</v>
      </c>
      <c r="T62" s="12">
        <v>2.38</v>
      </c>
      <c r="U62" s="12">
        <v>0.17</v>
      </c>
      <c r="V62" s="12">
        <v>0.09</v>
      </c>
      <c r="W62" s="12">
        <v>0.06</v>
      </c>
      <c r="X62" s="12">
        <v>137</v>
      </c>
      <c r="Y62" s="12">
        <v>122</v>
      </c>
      <c r="Z62" s="12">
        <v>170</v>
      </c>
      <c r="AA62" s="12">
        <v>171</v>
      </c>
      <c r="AB62" s="12">
        <v>137</v>
      </c>
      <c r="AC62" s="12">
        <v>122</v>
      </c>
      <c r="AD62" s="12">
        <v>170</v>
      </c>
      <c r="AE62" s="12">
        <v>171</v>
      </c>
      <c r="AF62" s="13"/>
      <c r="AG62" s="13"/>
      <c r="AH62" s="13"/>
    </row>
    <row r="63" spans="1:34">
      <c r="A63" s="13" t="s">
        <v>87</v>
      </c>
      <c r="B63" s="13">
        <v>220029640</v>
      </c>
      <c r="C63" s="13" t="s">
        <v>88</v>
      </c>
      <c r="D63" s="13" t="s">
        <v>89</v>
      </c>
      <c r="E63" s="13">
        <v>400454000062</v>
      </c>
      <c r="F63" s="13" t="s">
        <v>90</v>
      </c>
      <c r="G63" s="13" t="s">
        <v>90</v>
      </c>
      <c r="H63" s="13" t="s">
        <v>91</v>
      </c>
      <c r="I63" s="13" t="s">
        <v>92</v>
      </c>
      <c r="J63" s="14" t="s">
        <v>93</v>
      </c>
      <c r="K63" s="13"/>
      <c r="L63" s="13">
        <v>0</v>
      </c>
      <c r="M63" s="13" t="s">
        <v>96</v>
      </c>
      <c r="N63" s="13" t="s">
        <v>91</v>
      </c>
      <c r="O63" s="13">
        <v>0</v>
      </c>
      <c r="P63" s="11">
        <v>345</v>
      </c>
      <c r="Q63" s="12">
        <v>52.62</v>
      </c>
      <c r="R63" s="12">
        <v>1313.183</v>
      </c>
      <c r="S63" s="12">
        <v>0.09</v>
      </c>
      <c r="T63" s="12">
        <v>2.4900000000000002</v>
      </c>
      <c r="U63" s="12">
        <v>0.17</v>
      </c>
      <c r="V63" s="12">
        <v>0.09</v>
      </c>
      <c r="W63" s="12">
        <v>0.06</v>
      </c>
      <c r="X63" s="12">
        <v>138</v>
      </c>
      <c r="Y63" s="12">
        <v>124</v>
      </c>
      <c r="Z63" s="12">
        <v>171</v>
      </c>
      <c r="AA63" s="12">
        <v>173</v>
      </c>
      <c r="AB63" s="12">
        <v>138</v>
      </c>
      <c r="AC63" s="12">
        <v>124</v>
      </c>
      <c r="AD63" s="12">
        <v>171</v>
      </c>
      <c r="AE63" s="12">
        <v>173</v>
      </c>
      <c r="AF63" s="13"/>
      <c r="AG63" s="13"/>
      <c r="AH63" s="13"/>
    </row>
    <row r="64" spans="1:34">
      <c r="A64" s="13" t="s">
        <v>87</v>
      </c>
      <c r="B64" s="13">
        <v>220029640</v>
      </c>
      <c r="C64" s="13" t="s">
        <v>88</v>
      </c>
      <c r="D64" s="13" t="s">
        <v>89</v>
      </c>
      <c r="E64" s="13">
        <v>400454000062</v>
      </c>
      <c r="F64" s="13" t="s">
        <v>90</v>
      </c>
      <c r="G64" s="13" t="s">
        <v>90</v>
      </c>
      <c r="H64" s="13" t="s">
        <v>91</v>
      </c>
      <c r="I64" s="13" t="s">
        <v>92</v>
      </c>
      <c r="J64" s="14" t="s">
        <v>93</v>
      </c>
      <c r="K64" s="13"/>
      <c r="L64" s="13">
        <v>0</v>
      </c>
      <c r="M64" s="13" t="s">
        <v>96</v>
      </c>
      <c r="N64" s="13" t="s">
        <v>91</v>
      </c>
      <c r="O64" s="13">
        <v>0</v>
      </c>
      <c r="P64" s="11">
        <v>350</v>
      </c>
      <c r="Q64" s="12">
        <v>53.45</v>
      </c>
      <c r="R64" s="12">
        <v>1313.2650000000001</v>
      </c>
      <c r="S64" s="12">
        <v>0.1</v>
      </c>
      <c r="T64" s="12">
        <v>2.42</v>
      </c>
      <c r="U64" s="12">
        <v>0.17</v>
      </c>
      <c r="V64" s="12">
        <v>0.09</v>
      </c>
      <c r="W64" s="12">
        <v>0.06</v>
      </c>
      <c r="X64" s="12">
        <v>140</v>
      </c>
      <c r="Y64" s="12">
        <v>125</v>
      </c>
      <c r="Z64" s="12">
        <v>172</v>
      </c>
      <c r="AA64" s="12">
        <v>174</v>
      </c>
      <c r="AB64" s="12">
        <v>140</v>
      </c>
      <c r="AC64" s="12">
        <v>125</v>
      </c>
      <c r="AD64" s="12">
        <v>172</v>
      </c>
      <c r="AE64" s="12">
        <v>174</v>
      </c>
      <c r="AF64" s="13"/>
      <c r="AG64" s="13"/>
      <c r="AH64" s="13"/>
    </row>
    <row r="65" spans="1:34">
      <c r="A65" s="13" t="s">
        <v>87</v>
      </c>
      <c r="B65" s="13">
        <v>220029640</v>
      </c>
      <c r="C65" s="13" t="s">
        <v>88</v>
      </c>
      <c r="D65" s="13" t="s">
        <v>89</v>
      </c>
      <c r="E65" s="13">
        <v>400454000062</v>
      </c>
      <c r="F65" s="13" t="s">
        <v>90</v>
      </c>
      <c r="G65" s="13" t="s">
        <v>90</v>
      </c>
      <c r="H65" s="13" t="s">
        <v>91</v>
      </c>
      <c r="I65" s="13" t="s">
        <v>92</v>
      </c>
      <c r="J65" s="14" t="s">
        <v>93</v>
      </c>
      <c r="K65" s="13"/>
      <c r="L65" s="13">
        <v>0</v>
      </c>
      <c r="M65" s="13" t="s">
        <v>96</v>
      </c>
      <c r="N65" s="13" t="s">
        <v>91</v>
      </c>
      <c r="O65" s="13">
        <v>0</v>
      </c>
      <c r="P65" s="11">
        <v>355</v>
      </c>
      <c r="Q65" s="11">
        <v>54.29</v>
      </c>
      <c r="R65" s="11">
        <v>1313.3440000000001</v>
      </c>
      <c r="S65" s="11">
        <v>0.09</v>
      </c>
      <c r="T65" s="11">
        <v>2.38</v>
      </c>
      <c r="U65" s="11">
        <v>0.17</v>
      </c>
      <c r="V65" s="11">
        <v>0.09</v>
      </c>
      <c r="W65" s="11">
        <v>0.06</v>
      </c>
      <c r="X65" s="11">
        <v>142</v>
      </c>
      <c r="Y65" s="11">
        <v>127</v>
      </c>
      <c r="Z65" s="11">
        <v>174</v>
      </c>
      <c r="AA65" s="11">
        <v>175</v>
      </c>
      <c r="AB65" s="11">
        <v>142</v>
      </c>
      <c r="AC65" s="11">
        <v>127</v>
      </c>
      <c r="AD65" s="11">
        <v>174</v>
      </c>
      <c r="AE65" s="11">
        <v>175</v>
      </c>
      <c r="AF65" s="13"/>
      <c r="AG65" s="13"/>
      <c r="AH65" s="13"/>
    </row>
    <row r="66" spans="1:34">
      <c r="A66" s="13" t="s">
        <v>87</v>
      </c>
      <c r="B66" s="13">
        <v>220029640</v>
      </c>
      <c r="C66" s="13" t="s">
        <v>88</v>
      </c>
      <c r="D66" s="13" t="s">
        <v>89</v>
      </c>
      <c r="E66" s="13">
        <v>400454000062</v>
      </c>
      <c r="F66" s="13" t="s">
        <v>90</v>
      </c>
      <c r="G66" s="13" t="s">
        <v>90</v>
      </c>
      <c r="H66" s="13" t="s">
        <v>91</v>
      </c>
      <c r="I66" s="13" t="s">
        <v>92</v>
      </c>
      <c r="J66" s="14" t="s">
        <v>93</v>
      </c>
      <c r="K66" s="13"/>
      <c r="L66" s="13">
        <v>0</v>
      </c>
      <c r="M66" s="13" t="s">
        <v>96</v>
      </c>
      <c r="N66" s="13" t="s">
        <v>91</v>
      </c>
      <c r="O66" s="13">
        <v>0</v>
      </c>
      <c r="P66" s="11">
        <v>360</v>
      </c>
      <c r="Q66" s="11">
        <v>55.14</v>
      </c>
      <c r="R66" s="11">
        <v>1313.422</v>
      </c>
      <c r="S66" s="11">
        <v>0.09</v>
      </c>
      <c r="T66" s="11">
        <v>2.44</v>
      </c>
      <c r="U66" s="11">
        <v>0.17</v>
      </c>
      <c r="V66" s="11">
        <v>0.09</v>
      </c>
      <c r="W66" s="11">
        <v>0.06</v>
      </c>
      <c r="X66" s="11">
        <v>143</v>
      </c>
      <c r="Y66" s="11">
        <v>129</v>
      </c>
      <c r="Z66" s="11">
        <v>176</v>
      </c>
      <c r="AA66" s="11">
        <v>177</v>
      </c>
      <c r="AB66" s="11">
        <v>143</v>
      </c>
      <c r="AC66" s="11">
        <v>129</v>
      </c>
      <c r="AD66" s="11">
        <v>176</v>
      </c>
      <c r="AE66" s="11">
        <v>177</v>
      </c>
      <c r="AF66" s="13"/>
      <c r="AG66" s="13"/>
      <c r="AH66" s="13"/>
    </row>
    <row r="67" spans="1:34">
      <c r="A67" s="13" t="s">
        <v>87</v>
      </c>
      <c r="B67" s="13">
        <v>220029640</v>
      </c>
      <c r="C67" s="13" t="s">
        <v>88</v>
      </c>
      <c r="D67" s="13" t="s">
        <v>89</v>
      </c>
      <c r="E67" s="13">
        <v>400454000062</v>
      </c>
      <c r="F67" s="13" t="s">
        <v>90</v>
      </c>
      <c r="G67" s="13" t="s">
        <v>90</v>
      </c>
      <c r="H67" s="13" t="s">
        <v>91</v>
      </c>
      <c r="I67" s="13" t="s">
        <v>92</v>
      </c>
      <c r="J67" s="14" t="s">
        <v>93</v>
      </c>
      <c r="K67" s="13"/>
      <c r="L67" s="13">
        <v>0</v>
      </c>
      <c r="M67" s="13" t="s">
        <v>96</v>
      </c>
      <c r="N67" s="13" t="s">
        <v>91</v>
      </c>
      <c r="O67" s="13">
        <v>0</v>
      </c>
      <c r="P67" s="11">
        <v>365</v>
      </c>
      <c r="Q67" s="11">
        <v>55.97</v>
      </c>
      <c r="R67" s="11">
        <v>1313.5029999999999</v>
      </c>
      <c r="S67" s="11">
        <v>0.1</v>
      </c>
      <c r="T67" s="11">
        <v>2.44</v>
      </c>
      <c r="U67" s="11">
        <v>0.17</v>
      </c>
      <c r="V67" s="11">
        <v>0.09</v>
      </c>
      <c r="W67" s="11">
        <v>0.06</v>
      </c>
      <c r="X67" s="11">
        <v>145</v>
      </c>
      <c r="Y67" s="11">
        <v>130</v>
      </c>
      <c r="Z67" s="11">
        <v>178</v>
      </c>
      <c r="AA67" s="11">
        <v>178</v>
      </c>
      <c r="AB67" s="11">
        <v>145</v>
      </c>
      <c r="AC67" s="11">
        <v>130</v>
      </c>
      <c r="AD67" s="11">
        <v>178</v>
      </c>
      <c r="AE67" s="11">
        <v>178</v>
      </c>
      <c r="AF67" s="13"/>
      <c r="AG67" s="13"/>
      <c r="AH67" s="13"/>
    </row>
    <row r="68" spans="1:34">
      <c r="A68" s="13" t="s">
        <v>87</v>
      </c>
      <c r="B68" s="13">
        <v>220029640</v>
      </c>
      <c r="C68" s="13" t="s">
        <v>88</v>
      </c>
      <c r="D68" s="13" t="s">
        <v>89</v>
      </c>
      <c r="E68" s="13">
        <v>400454000062</v>
      </c>
      <c r="F68" s="13" t="s">
        <v>90</v>
      </c>
      <c r="G68" s="13" t="s">
        <v>90</v>
      </c>
      <c r="H68" s="13" t="s">
        <v>91</v>
      </c>
      <c r="I68" s="13" t="s">
        <v>92</v>
      </c>
      <c r="J68" s="14" t="s">
        <v>93</v>
      </c>
      <c r="K68" s="13"/>
      <c r="L68" s="13">
        <v>0</v>
      </c>
      <c r="M68" s="13" t="s">
        <v>96</v>
      </c>
      <c r="N68" s="13" t="s">
        <v>91</v>
      </c>
      <c r="O68" s="13">
        <v>0</v>
      </c>
      <c r="P68" s="11">
        <v>370</v>
      </c>
      <c r="Q68" s="11">
        <v>56.81</v>
      </c>
      <c r="R68" s="11">
        <v>1313.585</v>
      </c>
      <c r="S68" s="11">
        <v>0.1</v>
      </c>
      <c r="T68" s="11">
        <v>2.38</v>
      </c>
      <c r="U68" s="11">
        <v>0.17</v>
      </c>
      <c r="V68" s="11">
        <v>0.09</v>
      </c>
      <c r="W68" s="11">
        <v>0.06</v>
      </c>
      <c r="X68" s="11">
        <v>147</v>
      </c>
      <c r="Y68" s="11">
        <v>132</v>
      </c>
      <c r="Z68" s="11">
        <v>179</v>
      </c>
      <c r="AA68" s="11">
        <v>180</v>
      </c>
      <c r="AB68" s="11">
        <v>147</v>
      </c>
      <c r="AC68" s="11">
        <v>132</v>
      </c>
      <c r="AD68" s="11">
        <v>179</v>
      </c>
      <c r="AE68" s="11">
        <v>180</v>
      </c>
      <c r="AF68" s="13"/>
      <c r="AG68" s="13"/>
      <c r="AH68" s="13"/>
    </row>
    <row r="69" spans="1:34">
      <c r="A69" s="13" t="s">
        <v>87</v>
      </c>
      <c r="B69" s="13">
        <v>220029640</v>
      </c>
      <c r="C69" s="13" t="s">
        <v>88</v>
      </c>
      <c r="D69" s="13" t="s">
        <v>89</v>
      </c>
      <c r="E69" s="13">
        <v>400454000062</v>
      </c>
      <c r="F69" s="13" t="s">
        <v>90</v>
      </c>
      <c r="G69" s="13" t="s">
        <v>90</v>
      </c>
      <c r="H69" s="13" t="s">
        <v>91</v>
      </c>
      <c r="I69" s="13" t="s">
        <v>92</v>
      </c>
      <c r="J69" s="14" t="s">
        <v>93</v>
      </c>
      <c r="K69" s="13"/>
      <c r="L69" s="13">
        <v>0</v>
      </c>
      <c r="M69" s="13" t="s">
        <v>96</v>
      </c>
      <c r="N69" s="13" t="s">
        <v>91</v>
      </c>
      <c r="O69" s="13">
        <v>0</v>
      </c>
      <c r="P69" s="11">
        <v>375</v>
      </c>
      <c r="Q69" s="11">
        <v>57.67</v>
      </c>
      <c r="R69" s="11">
        <v>1313.6659999999999</v>
      </c>
      <c r="S69" s="11">
        <v>0.09</v>
      </c>
      <c r="T69" s="11">
        <v>2.38</v>
      </c>
      <c r="U69" s="11">
        <v>0.17</v>
      </c>
      <c r="V69" s="11">
        <v>0.09</v>
      </c>
      <c r="W69" s="11">
        <v>0.06</v>
      </c>
      <c r="X69" s="11">
        <v>149</v>
      </c>
      <c r="Y69" s="11">
        <v>134</v>
      </c>
      <c r="Z69" s="11">
        <v>181</v>
      </c>
      <c r="AA69" s="11">
        <v>181</v>
      </c>
      <c r="AB69" s="11">
        <v>149</v>
      </c>
      <c r="AC69" s="11">
        <v>134</v>
      </c>
      <c r="AD69" s="11">
        <v>181</v>
      </c>
      <c r="AE69" s="11">
        <v>181</v>
      </c>
      <c r="AF69" s="13"/>
      <c r="AG69" s="13"/>
      <c r="AH69" s="13"/>
    </row>
    <row r="70" spans="1:34">
      <c r="A70" s="13" t="s">
        <v>87</v>
      </c>
      <c r="B70" s="13">
        <v>220029640</v>
      </c>
      <c r="C70" s="13" t="s">
        <v>88</v>
      </c>
      <c r="D70" s="13" t="s">
        <v>89</v>
      </c>
      <c r="E70" s="13">
        <v>400454000062</v>
      </c>
      <c r="F70" s="13" t="s">
        <v>90</v>
      </c>
      <c r="G70" s="13" t="s">
        <v>90</v>
      </c>
      <c r="H70" s="13" t="s">
        <v>91</v>
      </c>
      <c r="I70" s="13" t="s">
        <v>92</v>
      </c>
      <c r="J70" s="14" t="s">
        <v>93</v>
      </c>
      <c r="K70" s="13"/>
      <c r="L70" s="13">
        <v>0</v>
      </c>
      <c r="M70" s="13" t="s">
        <v>96</v>
      </c>
      <c r="N70" s="13" t="s">
        <v>91</v>
      </c>
      <c r="O70" s="13">
        <v>0</v>
      </c>
      <c r="P70" s="11">
        <v>380</v>
      </c>
      <c r="Q70" s="11">
        <v>58.45</v>
      </c>
      <c r="R70" s="11">
        <v>1313.748</v>
      </c>
      <c r="S70" s="11">
        <v>0.11</v>
      </c>
      <c r="T70" s="11">
        <v>2.38</v>
      </c>
      <c r="U70" s="11">
        <v>0.17</v>
      </c>
      <c r="V70" s="11">
        <v>0.09</v>
      </c>
      <c r="W70" s="11">
        <v>0.06</v>
      </c>
      <c r="X70" s="11">
        <v>150</v>
      </c>
      <c r="Y70" s="11">
        <v>136</v>
      </c>
      <c r="Z70" s="11">
        <v>183</v>
      </c>
      <c r="AA70" s="11">
        <v>183</v>
      </c>
      <c r="AB70" s="11">
        <v>150</v>
      </c>
      <c r="AC70" s="11">
        <v>136</v>
      </c>
      <c r="AD70" s="11">
        <v>183</v>
      </c>
      <c r="AE70" s="11">
        <v>183</v>
      </c>
      <c r="AF70" s="13"/>
      <c r="AG70" s="13"/>
      <c r="AH70" s="13"/>
    </row>
    <row r="71" spans="1:34">
      <c r="A71" s="13" t="s">
        <v>87</v>
      </c>
      <c r="B71" s="13">
        <v>220029640</v>
      </c>
      <c r="C71" s="13" t="s">
        <v>88</v>
      </c>
      <c r="D71" s="13" t="s">
        <v>89</v>
      </c>
      <c r="E71" s="13">
        <v>400454000062</v>
      </c>
      <c r="F71" s="13" t="s">
        <v>90</v>
      </c>
      <c r="G71" s="13" t="s">
        <v>90</v>
      </c>
      <c r="H71" s="13" t="s">
        <v>91</v>
      </c>
      <c r="I71" s="13" t="s">
        <v>92</v>
      </c>
      <c r="J71" s="14" t="s">
        <v>93</v>
      </c>
      <c r="K71" s="13"/>
      <c r="L71" s="13">
        <v>0</v>
      </c>
      <c r="M71" s="13" t="s">
        <v>96</v>
      </c>
      <c r="N71" s="13" t="s">
        <v>91</v>
      </c>
      <c r="O71" s="13">
        <v>0</v>
      </c>
      <c r="P71" s="11">
        <v>385</v>
      </c>
      <c r="Q71" s="11">
        <v>59.3</v>
      </c>
      <c r="R71" s="11">
        <v>1313.828</v>
      </c>
      <c r="S71" s="11">
        <v>0.09</v>
      </c>
      <c r="T71" s="11">
        <v>2.35</v>
      </c>
      <c r="U71" s="11">
        <v>0.17</v>
      </c>
      <c r="V71" s="11">
        <v>0.09</v>
      </c>
      <c r="W71" s="11">
        <v>0.06</v>
      </c>
      <c r="X71" s="11">
        <v>153</v>
      </c>
      <c r="Y71" s="11">
        <v>137</v>
      </c>
      <c r="Z71" s="11">
        <v>184</v>
      </c>
      <c r="AA71" s="11">
        <v>184</v>
      </c>
      <c r="AB71" s="11">
        <v>153</v>
      </c>
      <c r="AC71" s="11">
        <v>137</v>
      </c>
      <c r="AD71" s="11">
        <v>184</v>
      </c>
      <c r="AE71" s="11">
        <v>184</v>
      </c>
      <c r="AF71" s="13"/>
      <c r="AG71" s="13"/>
      <c r="AH71" s="13"/>
    </row>
    <row r="72" spans="1:34">
      <c r="A72" s="13" t="s">
        <v>87</v>
      </c>
      <c r="B72" s="13">
        <v>220029640</v>
      </c>
      <c r="C72" s="13" t="s">
        <v>88</v>
      </c>
      <c r="D72" s="13" t="s">
        <v>89</v>
      </c>
      <c r="E72" s="13">
        <v>400454000062</v>
      </c>
      <c r="F72" s="13" t="s">
        <v>90</v>
      </c>
      <c r="G72" s="13" t="s">
        <v>90</v>
      </c>
      <c r="H72" s="13" t="s">
        <v>91</v>
      </c>
      <c r="I72" s="13" t="s">
        <v>92</v>
      </c>
      <c r="J72" s="14" t="s">
        <v>93</v>
      </c>
      <c r="K72" s="13"/>
      <c r="L72" s="13">
        <v>0</v>
      </c>
      <c r="M72" s="13" t="s">
        <v>96</v>
      </c>
      <c r="N72" s="13" t="s">
        <v>91</v>
      </c>
      <c r="O72" s="13">
        <v>0</v>
      </c>
      <c r="P72" s="11">
        <v>390</v>
      </c>
      <c r="Q72" s="11">
        <v>60.16</v>
      </c>
      <c r="R72" s="11">
        <v>1313.9090000000001</v>
      </c>
      <c r="S72" s="11">
        <v>0.09</v>
      </c>
      <c r="T72" s="11">
        <v>2.29</v>
      </c>
      <c r="U72" s="11">
        <v>0.17</v>
      </c>
      <c r="V72" s="11">
        <v>0.09</v>
      </c>
      <c r="W72" s="11">
        <v>0.06</v>
      </c>
      <c r="X72" s="11">
        <v>155</v>
      </c>
      <c r="Y72" s="11">
        <v>139</v>
      </c>
      <c r="Z72" s="11">
        <v>186</v>
      </c>
      <c r="AA72" s="11">
        <v>186</v>
      </c>
      <c r="AB72" s="11">
        <v>155</v>
      </c>
      <c r="AC72" s="11">
        <v>139</v>
      </c>
      <c r="AD72" s="11">
        <v>186</v>
      </c>
      <c r="AE72" s="11">
        <v>186</v>
      </c>
      <c r="AF72" s="13"/>
      <c r="AG72" s="13"/>
      <c r="AH72" s="13"/>
    </row>
    <row r="73" spans="1:34">
      <c r="A73" s="13" t="s">
        <v>87</v>
      </c>
      <c r="B73" s="13">
        <v>220029640</v>
      </c>
      <c r="C73" s="13" t="s">
        <v>88</v>
      </c>
      <c r="D73" s="13" t="s">
        <v>89</v>
      </c>
      <c r="E73" s="13">
        <v>400454000062</v>
      </c>
      <c r="F73" s="13" t="s">
        <v>90</v>
      </c>
      <c r="G73" s="13" t="s">
        <v>90</v>
      </c>
      <c r="H73" s="13" t="s">
        <v>91</v>
      </c>
      <c r="I73" s="13" t="s">
        <v>92</v>
      </c>
      <c r="J73" s="14" t="s">
        <v>93</v>
      </c>
      <c r="K73" s="13"/>
      <c r="L73" s="13">
        <v>0</v>
      </c>
      <c r="M73" s="13" t="s">
        <v>96</v>
      </c>
      <c r="N73" s="13" t="s">
        <v>91</v>
      </c>
      <c r="O73" s="13">
        <v>0</v>
      </c>
      <c r="P73" s="11">
        <v>395</v>
      </c>
      <c r="Q73" s="11">
        <v>60.95</v>
      </c>
      <c r="R73" s="11">
        <v>1313.991</v>
      </c>
      <c r="S73" s="11">
        <v>0.1</v>
      </c>
      <c r="T73" s="11">
        <v>2.3199999999999998</v>
      </c>
      <c r="U73" s="11">
        <v>0.17</v>
      </c>
      <c r="V73" s="11">
        <v>0.09</v>
      </c>
      <c r="W73" s="11">
        <v>0.06</v>
      </c>
      <c r="X73" s="11">
        <v>157</v>
      </c>
      <c r="Y73" s="11">
        <v>142</v>
      </c>
      <c r="Z73" s="11">
        <v>187</v>
      </c>
      <c r="AA73" s="11">
        <v>188</v>
      </c>
      <c r="AB73" s="11">
        <v>157</v>
      </c>
      <c r="AC73" s="11">
        <v>142</v>
      </c>
      <c r="AD73" s="11">
        <v>187</v>
      </c>
      <c r="AE73" s="11">
        <v>188</v>
      </c>
      <c r="AF73" s="13"/>
      <c r="AG73" s="13"/>
      <c r="AH73" s="13"/>
    </row>
    <row r="74" spans="1:34">
      <c r="A74" s="13" t="s">
        <v>87</v>
      </c>
      <c r="B74" s="13">
        <v>220029640</v>
      </c>
      <c r="C74" s="13" t="s">
        <v>88</v>
      </c>
      <c r="D74" s="13" t="s">
        <v>89</v>
      </c>
      <c r="E74" s="13">
        <v>400454000062</v>
      </c>
      <c r="F74" s="13" t="s">
        <v>90</v>
      </c>
      <c r="G74" s="13" t="s">
        <v>90</v>
      </c>
      <c r="H74" s="13" t="s">
        <v>91</v>
      </c>
      <c r="I74" s="13" t="s">
        <v>92</v>
      </c>
      <c r="J74" s="14" t="s">
        <v>93</v>
      </c>
      <c r="K74" s="13"/>
      <c r="L74" s="13">
        <v>0</v>
      </c>
      <c r="M74" s="13" t="s">
        <v>96</v>
      </c>
      <c r="N74" s="13" t="s">
        <v>91</v>
      </c>
      <c r="O74" s="13">
        <v>0</v>
      </c>
      <c r="P74" s="11">
        <v>400</v>
      </c>
      <c r="Q74" s="11">
        <v>61.75</v>
      </c>
      <c r="R74" s="11">
        <v>1314.0730000000001</v>
      </c>
      <c r="S74" s="11">
        <v>0.1</v>
      </c>
      <c r="T74" s="11">
        <v>2.29</v>
      </c>
      <c r="U74" s="11">
        <v>0.17</v>
      </c>
      <c r="V74" s="11">
        <v>0.09</v>
      </c>
      <c r="W74" s="11">
        <v>0.06</v>
      </c>
      <c r="X74" s="11">
        <v>160</v>
      </c>
      <c r="Y74" s="11">
        <v>144</v>
      </c>
      <c r="Z74" s="11">
        <v>189</v>
      </c>
      <c r="AA74" s="11">
        <v>190</v>
      </c>
      <c r="AB74" s="11">
        <v>160</v>
      </c>
      <c r="AC74" s="11">
        <v>144</v>
      </c>
      <c r="AD74" s="11">
        <v>189</v>
      </c>
      <c r="AE74" s="11">
        <v>190</v>
      </c>
      <c r="AF74" s="13"/>
      <c r="AG74" s="13"/>
      <c r="AH74" s="13"/>
    </row>
    <row r="75" spans="1:34">
      <c r="A75" s="13" t="s">
        <v>87</v>
      </c>
      <c r="B75" s="13">
        <v>220029640</v>
      </c>
      <c r="C75" s="13" t="s">
        <v>88</v>
      </c>
      <c r="D75" s="13" t="s">
        <v>89</v>
      </c>
      <c r="E75" s="13">
        <v>400454000062</v>
      </c>
      <c r="F75" s="13" t="s">
        <v>90</v>
      </c>
      <c r="G75" s="13" t="s">
        <v>90</v>
      </c>
      <c r="H75" s="13" t="s">
        <v>91</v>
      </c>
      <c r="I75" s="13" t="s">
        <v>92</v>
      </c>
      <c r="J75" s="14" t="s">
        <v>93</v>
      </c>
      <c r="K75" s="13"/>
      <c r="L75" s="13">
        <v>0</v>
      </c>
      <c r="M75" s="13" t="s">
        <v>96</v>
      </c>
      <c r="N75" s="13" t="s">
        <v>91</v>
      </c>
      <c r="O75" s="13">
        <v>0</v>
      </c>
      <c r="P75" s="11">
        <v>405</v>
      </c>
      <c r="Q75" s="11">
        <v>62.57</v>
      </c>
      <c r="R75" s="11">
        <v>1314.154</v>
      </c>
      <c r="S75" s="11">
        <v>0.1</v>
      </c>
      <c r="T75" s="11">
        <v>2.2200000000000002</v>
      </c>
      <c r="U75" s="11">
        <v>0.17</v>
      </c>
      <c r="V75" s="11">
        <v>0.09</v>
      </c>
      <c r="W75" s="11">
        <v>0.06</v>
      </c>
      <c r="X75" s="11">
        <v>162</v>
      </c>
      <c r="Y75" s="11">
        <v>146</v>
      </c>
      <c r="Z75" s="11">
        <v>191</v>
      </c>
      <c r="AA75" s="11">
        <v>191</v>
      </c>
      <c r="AB75" s="11">
        <v>162</v>
      </c>
      <c r="AC75" s="11">
        <v>146</v>
      </c>
      <c r="AD75" s="11">
        <v>191</v>
      </c>
      <c r="AE75" s="11">
        <v>191</v>
      </c>
      <c r="AF75" s="13"/>
      <c r="AG75" s="13"/>
      <c r="AH75" s="13"/>
    </row>
    <row r="76" spans="1:34">
      <c r="A76" s="13" t="s">
        <v>87</v>
      </c>
      <c r="B76" s="13">
        <v>220029640</v>
      </c>
      <c r="C76" s="13" t="s">
        <v>88</v>
      </c>
      <c r="D76" s="13" t="s">
        <v>89</v>
      </c>
      <c r="E76" s="13">
        <v>400454000062</v>
      </c>
      <c r="F76" s="13" t="s">
        <v>90</v>
      </c>
      <c r="G76" s="13" t="s">
        <v>90</v>
      </c>
      <c r="H76" s="13" t="s">
        <v>91</v>
      </c>
      <c r="I76" s="13" t="s">
        <v>92</v>
      </c>
      <c r="J76" s="14" t="s">
        <v>93</v>
      </c>
      <c r="K76" s="13"/>
      <c r="L76" s="13">
        <v>0</v>
      </c>
      <c r="M76" s="13" t="s">
        <v>96</v>
      </c>
      <c r="N76" s="13" t="s">
        <v>91</v>
      </c>
      <c r="O76" s="13">
        <v>0</v>
      </c>
      <c r="P76" s="11">
        <v>410</v>
      </c>
      <c r="Q76" s="11">
        <v>63.41</v>
      </c>
      <c r="R76" s="11">
        <v>1314.239</v>
      </c>
      <c r="S76" s="11">
        <v>0.1</v>
      </c>
      <c r="T76" s="11">
        <v>2.27</v>
      </c>
      <c r="U76" s="11">
        <v>0.17</v>
      </c>
      <c r="V76" s="11">
        <v>0.09</v>
      </c>
      <c r="W76" s="11">
        <v>0.06</v>
      </c>
      <c r="X76" s="11">
        <v>165</v>
      </c>
      <c r="Y76" s="11">
        <v>149</v>
      </c>
      <c r="Z76" s="11">
        <v>193</v>
      </c>
      <c r="AA76" s="11">
        <v>194</v>
      </c>
      <c r="AB76" s="11">
        <v>165</v>
      </c>
      <c r="AC76" s="11">
        <v>149</v>
      </c>
      <c r="AD76" s="11">
        <v>193</v>
      </c>
      <c r="AE76" s="11">
        <v>194</v>
      </c>
      <c r="AF76" s="13"/>
      <c r="AG76" s="13"/>
      <c r="AH76" s="13"/>
    </row>
    <row r="77" spans="1:34">
      <c r="A77" s="13" t="s">
        <v>87</v>
      </c>
      <c r="B77" s="13">
        <v>220029640</v>
      </c>
      <c r="C77" s="13" t="s">
        <v>88</v>
      </c>
      <c r="D77" s="13" t="s">
        <v>89</v>
      </c>
      <c r="E77" s="13">
        <v>400454000062</v>
      </c>
      <c r="F77" s="13" t="s">
        <v>90</v>
      </c>
      <c r="G77" s="13" t="s">
        <v>90</v>
      </c>
      <c r="H77" s="13" t="s">
        <v>91</v>
      </c>
      <c r="I77" s="13" t="s">
        <v>92</v>
      </c>
      <c r="J77" s="14" t="s">
        <v>93</v>
      </c>
      <c r="K77" s="13"/>
      <c r="L77" s="13">
        <v>0</v>
      </c>
      <c r="M77" s="13" t="s">
        <v>96</v>
      </c>
      <c r="N77" s="13" t="s">
        <v>91</v>
      </c>
      <c r="O77" s="13">
        <v>0</v>
      </c>
      <c r="P77" s="13">
        <v>415</v>
      </c>
      <c r="Q77" s="13">
        <v>64.27</v>
      </c>
      <c r="R77" s="13">
        <v>1314.3230000000001</v>
      </c>
      <c r="S77" s="13">
        <v>0.1</v>
      </c>
      <c r="T77" s="13">
        <v>2.2599999999999998</v>
      </c>
      <c r="U77" s="13">
        <v>0.17</v>
      </c>
      <c r="V77" s="13">
        <v>0.09</v>
      </c>
      <c r="W77" s="13">
        <v>0.06</v>
      </c>
      <c r="X77" s="13">
        <v>168</v>
      </c>
      <c r="Y77" s="13">
        <v>151</v>
      </c>
      <c r="Z77" s="13">
        <v>196</v>
      </c>
      <c r="AA77" s="13">
        <v>196</v>
      </c>
      <c r="AB77" s="13">
        <v>168</v>
      </c>
      <c r="AC77" s="13">
        <v>151</v>
      </c>
      <c r="AD77" s="13">
        <v>196</v>
      </c>
      <c r="AE77" s="13">
        <v>196</v>
      </c>
      <c r="AF77" s="13"/>
      <c r="AG77" s="13"/>
      <c r="AH77" s="13"/>
    </row>
    <row r="78" spans="1:34">
      <c r="A78" s="13" t="s">
        <v>87</v>
      </c>
      <c r="B78" s="13">
        <v>220029640</v>
      </c>
      <c r="C78" s="13" t="s">
        <v>88</v>
      </c>
      <c r="D78" s="13" t="s">
        <v>89</v>
      </c>
      <c r="E78" s="13">
        <v>400454000062</v>
      </c>
      <c r="F78" s="13" t="s">
        <v>90</v>
      </c>
      <c r="G78" s="13" t="s">
        <v>90</v>
      </c>
      <c r="H78" s="13" t="s">
        <v>91</v>
      </c>
      <c r="I78" s="13" t="s">
        <v>92</v>
      </c>
      <c r="J78" s="14" t="s">
        <v>93</v>
      </c>
      <c r="K78" s="13"/>
      <c r="L78" s="13">
        <v>0</v>
      </c>
      <c r="M78" s="13" t="s">
        <v>96</v>
      </c>
      <c r="N78" s="13" t="s">
        <v>91</v>
      </c>
      <c r="O78" s="13">
        <v>0</v>
      </c>
      <c r="P78" s="13">
        <v>420</v>
      </c>
      <c r="Q78" s="13">
        <v>65.099999999999994</v>
      </c>
      <c r="R78" s="13">
        <v>1314.4079999999999</v>
      </c>
      <c r="S78" s="13">
        <v>0.1</v>
      </c>
      <c r="T78" s="13">
        <v>2.21</v>
      </c>
      <c r="U78" s="13">
        <v>0.17</v>
      </c>
      <c r="V78" s="13">
        <v>0.09</v>
      </c>
      <c r="W78" s="13">
        <v>0.06</v>
      </c>
      <c r="X78" s="13">
        <v>172</v>
      </c>
      <c r="Y78" s="13">
        <v>154</v>
      </c>
      <c r="Z78" s="13">
        <v>198</v>
      </c>
      <c r="AA78" s="13">
        <v>198</v>
      </c>
      <c r="AB78" s="13">
        <v>172</v>
      </c>
      <c r="AC78" s="13">
        <v>154</v>
      </c>
      <c r="AD78" s="13">
        <v>198</v>
      </c>
      <c r="AE78" s="13">
        <v>198</v>
      </c>
      <c r="AF78" s="13"/>
      <c r="AG78" s="13"/>
      <c r="AH78" s="13"/>
    </row>
    <row r="79" spans="1:34">
      <c r="A79" s="13" t="s">
        <v>87</v>
      </c>
      <c r="B79" s="13">
        <v>220029640</v>
      </c>
      <c r="C79" s="13" t="s">
        <v>88</v>
      </c>
      <c r="D79" s="13" t="s">
        <v>89</v>
      </c>
      <c r="E79" s="13">
        <v>400454000062</v>
      </c>
      <c r="F79" s="13" t="s">
        <v>90</v>
      </c>
      <c r="G79" s="13" t="s">
        <v>90</v>
      </c>
      <c r="H79" s="13" t="s">
        <v>91</v>
      </c>
      <c r="I79" s="13" t="s">
        <v>92</v>
      </c>
      <c r="J79" s="14" t="s">
        <v>93</v>
      </c>
      <c r="K79" s="13"/>
      <c r="L79" s="13">
        <v>0</v>
      </c>
      <c r="M79" s="13" t="s">
        <v>96</v>
      </c>
      <c r="N79" s="13" t="s">
        <v>91</v>
      </c>
      <c r="O79" s="13">
        <v>0</v>
      </c>
      <c r="P79" s="13">
        <v>425</v>
      </c>
      <c r="Q79" s="13">
        <v>65.89</v>
      </c>
      <c r="R79" s="13">
        <v>1314.4929999999999</v>
      </c>
      <c r="S79" s="13">
        <v>0.11</v>
      </c>
      <c r="T79" s="13">
        <v>2.2200000000000002</v>
      </c>
      <c r="U79" s="13">
        <v>0.17</v>
      </c>
      <c r="V79" s="13">
        <v>0.09</v>
      </c>
      <c r="W79" s="13">
        <v>0.06</v>
      </c>
      <c r="X79" s="13">
        <v>175</v>
      </c>
      <c r="Y79" s="13">
        <v>157</v>
      </c>
      <c r="Z79" s="13">
        <v>200</v>
      </c>
      <c r="AA79" s="13">
        <v>200</v>
      </c>
      <c r="AB79" s="13">
        <v>175</v>
      </c>
      <c r="AC79" s="13">
        <v>157</v>
      </c>
      <c r="AD79" s="13">
        <v>200</v>
      </c>
      <c r="AE79" s="13">
        <v>200</v>
      </c>
      <c r="AF79" s="13"/>
      <c r="AG79" s="13"/>
      <c r="AH79" s="13"/>
    </row>
    <row r="80" spans="1:34">
      <c r="A80" s="13" t="s">
        <v>87</v>
      </c>
      <c r="B80" s="13">
        <v>220029640</v>
      </c>
      <c r="C80" s="13" t="s">
        <v>88</v>
      </c>
      <c r="D80" s="13" t="s">
        <v>89</v>
      </c>
      <c r="E80" s="13">
        <v>400454000062</v>
      </c>
      <c r="F80" s="13" t="s">
        <v>90</v>
      </c>
      <c r="G80" s="13" t="s">
        <v>90</v>
      </c>
      <c r="H80" s="13" t="s">
        <v>91</v>
      </c>
      <c r="I80" s="13" t="s">
        <v>92</v>
      </c>
      <c r="J80" s="14" t="s">
        <v>93</v>
      </c>
      <c r="K80" s="13"/>
      <c r="L80" s="13">
        <v>0</v>
      </c>
      <c r="M80" s="13" t="s">
        <v>96</v>
      </c>
      <c r="N80" s="13" t="s">
        <v>91</v>
      </c>
      <c r="O80" s="13">
        <v>0</v>
      </c>
      <c r="P80" s="13">
        <v>430</v>
      </c>
      <c r="Q80" s="13">
        <v>66.75</v>
      </c>
      <c r="R80" s="13">
        <v>1314.579</v>
      </c>
      <c r="S80" s="13">
        <v>0.1</v>
      </c>
      <c r="T80" s="13">
        <v>2.2400000000000002</v>
      </c>
      <c r="U80" s="13">
        <v>0.17</v>
      </c>
      <c r="V80" s="13">
        <v>0.09</v>
      </c>
      <c r="W80" s="13">
        <v>0.06</v>
      </c>
      <c r="X80" s="13">
        <v>179</v>
      </c>
      <c r="Y80" s="13">
        <v>159</v>
      </c>
      <c r="Z80" s="13">
        <v>202</v>
      </c>
      <c r="AA80" s="13">
        <v>203</v>
      </c>
      <c r="AB80" s="13">
        <v>179</v>
      </c>
      <c r="AC80" s="13">
        <v>159</v>
      </c>
      <c r="AD80" s="13">
        <v>202</v>
      </c>
      <c r="AE80" s="13">
        <v>203</v>
      </c>
      <c r="AF80" s="13"/>
      <c r="AG80" s="13"/>
      <c r="AH80" s="13"/>
    </row>
    <row r="81" spans="1:43">
      <c r="A81" s="13" t="s">
        <v>87</v>
      </c>
      <c r="B81" s="13">
        <v>220029640</v>
      </c>
      <c r="C81" s="13" t="s">
        <v>88</v>
      </c>
      <c r="D81" s="13" t="s">
        <v>89</v>
      </c>
      <c r="E81" s="13">
        <v>400454000062</v>
      </c>
      <c r="F81" s="13" t="s">
        <v>90</v>
      </c>
      <c r="G81" s="13" t="s">
        <v>90</v>
      </c>
      <c r="H81" s="13" t="s">
        <v>91</v>
      </c>
      <c r="I81" s="13" t="s">
        <v>92</v>
      </c>
      <c r="J81" s="14" t="s">
        <v>93</v>
      </c>
      <c r="K81" s="13"/>
      <c r="L81" s="13">
        <v>0</v>
      </c>
      <c r="M81" s="13" t="s">
        <v>96</v>
      </c>
      <c r="N81" s="13" t="s">
        <v>91</v>
      </c>
      <c r="O81" s="13">
        <v>0</v>
      </c>
      <c r="P81" s="13">
        <v>435</v>
      </c>
      <c r="Q81" s="13">
        <v>67.569999999999993</v>
      </c>
      <c r="R81" s="13">
        <v>1314.6679999999999</v>
      </c>
      <c r="S81" s="13">
        <v>0.11</v>
      </c>
      <c r="T81" s="13">
        <v>2.2799999999999998</v>
      </c>
      <c r="U81" s="13">
        <v>0.17</v>
      </c>
      <c r="V81" s="13">
        <v>0.09</v>
      </c>
      <c r="W81" s="13">
        <v>0.06</v>
      </c>
      <c r="X81" s="13">
        <v>182</v>
      </c>
      <c r="Y81" s="13">
        <v>163</v>
      </c>
      <c r="Z81" s="13">
        <v>205</v>
      </c>
      <c r="AA81" s="13">
        <v>205</v>
      </c>
      <c r="AB81" s="13">
        <v>182</v>
      </c>
      <c r="AC81" s="13">
        <v>163</v>
      </c>
      <c r="AD81" s="13">
        <v>205</v>
      </c>
      <c r="AE81" s="13">
        <v>205</v>
      </c>
      <c r="AF81" s="13"/>
      <c r="AG81" s="13"/>
      <c r="AH81" s="13"/>
    </row>
    <row r="82" spans="1:43">
      <c r="A82" s="13" t="s">
        <v>87</v>
      </c>
      <c r="B82" s="13">
        <v>220029640</v>
      </c>
      <c r="C82" s="13" t="s">
        <v>88</v>
      </c>
      <c r="D82" s="13" t="s">
        <v>89</v>
      </c>
      <c r="E82" s="13">
        <v>400454000062</v>
      </c>
      <c r="F82" s="13" t="s">
        <v>90</v>
      </c>
      <c r="G82" s="13" t="s">
        <v>90</v>
      </c>
      <c r="H82" s="13" t="s">
        <v>91</v>
      </c>
      <c r="I82" s="13" t="s">
        <v>92</v>
      </c>
      <c r="J82" s="14" t="s">
        <v>93</v>
      </c>
      <c r="K82" s="13"/>
      <c r="L82" s="13">
        <v>0</v>
      </c>
      <c r="M82" s="13" t="s">
        <v>96</v>
      </c>
      <c r="N82" s="13" t="s">
        <v>91</v>
      </c>
      <c r="O82" s="13">
        <v>0</v>
      </c>
      <c r="P82" s="13">
        <v>440</v>
      </c>
      <c r="Q82" s="13">
        <v>68.42</v>
      </c>
      <c r="R82" s="13">
        <v>1314.759</v>
      </c>
      <c r="S82" s="13">
        <v>0.11</v>
      </c>
      <c r="T82" s="13">
        <v>2.33</v>
      </c>
      <c r="U82" s="13">
        <v>0.17</v>
      </c>
      <c r="V82" s="13">
        <v>0.09</v>
      </c>
      <c r="W82" s="13">
        <v>0.06</v>
      </c>
      <c r="X82" s="13">
        <v>186</v>
      </c>
      <c r="Y82" s="13">
        <v>166</v>
      </c>
      <c r="Z82" s="13">
        <v>208</v>
      </c>
      <c r="AA82" s="13">
        <v>208</v>
      </c>
      <c r="AB82" s="13">
        <v>186</v>
      </c>
      <c r="AC82" s="13">
        <v>166</v>
      </c>
      <c r="AD82" s="13">
        <v>208</v>
      </c>
      <c r="AE82" s="13">
        <v>208</v>
      </c>
      <c r="AF82" s="13"/>
      <c r="AG82" s="13"/>
      <c r="AH82" s="13"/>
    </row>
    <row r="83" spans="1:43">
      <c r="A83" s="13" t="s">
        <v>87</v>
      </c>
      <c r="B83" s="13">
        <v>220029640</v>
      </c>
      <c r="C83" s="13" t="s">
        <v>88</v>
      </c>
      <c r="D83" s="13" t="s">
        <v>89</v>
      </c>
      <c r="E83" s="13">
        <v>400454000062</v>
      </c>
      <c r="F83" s="13" t="s">
        <v>90</v>
      </c>
      <c r="G83" s="13" t="s">
        <v>90</v>
      </c>
      <c r="H83" s="13" t="s">
        <v>91</v>
      </c>
      <c r="I83" s="13" t="s">
        <v>92</v>
      </c>
      <c r="J83" s="14" t="s">
        <v>93</v>
      </c>
      <c r="K83" s="13"/>
      <c r="L83" s="13">
        <v>0</v>
      </c>
      <c r="M83" s="13" t="s">
        <v>96</v>
      </c>
      <c r="N83" s="13" t="s">
        <v>91</v>
      </c>
      <c r="O83" s="13">
        <v>0</v>
      </c>
      <c r="P83" s="13">
        <v>445</v>
      </c>
      <c r="Q83" s="13">
        <v>69.28</v>
      </c>
      <c r="R83" s="13">
        <v>1314.847</v>
      </c>
      <c r="S83" s="13">
        <v>0.1</v>
      </c>
      <c r="T83" s="13">
        <v>2.31</v>
      </c>
      <c r="U83" s="13">
        <v>0.17</v>
      </c>
      <c r="V83" s="13">
        <v>0.09</v>
      </c>
      <c r="W83" s="13">
        <v>0.06</v>
      </c>
      <c r="X83" s="13">
        <v>191</v>
      </c>
      <c r="Y83" s="13">
        <v>169</v>
      </c>
      <c r="Z83" s="13">
        <v>211</v>
      </c>
      <c r="AA83" s="13">
        <v>211</v>
      </c>
      <c r="AB83" s="13">
        <v>191</v>
      </c>
      <c r="AC83" s="13">
        <v>169</v>
      </c>
      <c r="AD83" s="13">
        <v>211</v>
      </c>
      <c r="AE83" s="13">
        <v>211</v>
      </c>
      <c r="AF83" s="13"/>
      <c r="AG83" s="13"/>
      <c r="AH83" s="13"/>
    </row>
    <row r="84" spans="1:43">
      <c r="A84" s="13" t="s">
        <v>87</v>
      </c>
      <c r="B84" s="13">
        <v>220029640</v>
      </c>
      <c r="C84" s="13" t="s">
        <v>88</v>
      </c>
      <c r="D84" s="13" t="s">
        <v>89</v>
      </c>
      <c r="E84" s="13">
        <v>400454000062</v>
      </c>
      <c r="F84" s="13" t="s">
        <v>90</v>
      </c>
      <c r="G84" s="13" t="s">
        <v>90</v>
      </c>
      <c r="H84" s="13" t="s">
        <v>91</v>
      </c>
      <c r="I84" s="13" t="s">
        <v>92</v>
      </c>
      <c r="J84" s="14" t="s">
        <v>93</v>
      </c>
      <c r="K84" s="13"/>
      <c r="L84" s="13">
        <v>0</v>
      </c>
      <c r="M84" s="13" t="s">
        <v>96</v>
      </c>
      <c r="N84" s="13" t="s">
        <v>91</v>
      </c>
      <c r="O84" s="13">
        <v>0</v>
      </c>
      <c r="P84" s="13">
        <v>450</v>
      </c>
      <c r="Q84" s="13">
        <v>70.11</v>
      </c>
      <c r="R84" s="13">
        <v>1314.9359999999999</v>
      </c>
      <c r="S84" s="13">
        <v>0.11</v>
      </c>
      <c r="T84" s="13">
        <v>2.29</v>
      </c>
      <c r="U84" s="13">
        <v>0.17</v>
      </c>
      <c r="V84" s="13">
        <v>0.09</v>
      </c>
      <c r="W84" s="13">
        <v>0.06</v>
      </c>
      <c r="X84" s="13">
        <v>195</v>
      </c>
      <c r="Y84" s="13">
        <v>173</v>
      </c>
      <c r="Z84" s="13">
        <v>214</v>
      </c>
      <c r="AA84" s="13">
        <v>213</v>
      </c>
      <c r="AB84" s="13">
        <v>195</v>
      </c>
      <c r="AC84" s="13">
        <v>173</v>
      </c>
      <c r="AD84" s="13">
        <v>214</v>
      </c>
      <c r="AE84" s="13">
        <v>213</v>
      </c>
      <c r="AF84" s="13"/>
      <c r="AG84" s="13"/>
      <c r="AH84" s="13"/>
    </row>
    <row r="85" spans="1:43">
      <c r="A85" s="13"/>
      <c r="B85" s="13"/>
      <c r="C85" s="13"/>
      <c r="D85" s="13"/>
      <c r="E85" s="13"/>
      <c r="F85" s="13"/>
      <c r="G85" s="13"/>
      <c r="H85" s="13"/>
      <c r="I85" s="13"/>
      <c r="J85" s="14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43">
      <c r="M86" s="20"/>
      <c r="N86" s="20"/>
      <c r="O86" s="2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43">
      <c r="M87" s="20"/>
      <c r="N87" s="20"/>
      <c r="O87" s="2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43">
      <c r="M88" s="20"/>
      <c r="N88" s="20"/>
      <c r="O88" s="2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43">
      <c r="M89" s="20"/>
      <c r="N89" s="20"/>
      <c r="O89" s="2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43">
      <c r="M90" s="20"/>
      <c r="N90" s="20"/>
      <c r="O90" s="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43">
      <c r="M91" s="20"/>
      <c r="N91" s="20"/>
      <c r="O91" s="2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43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43">
      <c r="M93" s="20"/>
      <c r="N93" s="20"/>
      <c r="O93" s="20"/>
      <c r="P93" s="4"/>
      <c r="Q93" s="4"/>
      <c r="R93" s="4"/>
      <c r="S93" s="4"/>
      <c r="T93" s="4"/>
      <c r="U93" s="4"/>
      <c r="V93" s="4"/>
      <c r="W93" s="4"/>
      <c r="X93" s="5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5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5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5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3:43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5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3:43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5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3:43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5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3:43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5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3:43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5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3:43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5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3:43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5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3:43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5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spans="13:43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5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spans="13:43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5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spans="13:43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5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spans="13:43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5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spans="13:43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spans="13:43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5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spans="13:43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5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spans="13:43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5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3:31">
      <c r="M113" s="20"/>
      <c r="N113" s="20"/>
      <c r="O113" s="20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3:31">
      <c r="M114" s="20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3:31">
      <c r="M115" s="20"/>
      <c r="N115" s="20"/>
      <c r="O115" s="2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3:31">
      <c r="M116" s="20"/>
      <c r="N116" s="20"/>
      <c r="O116" s="2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3:31">
      <c r="M117" s="20"/>
      <c r="N117" s="20"/>
      <c r="O117" s="2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3:31">
      <c r="M118" s="20"/>
      <c r="N118" s="20"/>
      <c r="O118" s="20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3:31">
      <c r="M119" s="20"/>
      <c r="N119" s="20"/>
      <c r="O119" s="2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3:31"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3:31"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3:31"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3:31"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3:31"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3:31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3:31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3:31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3:31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6:31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6:31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6:31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6:31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6:31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6:31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6:31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6:31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6:31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6:31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6:31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6:31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6:31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6:31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6:31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6:31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6:31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6:31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6:31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6:31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6:31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6:31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6:31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6:31"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6:31"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6:31"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6:31"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6:31"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6:31"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6:31"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6:31"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6:31"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6:31"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6:31"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6:31"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6:31"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6:31"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6:31"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6:31"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6:31"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6:31"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6:31"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6:31"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6:31"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6:31"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6:31"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6:31"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6:31"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6:31"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6:31"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6:31"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6:31"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6:31"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6:31"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6:31"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6:31"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6:31"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6:31"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6:31"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6:31"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6:31"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6:31"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6:31"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6:31"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6:31"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6:31"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6:31"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6:31"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6:31"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6:31"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6:31"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6:31"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6:31"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6:31"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6:31"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6:31"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6:31"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6:31"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6:31"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6:31"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6:31"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6:31"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6:31"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6:31"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6:31"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6:31"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6:31"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6:31"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6:31"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6:31"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6:31"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6:31"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6:31"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6:31"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6:31"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6:31"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6:31"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6:31"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01"/>
  <sheetViews>
    <sheetView zoomScale="55" zoomScaleNormal="55" workbookViewId="0">
      <selection activeCell="A2" sqref="A2:XFD119"/>
    </sheetView>
  </sheetViews>
  <sheetFormatPr defaultRowHeight="15.6"/>
  <cols>
    <col min="1" max="1" width="12.09765625" style="1" customWidth="1"/>
    <col min="2" max="2" width="7.796875" style="1" customWidth="1"/>
    <col min="3" max="34" width="12.09765625" style="1" customWidth="1"/>
  </cols>
  <sheetData>
    <row r="1" spans="1:34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</row>
    <row r="2" spans="1:34">
      <c r="A2" s="13" t="s">
        <v>87</v>
      </c>
      <c r="B2" s="13">
        <v>220029640</v>
      </c>
      <c r="C2" s="13" t="s">
        <v>88</v>
      </c>
      <c r="D2" s="13" t="s">
        <v>89</v>
      </c>
      <c r="E2" s="13">
        <v>400454000062</v>
      </c>
      <c r="F2" s="13" t="s">
        <v>90</v>
      </c>
      <c r="G2" s="13" t="s">
        <v>90</v>
      </c>
      <c r="H2" s="13" t="s">
        <v>91</v>
      </c>
      <c r="I2" s="13" t="s">
        <v>92</v>
      </c>
      <c r="J2" s="14" t="s">
        <v>93</v>
      </c>
      <c r="K2" s="13"/>
      <c r="L2" s="13">
        <v>0</v>
      </c>
      <c r="M2" s="13" t="s">
        <v>97</v>
      </c>
      <c r="N2" s="13" t="s">
        <v>91</v>
      </c>
      <c r="O2" s="13">
        <v>0</v>
      </c>
      <c r="P2" s="11">
        <v>40</v>
      </c>
      <c r="Q2" s="12">
        <v>-0.21</v>
      </c>
      <c r="R2" s="12">
        <v>1327.604</v>
      </c>
      <c r="S2" s="12">
        <v>0.08</v>
      </c>
      <c r="T2" s="12">
        <v>2.17</v>
      </c>
      <c r="U2" s="12">
        <v>0.18</v>
      </c>
      <c r="V2" s="12">
        <v>0.1</v>
      </c>
      <c r="W2" s="12">
        <v>0.06</v>
      </c>
      <c r="X2" s="12">
        <v>105</v>
      </c>
      <c r="Y2" s="12">
        <v>87</v>
      </c>
      <c r="Z2" s="12">
        <v>124</v>
      </c>
      <c r="AA2" s="12">
        <v>140</v>
      </c>
      <c r="AB2" s="12">
        <v>105</v>
      </c>
      <c r="AC2" s="12">
        <v>87</v>
      </c>
      <c r="AD2" s="12">
        <v>124</v>
      </c>
      <c r="AE2" s="12">
        <v>140</v>
      </c>
      <c r="AF2" s="13"/>
      <c r="AG2" s="13"/>
      <c r="AH2" s="13"/>
    </row>
    <row r="3" spans="1:34">
      <c r="A3" s="13" t="s">
        <v>87</v>
      </c>
      <c r="B3" s="13">
        <v>220029640</v>
      </c>
      <c r="C3" s="13" t="s">
        <v>88</v>
      </c>
      <c r="D3" s="13" t="s">
        <v>89</v>
      </c>
      <c r="E3" s="13">
        <v>400454000062</v>
      </c>
      <c r="F3" s="13" t="s">
        <v>90</v>
      </c>
      <c r="G3" s="13" t="s">
        <v>90</v>
      </c>
      <c r="H3" s="13" t="s">
        <v>91</v>
      </c>
      <c r="I3" s="13" t="s">
        <v>92</v>
      </c>
      <c r="J3" s="14" t="s">
        <v>93</v>
      </c>
      <c r="K3" s="13"/>
      <c r="L3" s="13">
        <v>0</v>
      </c>
      <c r="M3" s="13" t="s">
        <v>97</v>
      </c>
      <c r="N3" s="13" t="s">
        <v>91</v>
      </c>
      <c r="O3" s="13">
        <v>0</v>
      </c>
      <c r="P3" s="11">
        <v>45</v>
      </c>
      <c r="Q3" s="12">
        <v>0.75</v>
      </c>
      <c r="R3" s="12">
        <v>1327.69</v>
      </c>
      <c r="S3" s="12">
        <v>0.09</v>
      </c>
      <c r="T3" s="12">
        <v>2.11</v>
      </c>
      <c r="U3" s="12">
        <v>0.18</v>
      </c>
      <c r="V3" s="12">
        <v>0.1</v>
      </c>
      <c r="W3" s="12">
        <v>0.06</v>
      </c>
      <c r="X3" s="12">
        <v>105</v>
      </c>
      <c r="Y3" s="12">
        <v>87</v>
      </c>
      <c r="Z3" s="12">
        <v>124</v>
      </c>
      <c r="AA3" s="12">
        <v>140</v>
      </c>
      <c r="AB3" s="12">
        <v>105</v>
      </c>
      <c r="AC3" s="12">
        <v>87</v>
      </c>
      <c r="AD3" s="12">
        <v>124</v>
      </c>
      <c r="AE3" s="12">
        <v>140</v>
      </c>
      <c r="AF3" s="13"/>
      <c r="AG3" s="13"/>
      <c r="AH3" s="13"/>
    </row>
    <row r="4" spans="1:34">
      <c r="A4" s="13" t="s">
        <v>87</v>
      </c>
      <c r="B4" s="13">
        <v>220029640</v>
      </c>
      <c r="C4" s="13" t="s">
        <v>88</v>
      </c>
      <c r="D4" s="13" t="s">
        <v>89</v>
      </c>
      <c r="E4" s="13">
        <v>400454000062</v>
      </c>
      <c r="F4" s="13" t="s">
        <v>90</v>
      </c>
      <c r="G4" s="13" t="s">
        <v>90</v>
      </c>
      <c r="H4" s="13" t="s">
        <v>91</v>
      </c>
      <c r="I4" s="13" t="s">
        <v>92</v>
      </c>
      <c r="J4" s="14" t="s">
        <v>93</v>
      </c>
      <c r="K4" s="13"/>
      <c r="L4" s="13">
        <v>0</v>
      </c>
      <c r="M4" s="13" t="s">
        <v>97</v>
      </c>
      <c r="N4" s="13" t="s">
        <v>91</v>
      </c>
      <c r="O4" s="13">
        <v>0</v>
      </c>
      <c r="P4" s="11">
        <v>50</v>
      </c>
      <c r="Q4" s="12">
        <v>1.76</v>
      </c>
      <c r="R4" s="12">
        <v>1327.778</v>
      </c>
      <c r="S4" s="12">
        <v>0.09</v>
      </c>
      <c r="T4" s="12">
        <v>2.08</v>
      </c>
      <c r="U4" s="12">
        <v>0.18</v>
      </c>
      <c r="V4" s="12">
        <v>0.1</v>
      </c>
      <c r="W4" s="12">
        <v>0.06</v>
      </c>
      <c r="X4" s="12">
        <v>105</v>
      </c>
      <c r="Y4" s="12">
        <v>87</v>
      </c>
      <c r="Z4" s="12">
        <v>125</v>
      </c>
      <c r="AA4" s="12">
        <v>140</v>
      </c>
      <c r="AB4" s="12">
        <v>105</v>
      </c>
      <c r="AC4" s="12">
        <v>87</v>
      </c>
      <c r="AD4" s="12">
        <v>125</v>
      </c>
      <c r="AE4" s="12">
        <v>140</v>
      </c>
      <c r="AF4" s="13"/>
      <c r="AG4" s="13"/>
      <c r="AH4" s="13"/>
    </row>
    <row r="5" spans="1:34">
      <c r="A5" s="13" t="s">
        <v>87</v>
      </c>
      <c r="B5" s="13">
        <v>220029640</v>
      </c>
      <c r="C5" s="13" t="s">
        <v>88</v>
      </c>
      <c r="D5" s="13" t="s">
        <v>89</v>
      </c>
      <c r="E5" s="13">
        <v>400454000062</v>
      </c>
      <c r="F5" s="13" t="s">
        <v>90</v>
      </c>
      <c r="G5" s="13" t="s">
        <v>90</v>
      </c>
      <c r="H5" s="13" t="s">
        <v>91</v>
      </c>
      <c r="I5" s="13" t="s">
        <v>92</v>
      </c>
      <c r="J5" s="14" t="s">
        <v>93</v>
      </c>
      <c r="K5" s="13"/>
      <c r="L5" s="13">
        <v>0</v>
      </c>
      <c r="M5" s="13" t="s">
        <v>97</v>
      </c>
      <c r="N5" s="13" t="s">
        <v>91</v>
      </c>
      <c r="O5" s="13">
        <v>0</v>
      </c>
      <c r="P5" s="11">
        <v>55</v>
      </c>
      <c r="Q5" s="12">
        <v>2.7</v>
      </c>
      <c r="R5" s="12">
        <v>1327.866</v>
      </c>
      <c r="S5" s="12">
        <v>0.09</v>
      </c>
      <c r="T5" s="12">
        <v>2.09</v>
      </c>
      <c r="U5" s="12">
        <v>0.18</v>
      </c>
      <c r="V5" s="12">
        <v>0.1</v>
      </c>
      <c r="W5" s="12">
        <v>0.06</v>
      </c>
      <c r="X5" s="12">
        <v>105</v>
      </c>
      <c r="Y5" s="12">
        <v>88</v>
      </c>
      <c r="Z5" s="12">
        <v>126</v>
      </c>
      <c r="AA5" s="12">
        <v>140</v>
      </c>
      <c r="AB5" s="12">
        <v>105</v>
      </c>
      <c r="AC5" s="12">
        <v>88</v>
      </c>
      <c r="AD5" s="12">
        <v>126</v>
      </c>
      <c r="AE5" s="12">
        <v>140</v>
      </c>
      <c r="AF5" s="13"/>
      <c r="AG5" s="13"/>
      <c r="AH5" s="13"/>
    </row>
    <row r="6" spans="1:34">
      <c r="A6" s="13" t="s">
        <v>87</v>
      </c>
      <c r="B6" s="13">
        <v>220029640</v>
      </c>
      <c r="C6" s="13" t="s">
        <v>88</v>
      </c>
      <c r="D6" s="13" t="s">
        <v>89</v>
      </c>
      <c r="E6" s="13">
        <v>400454000062</v>
      </c>
      <c r="F6" s="13" t="s">
        <v>90</v>
      </c>
      <c r="G6" s="13" t="s">
        <v>90</v>
      </c>
      <c r="H6" s="13" t="s">
        <v>91</v>
      </c>
      <c r="I6" s="13" t="s">
        <v>92</v>
      </c>
      <c r="J6" s="14" t="s">
        <v>93</v>
      </c>
      <c r="K6" s="13"/>
      <c r="L6" s="13">
        <v>0</v>
      </c>
      <c r="M6" s="13" t="s">
        <v>97</v>
      </c>
      <c r="N6" s="13" t="s">
        <v>91</v>
      </c>
      <c r="O6" s="13">
        <v>0</v>
      </c>
      <c r="P6" s="11">
        <v>60</v>
      </c>
      <c r="Q6" s="12">
        <v>3.69</v>
      </c>
      <c r="R6" s="12">
        <v>1327.9559999999999</v>
      </c>
      <c r="S6" s="12">
        <v>0.09</v>
      </c>
      <c r="T6" s="12">
        <v>2.14</v>
      </c>
      <c r="U6" s="12">
        <v>0.18</v>
      </c>
      <c r="V6" s="12">
        <v>0.1</v>
      </c>
      <c r="W6" s="12">
        <v>0.06</v>
      </c>
      <c r="X6" s="12">
        <v>105</v>
      </c>
      <c r="Y6" s="12">
        <v>88</v>
      </c>
      <c r="Z6" s="12">
        <v>127</v>
      </c>
      <c r="AA6" s="12">
        <v>140</v>
      </c>
      <c r="AB6" s="12">
        <v>105</v>
      </c>
      <c r="AC6" s="12">
        <v>88</v>
      </c>
      <c r="AD6" s="12">
        <v>127</v>
      </c>
      <c r="AE6" s="12">
        <v>140</v>
      </c>
      <c r="AF6" s="13"/>
      <c r="AG6" s="13"/>
      <c r="AH6" s="13"/>
    </row>
    <row r="7" spans="1:34">
      <c r="A7" s="13" t="s">
        <v>87</v>
      </c>
      <c r="B7" s="13">
        <v>220029640</v>
      </c>
      <c r="C7" s="13" t="s">
        <v>88</v>
      </c>
      <c r="D7" s="13" t="s">
        <v>89</v>
      </c>
      <c r="E7" s="13">
        <v>400454000062</v>
      </c>
      <c r="F7" s="13" t="s">
        <v>90</v>
      </c>
      <c r="G7" s="13" t="s">
        <v>90</v>
      </c>
      <c r="H7" s="13" t="s">
        <v>91</v>
      </c>
      <c r="I7" s="13" t="s">
        <v>92</v>
      </c>
      <c r="J7" s="14" t="s">
        <v>93</v>
      </c>
      <c r="K7" s="13"/>
      <c r="L7" s="13">
        <v>0</v>
      </c>
      <c r="M7" s="13" t="s">
        <v>97</v>
      </c>
      <c r="N7" s="13" t="s">
        <v>91</v>
      </c>
      <c r="O7" s="13">
        <v>0</v>
      </c>
      <c r="P7" s="11">
        <v>65</v>
      </c>
      <c r="Q7" s="12">
        <v>4.67</v>
      </c>
      <c r="R7" s="12">
        <v>1328.0450000000001</v>
      </c>
      <c r="S7" s="12">
        <v>0.09</v>
      </c>
      <c r="T7" s="12">
        <v>2.09</v>
      </c>
      <c r="U7" s="12">
        <v>0.18</v>
      </c>
      <c r="V7" s="12">
        <v>0.1</v>
      </c>
      <c r="W7" s="12">
        <v>0.06</v>
      </c>
      <c r="X7" s="12">
        <v>105</v>
      </c>
      <c r="Y7" s="12">
        <v>88</v>
      </c>
      <c r="Z7" s="12">
        <v>127</v>
      </c>
      <c r="AA7" s="12">
        <v>140</v>
      </c>
      <c r="AB7" s="12">
        <v>105</v>
      </c>
      <c r="AC7" s="12">
        <v>88</v>
      </c>
      <c r="AD7" s="12">
        <v>127</v>
      </c>
      <c r="AE7" s="12">
        <v>140</v>
      </c>
      <c r="AF7" s="13"/>
      <c r="AG7" s="13"/>
      <c r="AH7" s="13"/>
    </row>
    <row r="8" spans="1:34">
      <c r="A8" s="13" t="s">
        <v>87</v>
      </c>
      <c r="B8" s="13">
        <v>220029640</v>
      </c>
      <c r="C8" s="13" t="s">
        <v>88</v>
      </c>
      <c r="D8" s="13" t="s">
        <v>89</v>
      </c>
      <c r="E8" s="13">
        <v>400454000062</v>
      </c>
      <c r="F8" s="13" t="s">
        <v>90</v>
      </c>
      <c r="G8" s="13" t="s">
        <v>90</v>
      </c>
      <c r="H8" s="13" t="s">
        <v>91</v>
      </c>
      <c r="I8" s="13" t="s">
        <v>92</v>
      </c>
      <c r="J8" s="14" t="s">
        <v>93</v>
      </c>
      <c r="K8" s="13"/>
      <c r="L8" s="13">
        <v>0</v>
      </c>
      <c r="M8" s="13" t="s">
        <v>97</v>
      </c>
      <c r="N8" s="13" t="s">
        <v>91</v>
      </c>
      <c r="O8" s="13">
        <v>0</v>
      </c>
      <c r="P8" s="11">
        <v>70</v>
      </c>
      <c r="Q8" s="12">
        <v>5.61</v>
      </c>
      <c r="R8" s="12">
        <v>1328.1320000000001</v>
      </c>
      <c r="S8" s="12">
        <v>0.09</v>
      </c>
      <c r="T8" s="12">
        <v>2.09</v>
      </c>
      <c r="U8" s="12">
        <v>0.18</v>
      </c>
      <c r="V8" s="12">
        <v>0.1</v>
      </c>
      <c r="W8" s="12">
        <v>0.06</v>
      </c>
      <c r="X8" s="12">
        <v>105</v>
      </c>
      <c r="Y8" s="12">
        <v>88</v>
      </c>
      <c r="Z8" s="12">
        <v>128</v>
      </c>
      <c r="AA8" s="12">
        <v>140</v>
      </c>
      <c r="AB8" s="12">
        <v>105</v>
      </c>
      <c r="AC8" s="12">
        <v>88</v>
      </c>
      <c r="AD8" s="12">
        <v>128</v>
      </c>
      <c r="AE8" s="12">
        <v>140</v>
      </c>
      <c r="AF8" s="13"/>
      <c r="AG8" s="13"/>
      <c r="AH8" s="13"/>
    </row>
    <row r="9" spans="1:34">
      <c r="A9" s="13" t="s">
        <v>87</v>
      </c>
      <c r="B9" s="13">
        <v>220029640</v>
      </c>
      <c r="C9" s="13" t="s">
        <v>88</v>
      </c>
      <c r="D9" s="13" t="s">
        <v>89</v>
      </c>
      <c r="E9" s="13">
        <v>400454000062</v>
      </c>
      <c r="F9" s="13" t="s">
        <v>90</v>
      </c>
      <c r="G9" s="13" t="s">
        <v>90</v>
      </c>
      <c r="H9" s="13" t="s">
        <v>91</v>
      </c>
      <c r="I9" s="13" t="s">
        <v>92</v>
      </c>
      <c r="J9" s="14" t="s">
        <v>93</v>
      </c>
      <c r="K9" s="13"/>
      <c r="L9" s="13">
        <v>0</v>
      </c>
      <c r="M9" s="13" t="s">
        <v>97</v>
      </c>
      <c r="N9" s="13" t="s">
        <v>91</v>
      </c>
      <c r="O9" s="13">
        <v>0</v>
      </c>
      <c r="P9" s="11">
        <v>75</v>
      </c>
      <c r="Q9" s="12">
        <v>6.5</v>
      </c>
      <c r="R9" s="12">
        <v>1328.2180000000001</v>
      </c>
      <c r="S9" s="12">
        <v>0.1</v>
      </c>
      <c r="T9" s="12">
        <v>2.0699999999999998</v>
      </c>
      <c r="U9" s="12">
        <v>0.18</v>
      </c>
      <c r="V9" s="12">
        <v>0.1</v>
      </c>
      <c r="W9" s="12">
        <v>0.06</v>
      </c>
      <c r="X9" s="12">
        <v>105</v>
      </c>
      <c r="Y9" s="12">
        <v>88</v>
      </c>
      <c r="Z9" s="12">
        <v>129</v>
      </c>
      <c r="AA9" s="12">
        <v>140</v>
      </c>
      <c r="AB9" s="12">
        <v>105</v>
      </c>
      <c r="AC9" s="12">
        <v>88</v>
      </c>
      <c r="AD9" s="12">
        <v>129</v>
      </c>
      <c r="AE9" s="12">
        <v>140</v>
      </c>
      <c r="AF9" s="13"/>
      <c r="AG9" s="13"/>
      <c r="AH9" s="13"/>
    </row>
    <row r="10" spans="1:34">
      <c r="A10" s="13" t="s">
        <v>87</v>
      </c>
      <c r="B10" s="13">
        <v>220029640</v>
      </c>
      <c r="C10" s="13" t="s">
        <v>88</v>
      </c>
      <c r="D10" s="13" t="s">
        <v>89</v>
      </c>
      <c r="E10" s="13">
        <v>400454000062</v>
      </c>
      <c r="F10" s="13" t="s">
        <v>90</v>
      </c>
      <c r="G10" s="13" t="s">
        <v>90</v>
      </c>
      <c r="H10" s="13" t="s">
        <v>91</v>
      </c>
      <c r="I10" s="13" t="s">
        <v>92</v>
      </c>
      <c r="J10" s="14" t="s">
        <v>93</v>
      </c>
      <c r="K10" s="13"/>
      <c r="L10" s="13">
        <v>0</v>
      </c>
      <c r="M10" s="13" t="s">
        <v>97</v>
      </c>
      <c r="N10" s="13" t="s">
        <v>91</v>
      </c>
      <c r="O10" s="13">
        <v>0</v>
      </c>
      <c r="P10" s="11">
        <v>80</v>
      </c>
      <c r="Q10" s="12">
        <v>7.41</v>
      </c>
      <c r="R10" s="12">
        <v>1328.3030000000001</v>
      </c>
      <c r="S10" s="12">
        <v>0.09</v>
      </c>
      <c r="T10" s="12">
        <v>2.08</v>
      </c>
      <c r="U10" s="12">
        <v>0.18</v>
      </c>
      <c r="V10" s="12">
        <v>0.1</v>
      </c>
      <c r="W10" s="12">
        <v>0.06</v>
      </c>
      <c r="X10" s="12">
        <v>105</v>
      </c>
      <c r="Y10" s="12">
        <v>89</v>
      </c>
      <c r="Z10" s="12">
        <v>129</v>
      </c>
      <c r="AA10" s="12">
        <v>140</v>
      </c>
      <c r="AB10" s="12">
        <v>105</v>
      </c>
      <c r="AC10" s="12">
        <v>89</v>
      </c>
      <c r="AD10" s="12">
        <v>129</v>
      </c>
      <c r="AE10" s="12">
        <v>140</v>
      </c>
      <c r="AF10" s="13"/>
      <c r="AG10" s="13"/>
      <c r="AH10" s="13"/>
    </row>
    <row r="11" spans="1:34">
      <c r="A11" s="13" t="s">
        <v>87</v>
      </c>
      <c r="B11" s="13">
        <v>220029640</v>
      </c>
      <c r="C11" s="13" t="s">
        <v>88</v>
      </c>
      <c r="D11" s="13" t="s">
        <v>89</v>
      </c>
      <c r="E11" s="13">
        <v>400454000062</v>
      </c>
      <c r="F11" s="13" t="s">
        <v>90</v>
      </c>
      <c r="G11" s="13" t="s">
        <v>90</v>
      </c>
      <c r="H11" s="13" t="s">
        <v>91</v>
      </c>
      <c r="I11" s="13" t="s">
        <v>92</v>
      </c>
      <c r="J11" s="14" t="s">
        <v>93</v>
      </c>
      <c r="K11" s="13"/>
      <c r="L11" s="13">
        <v>0</v>
      </c>
      <c r="M11" s="13" t="s">
        <v>97</v>
      </c>
      <c r="N11" s="13" t="s">
        <v>91</v>
      </c>
      <c r="O11" s="13">
        <v>0</v>
      </c>
      <c r="P11" s="11">
        <v>85</v>
      </c>
      <c r="Q11" s="12">
        <v>8.3000000000000007</v>
      </c>
      <c r="R11" s="12">
        <v>1328.3879999999999</v>
      </c>
      <c r="S11" s="12">
        <v>0.1</v>
      </c>
      <c r="T11" s="12">
        <v>2.13</v>
      </c>
      <c r="U11" s="12">
        <v>0.18</v>
      </c>
      <c r="V11" s="12">
        <v>0.1</v>
      </c>
      <c r="W11" s="12">
        <v>0.06</v>
      </c>
      <c r="X11" s="12">
        <v>105</v>
      </c>
      <c r="Y11" s="12">
        <v>89</v>
      </c>
      <c r="Z11" s="12">
        <v>130</v>
      </c>
      <c r="AA11" s="12">
        <v>141</v>
      </c>
      <c r="AB11" s="12">
        <v>105</v>
      </c>
      <c r="AC11" s="12">
        <v>89</v>
      </c>
      <c r="AD11" s="12">
        <v>130</v>
      </c>
      <c r="AE11" s="12">
        <v>141</v>
      </c>
      <c r="AF11" s="13"/>
      <c r="AG11" s="13"/>
      <c r="AH11" s="13"/>
    </row>
    <row r="12" spans="1:34">
      <c r="A12" s="13" t="s">
        <v>87</v>
      </c>
      <c r="B12" s="13">
        <v>220029640</v>
      </c>
      <c r="C12" s="13" t="s">
        <v>88</v>
      </c>
      <c r="D12" s="13" t="s">
        <v>89</v>
      </c>
      <c r="E12" s="13">
        <v>400454000062</v>
      </c>
      <c r="F12" s="13" t="s">
        <v>90</v>
      </c>
      <c r="G12" s="13" t="s">
        <v>90</v>
      </c>
      <c r="H12" s="13" t="s">
        <v>91</v>
      </c>
      <c r="I12" s="13" t="s">
        <v>92</v>
      </c>
      <c r="J12" s="14" t="s">
        <v>93</v>
      </c>
      <c r="K12" s="13"/>
      <c r="L12" s="13">
        <v>0</v>
      </c>
      <c r="M12" s="13" t="s">
        <v>97</v>
      </c>
      <c r="N12" s="13" t="s">
        <v>91</v>
      </c>
      <c r="O12" s="13">
        <v>0</v>
      </c>
      <c r="P12" s="11">
        <v>90</v>
      </c>
      <c r="Q12" s="12">
        <v>9.17</v>
      </c>
      <c r="R12" s="12">
        <v>1328.472</v>
      </c>
      <c r="S12" s="12">
        <v>0.1</v>
      </c>
      <c r="T12" s="12">
        <v>2.13</v>
      </c>
      <c r="U12" s="12">
        <v>0.18</v>
      </c>
      <c r="V12" s="12">
        <v>0.1</v>
      </c>
      <c r="W12" s="12">
        <v>0.06</v>
      </c>
      <c r="X12" s="12">
        <v>105</v>
      </c>
      <c r="Y12" s="12">
        <v>89</v>
      </c>
      <c r="Z12" s="12">
        <v>131</v>
      </c>
      <c r="AA12" s="12">
        <v>141</v>
      </c>
      <c r="AB12" s="12">
        <v>105</v>
      </c>
      <c r="AC12" s="12">
        <v>89</v>
      </c>
      <c r="AD12" s="12">
        <v>131</v>
      </c>
      <c r="AE12" s="12">
        <v>141</v>
      </c>
      <c r="AF12" s="13"/>
      <c r="AG12" s="13"/>
      <c r="AH12" s="13"/>
    </row>
    <row r="13" spans="1:34">
      <c r="A13" s="13" t="s">
        <v>87</v>
      </c>
      <c r="B13" s="13">
        <v>220029640</v>
      </c>
      <c r="C13" s="13" t="s">
        <v>88</v>
      </c>
      <c r="D13" s="13" t="s">
        <v>89</v>
      </c>
      <c r="E13" s="13">
        <v>400454000062</v>
      </c>
      <c r="F13" s="13" t="s">
        <v>90</v>
      </c>
      <c r="G13" s="13" t="s">
        <v>90</v>
      </c>
      <c r="H13" s="13" t="s">
        <v>91</v>
      </c>
      <c r="I13" s="13" t="s">
        <v>92</v>
      </c>
      <c r="J13" s="14" t="s">
        <v>93</v>
      </c>
      <c r="K13" s="13"/>
      <c r="L13" s="13">
        <v>0</v>
      </c>
      <c r="M13" s="13" t="s">
        <v>97</v>
      </c>
      <c r="N13" s="13" t="s">
        <v>91</v>
      </c>
      <c r="O13" s="13">
        <v>0</v>
      </c>
      <c r="P13" s="11">
        <v>95</v>
      </c>
      <c r="Q13" s="12">
        <v>10.050000000000001</v>
      </c>
      <c r="R13" s="12">
        <v>1328.5530000000001</v>
      </c>
      <c r="S13" s="12">
        <v>0.09</v>
      </c>
      <c r="T13" s="12">
        <v>2.0699999999999998</v>
      </c>
      <c r="U13" s="12">
        <v>0.18</v>
      </c>
      <c r="V13" s="12">
        <v>0.1</v>
      </c>
      <c r="W13" s="12">
        <v>0.06</v>
      </c>
      <c r="X13" s="12">
        <v>105</v>
      </c>
      <c r="Y13" s="12">
        <v>90</v>
      </c>
      <c r="Z13" s="12">
        <v>132</v>
      </c>
      <c r="AA13" s="12">
        <v>141</v>
      </c>
      <c r="AB13" s="12">
        <v>105</v>
      </c>
      <c r="AC13" s="12">
        <v>90</v>
      </c>
      <c r="AD13" s="12">
        <v>132</v>
      </c>
      <c r="AE13" s="12">
        <v>141</v>
      </c>
      <c r="AF13" s="13"/>
      <c r="AG13" s="13"/>
      <c r="AH13" s="13"/>
    </row>
    <row r="14" spans="1:34">
      <c r="A14" s="13" t="s">
        <v>87</v>
      </c>
      <c r="B14" s="13">
        <v>220029640</v>
      </c>
      <c r="C14" s="13" t="s">
        <v>88</v>
      </c>
      <c r="D14" s="13" t="s">
        <v>89</v>
      </c>
      <c r="E14" s="13">
        <v>400454000062</v>
      </c>
      <c r="F14" s="13" t="s">
        <v>90</v>
      </c>
      <c r="G14" s="13" t="s">
        <v>90</v>
      </c>
      <c r="H14" s="13" t="s">
        <v>91</v>
      </c>
      <c r="I14" s="13" t="s">
        <v>92</v>
      </c>
      <c r="J14" s="14" t="s">
        <v>93</v>
      </c>
      <c r="K14" s="13"/>
      <c r="L14" s="13">
        <v>0</v>
      </c>
      <c r="M14" s="13" t="s">
        <v>97</v>
      </c>
      <c r="N14" s="13" t="s">
        <v>91</v>
      </c>
      <c r="O14" s="13">
        <v>0</v>
      </c>
      <c r="P14" s="11">
        <v>100</v>
      </c>
      <c r="Q14" s="12">
        <v>10.95</v>
      </c>
      <c r="R14" s="12">
        <v>1328.634</v>
      </c>
      <c r="S14" s="12">
        <v>0.09</v>
      </c>
      <c r="T14" s="12">
        <v>2.0299999999999998</v>
      </c>
      <c r="U14" s="12">
        <v>0.18</v>
      </c>
      <c r="V14" s="12">
        <v>0.1</v>
      </c>
      <c r="W14" s="12">
        <v>0.06</v>
      </c>
      <c r="X14" s="12">
        <v>106</v>
      </c>
      <c r="Y14" s="12">
        <v>90</v>
      </c>
      <c r="Z14" s="12">
        <v>133</v>
      </c>
      <c r="AA14" s="12">
        <v>141</v>
      </c>
      <c r="AB14" s="12">
        <v>106</v>
      </c>
      <c r="AC14" s="12">
        <v>90</v>
      </c>
      <c r="AD14" s="12">
        <v>133</v>
      </c>
      <c r="AE14" s="12">
        <v>141</v>
      </c>
      <c r="AF14" s="13"/>
      <c r="AG14" s="13"/>
      <c r="AH14" s="13"/>
    </row>
    <row r="15" spans="1:34">
      <c r="A15" s="13" t="s">
        <v>87</v>
      </c>
      <c r="B15" s="13">
        <v>220029640</v>
      </c>
      <c r="C15" s="13" t="s">
        <v>88</v>
      </c>
      <c r="D15" s="13" t="s">
        <v>89</v>
      </c>
      <c r="E15" s="13">
        <v>400454000062</v>
      </c>
      <c r="F15" s="13" t="s">
        <v>90</v>
      </c>
      <c r="G15" s="13" t="s">
        <v>90</v>
      </c>
      <c r="H15" s="13" t="s">
        <v>91</v>
      </c>
      <c r="I15" s="13" t="s">
        <v>92</v>
      </c>
      <c r="J15" s="14" t="s">
        <v>93</v>
      </c>
      <c r="K15" s="13"/>
      <c r="L15" s="13">
        <v>0</v>
      </c>
      <c r="M15" s="13" t="s">
        <v>97</v>
      </c>
      <c r="N15" s="13" t="s">
        <v>91</v>
      </c>
      <c r="O15" s="13">
        <v>0</v>
      </c>
      <c r="P15" s="11">
        <v>105</v>
      </c>
      <c r="Q15" s="12">
        <v>11.82</v>
      </c>
      <c r="R15" s="12">
        <v>1328.7149999999999</v>
      </c>
      <c r="S15" s="12">
        <v>0.09</v>
      </c>
      <c r="T15" s="12">
        <v>2.08</v>
      </c>
      <c r="U15" s="12">
        <v>0.18</v>
      </c>
      <c r="V15" s="12">
        <v>0.1</v>
      </c>
      <c r="W15" s="12">
        <v>0.06</v>
      </c>
      <c r="X15" s="12">
        <v>106</v>
      </c>
      <c r="Y15" s="12">
        <v>90</v>
      </c>
      <c r="Z15" s="12">
        <v>134</v>
      </c>
      <c r="AA15" s="12">
        <v>141</v>
      </c>
      <c r="AB15" s="12">
        <v>106</v>
      </c>
      <c r="AC15" s="12">
        <v>90</v>
      </c>
      <c r="AD15" s="12">
        <v>134</v>
      </c>
      <c r="AE15" s="12">
        <v>141</v>
      </c>
      <c r="AF15" s="13"/>
      <c r="AG15" s="13"/>
      <c r="AH15" s="13"/>
    </row>
    <row r="16" spans="1:34">
      <c r="A16" s="13" t="s">
        <v>87</v>
      </c>
      <c r="B16" s="13">
        <v>220029640</v>
      </c>
      <c r="C16" s="13" t="s">
        <v>88</v>
      </c>
      <c r="D16" s="13" t="s">
        <v>89</v>
      </c>
      <c r="E16" s="13">
        <v>400454000062</v>
      </c>
      <c r="F16" s="13" t="s">
        <v>90</v>
      </c>
      <c r="G16" s="13" t="s">
        <v>90</v>
      </c>
      <c r="H16" s="13" t="s">
        <v>91</v>
      </c>
      <c r="I16" s="13" t="s">
        <v>92</v>
      </c>
      <c r="J16" s="14" t="s">
        <v>93</v>
      </c>
      <c r="K16" s="13"/>
      <c r="L16" s="13">
        <v>0</v>
      </c>
      <c r="M16" s="13" t="s">
        <v>97</v>
      </c>
      <c r="N16" s="13" t="s">
        <v>91</v>
      </c>
      <c r="O16" s="13">
        <v>0</v>
      </c>
      <c r="P16" s="11">
        <v>110</v>
      </c>
      <c r="Q16" s="12">
        <v>12.69</v>
      </c>
      <c r="R16" s="12">
        <v>1328.797</v>
      </c>
      <c r="S16" s="12">
        <v>0.09</v>
      </c>
      <c r="T16" s="12">
        <v>2.0099999999999998</v>
      </c>
      <c r="U16" s="12">
        <v>0.18</v>
      </c>
      <c r="V16" s="12">
        <v>0.1</v>
      </c>
      <c r="W16" s="12">
        <v>0.06</v>
      </c>
      <c r="X16" s="12">
        <v>106</v>
      </c>
      <c r="Y16" s="12">
        <v>90</v>
      </c>
      <c r="Z16" s="12">
        <v>135</v>
      </c>
      <c r="AA16" s="12">
        <v>141</v>
      </c>
      <c r="AB16" s="12">
        <v>106</v>
      </c>
      <c r="AC16" s="12">
        <v>90</v>
      </c>
      <c r="AD16" s="12">
        <v>135</v>
      </c>
      <c r="AE16" s="12">
        <v>141</v>
      </c>
      <c r="AF16" s="13"/>
      <c r="AG16" s="13"/>
      <c r="AH16" s="13"/>
    </row>
    <row r="17" spans="1:34">
      <c r="A17" s="13" t="s">
        <v>87</v>
      </c>
      <c r="B17" s="13">
        <v>220029640</v>
      </c>
      <c r="C17" s="13" t="s">
        <v>88</v>
      </c>
      <c r="D17" s="13" t="s">
        <v>89</v>
      </c>
      <c r="E17" s="13">
        <v>400454000062</v>
      </c>
      <c r="F17" s="13" t="s">
        <v>90</v>
      </c>
      <c r="G17" s="13" t="s">
        <v>90</v>
      </c>
      <c r="H17" s="13" t="s">
        <v>91</v>
      </c>
      <c r="I17" s="13" t="s">
        <v>92</v>
      </c>
      <c r="J17" s="14" t="s">
        <v>93</v>
      </c>
      <c r="K17" s="13"/>
      <c r="L17" s="13">
        <v>0</v>
      </c>
      <c r="M17" s="13" t="s">
        <v>97</v>
      </c>
      <c r="N17" s="13" t="s">
        <v>91</v>
      </c>
      <c r="O17" s="13">
        <v>0</v>
      </c>
      <c r="P17" s="11">
        <v>115</v>
      </c>
      <c r="Q17" s="12">
        <v>13.56</v>
      </c>
      <c r="R17" s="12">
        <v>1328.88</v>
      </c>
      <c r="S17" s="12">
        <v>0.1</v>
      </c>
      <c r="T17" s="12">
        <v>2.02</v>
      </c>
      <c r="U17" s="12">
        <v>0.18</v>
      </c>
      <c r="V17" s="12">
        <v>0.1</v>
      </c>
      <c r="W17" s="12">
        <v>0.06</v>
      </c>
      <c r="X17" s="12">
        <v>106</v>
      </c>
      <c r="Y17" s="12">
        <v>91</v>
      </c>
      <c r="Z17" s="12">
        <v>136</v>
      </c>
      <c r="AA17" s="12">
        <v>141</v>
      </c>
      <c r="AB17" s="12">
        <v>106</v>
      </c>
      <c r="AC17" s="12">
        <v>91</v>
      </c>
      <c r="AD17" s="12">
        <v>136</v>
      </c>
      <c r="AE17" s="12">
        <v>141</v>
      </c>
      <c r="AF17" s="13"/>
      <c r="AG17" s="13"/>
      <c r="AH17" s="13"/>
    </row>
    <row r="18" spans="1:34">
      <c r="A18" s="13" t="s">
        <v>87</v>
      </c>
      <c r="B18" s="13">
        <v>220029640</v>
      </c>
      <c r="C18" s="13" t="s">
        <v>88</v>
      </c>
      <c r="D18" s="13" t="s">
        <v>89</v>
      </c>
      <c r="E18" s="13">
        <v>400454000062</v>
      </c>
      <c r="F18" s="13" t="s">
        <v>90</v>
      </c>
      <c r="G18" s="13" t="s">
        <v>90</v>
      </c>
      <c r="H18" s="13" t="s">
        <v>91</v>
      </c>
      <c r="I18" s="13" t="s">
        <v>92</v>
      </c>
      <c r="J18" s="14" t="s">
        <v>93</v>
      </c>
      <c r="K18" s="13"/>
      <c r="L18" s="13">
        <v>0</v>
      </c>
      <c r="M18" s="13" t="s">
        <v>97</v>
      </c>
      <c r="N18" s="13" t="s">
        <v>91</v>
      </c>
      <c r="O18" s="13">
        <v>0</v>
      </c>
      <c r="P18" s="11">
        <v>120</v>
      </c>
      <c r="Q18" s="12">
        <v>14.41</v>
      </c>
      <c r="R18" s="12">
        <v>1328.961</v>
      </c>
      <c r="S18" s="12">
        <v>0.1</v>
      </c>
      <c r="T18" s="12">
        <v>2.06</v>
      </c>
      <c r="U18" s="12">
        <v>0.18</v>
      </c>
      <c r="V18" s="12">
        <v>0.1</v>
      </c>
      <c r="W18" s="12">
        <v>0.06</v>
      </c>
      <c r="X18" s="12">
        <v>106</v>
      </c>
      <c r="Y18" s="12">
        <v>91</v>
      </c>
      <c r="Z18" s="12">
        <v>137</v>
      </c>
      <c r="AA18" s="12">
        <v>142</v>
      </c>
      <c r="AB18" s="12">
        <v>106</v>
      </c>
      <c r="AC18" s="12">
        <v>91</v>
      </c>
      <c r="AD18" s="12">
        <v>137</v>
      </c>
      <c r="AE18" s="12">
        <v>142</v>
      </c>
      <c r="AF18" s="13"/>
      <c r="AG18" s="13"/>
      <c r="AH18" s="13"/>
    </row>
    <row r="19" spans="1:34">
      <c r="A19" s="13" t="s">
        <v>87</v>
      </c>
      <c r="B19" s="13">
        <v>220029640</v>
      </c>
      <c r="C19" s="13" t="s">
        <v>88</v>
      </c>
      <c r="D19" s="13" t="s">
        <v>89</v>
      </c>
      <c r="E19" s="13">
        <v>400454000062</v>
      </c>
      <c r="F19" s="13" t="s">
        <v>90</v>
      </c>
      <c r="G19" s="13" t="s">
        <v>90</v>
      </c>
      <c r="H19" s="13" t="s">
        <v>91</v>
      </c>
      <c r="I19" s="13" t="s">
        <v>92</v>
      </c>
      <c r="J19" s="14" t="s">
        <v>93</v>
      </c>
      <c r="K19" s="13"/>
      <c r="L19" s="13">
        <v>0</v>
      </c>
      <c r="M19" s="13" t="s">
        <v>97</v>
      </c>
      <c r="N19" s="13" t="s">
        <v>91</v>
      </c>
      <c r="O19" s="13">
        <v>0</v>
      </c>
      <c r="P19" s="11">
        <v>125</v>
      </c>
      <c r="Q19" s="12">
        <v>15.26</v>
      </c>
      <c r="R19" s="12">
        <v>1329.0409999999999</v>
      </c>
      <c r="S19" s="12">
        <v>0.09</v>
      </c>
      <c r="T19" s="12">
        <v>2.0099999999999998</v>
      </c>
      <c r="U19" s="12">
        <v>0.18</v>
      </c>
      <c r="V19" s="12">
        <v>0.1</v>
      </c>
      <c r="W19" s="12">
        <v>0.06</v>
      </c>
      <c r="X19" s="12">
        <v>106</v>
      </c>
      <c r="Y19" s="12">
        <v>92</v>
      </c>
      <c r="Z19" s="12">
        <v>138</v>
      </c>
      <c r="AA19" s="12">
        <v>142</v>
      </c>
      <c r="AB19" s="12">
        <v>106</v>
      </c>
      <c r="AC19" s="12">
        <v>92</v>
      </c>
      <c r="AD19" s="12">
        <v>138</v>
      </c>
      <c r="AE19" s="12">
        <v>142</v>
      </c>
      <c r="AF19" s="13"/>
      <c r="AG19" s="13"/>
      <c r="AH19" s="13"/>
    </row>
    <row r="20" spans="1:34">
      <c r="A20" s="13" t="s">
        <v>87</v>
      </c>
      <c r="B20" s="13">
        <v>220029640</v>
      </c>
      <c r="C20" s="13" t="s">
        <v>88</v>
      </c>
      <c r="D20" s="13" t="s">
        <v>89</v>
      </c>
      <c r="E20" s="13">
        <v>400454000062</v>
      </c>
      <c r="F20" s="13" t="s">
        <v>90</v>
      </c>
      <c r="G20" s="13" t="s">
        <v>90</v>
      </c>
      <c r="H20" s="13" t="s">
        <v>91</v>
      </c>
      <c r="I20" s="13" t="s">
        <v>92</v>
      </c>
      <c r="J20" s="14" t="s">
        <v>93</v>
      </c>
      <c r="K20" s="13"/>
      <c r="L20" s="13">
        <v>0</v>
      </c>
      <c r="M20" s="13" t="s">
        <v>97</v>
      </c>
      <c r="N20" s="13" t="s">
        <v>91</v>
      </c>
      <c r="O20" s="13">
        <v>0</v>
      </c>
      <c r="P20" s="11">
        <v>130</v>
      </c>
      <c r="Q20" s="12">
        <v>16.12</v>
      </c>
      <c r="R20" s="12">
        <v>1329.12</v>
      </c>
      <c r="S20" s="12">
        <v>0.09</v>
      </c>
      <c r="T20" s="12">
        <v>1.97</v>
      </c>
      <c r="U20" s="12">
        <v>0.18</v>
      </c>
      <c r="V20" s="12">
        <v>0.1</v>
      </c>
      <c r="W20" s="12">
        <v>0.06</v>
      </c>
      <c r="X20" s="12">
        <v>107</v>
      </c>
      <c r="Y20" s="12">
        <v>92</v>
      </c>
      <c r="Z20" s="12">
        <v>138</v>
      </c>
      <c r="AA20" s="12">
        <v>142</v>
      </c>
      <c r="AB20" s="12">
        <v>107</v>
      </c>
      <c r="AC20" s="12">
        <v>92</v>
      </c>
      <c r="AD20" s="12">
        <v>138</v>
      </c>
      <c r="AE20" s="12">
        <v>142</v>
      </c>
      <c r="AF20" s="13"/>
      <c r="AG20" s="13"/>
      <c r="AH20" s="13"/>
    </row>
    <row r="21" spans="1:34">
      <c r="A21" s="13" t="s">
        <v>87</v>
      </c>
      <c r="B21" s="13">
        <v>220029640</v>
      </c>
      <c r="C21" s="13" t="s">
        <v>88</v>
      </c>
      <c r="D21" s="13" t="s">
        <v>89</v>
      </c>
      <c r="E21" s="13">
        <v>400454000062</v>
      </c>
      <c r="F21" s="13" t="s">
        <v>90</v>
      </c>
      <c r="G21" s="13" t="s">
        <v>90</v>
      </c>
      <c r="H21" s="13" t="s">
        <v>91</v>
      </c>
      <c r="I21" s="13" t="s">
        <v>92</v>
      </c>
      <c r="J21" s="14" t="s">
        <v>93</v>
      </c>
      <c r="K21" s="13"/>
      <c r="L21" s="13">
        <v>0</v>
      </c>
      <c r="M21" s="13" t="s">
        <v>97</v>
      </c>
      <c r="N21" s="13" t="s">
        <v>91</v>
      </c>
      <c r="O21" s="13">
        <v>0</v>
      </c>
      <c r="P21" s="11">
        <v>135</v>
      </c>
      <c r="Q21" s="12">
        <v>16.989999999999998</v>
      </c>
      <c r="R21" s="12">
        <v>1329.201</v>
      </c>
      <c r="S21" s="12">
        <v>0.09</v>
      </c>
      <c r="T21" s="12">
        <v>2.0499999999999998</v>
      </c>
      <c r="U21" s="12">
        <v>0.18</v>
      </c>
      <c r="V21" s="12">
        <v>0.1</v>
      </c>
      <c r="W21" s="12">
        <v>0.06</v>
      </c>
      <c r="X21" s="12">
        <v>107</v>
      </c>
      <c r="Y21" s="12">
        <v>92</v>
      </c>
      <c r="Z21" s="12">
        <v>138</v>
      </c>
      <c r="AA21" s="12">
        <v>142</v>
      </c>
      <c r="AB21" s="12">
        <v>107</v>
      </c>
      <c r="AC21" s="12">
        <v>92</v>
      </c>
      <c r="AD21" s="12">
        <v>138</v>
      </c>
      <c r="AE21" s="12">
        <v>142</v>
      </c>
      <c r="AF21" s="13"/>
      <c r="AG21" s="13"/>
      <c r="AH21" s="13"/>
    </row>
    <row r="22" spans="1:34">
      <c r="A22" s="13" t="s">
        <v>87</v>
      </c>
      <c r="B22" s="13">
        <v>220029640</v>
      </c>
      <c r="C22" s="13" t="s">
        <v>88</v>
      </c>
      <c r="D22" s="13" t="s">
        <v>89</v>
      </c>
      <c r="E22" s="13">
        <v>400454000062</v>
      </c>
      <c r="F22" s="13" t="s">
        <v>90</v>
      </c>
      <c r="G22" s="13" t="s">
        <v>90</v>
      </c>
      <c r="H22" s="13" t="s">
        <v>91</v>
      </c>
      <c r="I22" s="13" t="s">
        <v>92</v>
      </c>
      <c r="J22" s="14" t="s">
        <v>93</v>
      </c>
      <c r="K22" s="13"/>
      <c r="L22" s="13">
        <v>0</v>
      </c>
      <c r="M22" s="13" t="s">
        <v>97</v>
      </c>
      <c r="N22" s="13" t="s">
        <v>91</v>
      </c>
      <c r="O22" s="13">
        <v>0</v>
      </c>
      <c r="P22" s="11">
        <v>140</v>
      </c>
      <c r="Q22" s="12">
        <v>17.829999999999998</v>
      </c>
      <c r="R22" s="12">
        <v>1329.2809999999999</v>
      </c>
      <c r="S22" s="12">
        <v>0.1</v>
      </c>
      <c r="T22" s="12">
        <v>2.04</v>
      </c>
      <c r="U22" s="12">
        <v>0.18</v>
      </c>
      <c r="V22" s="12">
        <v>0.1</v>
      </c>
      <c r="W22" s="12">
        <v>0.06</v>
      </c>
      <c r="X22" s="12">
        <v>107</v>
      </c>
      <c r="Y22" s="12">
        <v>92</v>
      </c>
      <c r="Z22" s="12">
        <v>138</v>
      </c>
      <c r="AA22" s="12">
        <v>143</v>
      </c>
      <c r="AB22" s="12">
        <v>107</v>
      </c>
      <c r="AC22" s="12">
        <v>92</v>
      </c>
      <c r="AD22" s="12">
        <v>138</v>
      </c>
      <c r="AE22" s="12">
        <v>143</v>
      </c>
      <c r="AF22" s="13"/>
      <c r="AG22" s="13"/>
      <c r="AH22" s="13"/>
    </row>
    <row r="23" spans="1:34">
      <c r="A23" s="13" t="s">
        <v>87</v>
      </c>
      <c r="B23" s="13">
        <v>220029640</v>
      </c>
      <c r="C23" s="13" t="s">
        <v>88</v>
      </c>
      <c r="D23" s="13" t="s">
        <v>89</v>
      </c>
      <c r="E23" s="13">
        <v>400454000062</v>
      </c>
      <c r="F23" s="13" t="s">
        <v>90</v>
      </c>
      <c r="G23" s="13" t="s">
        <v>90</v>
      </c>
      <c r="H23" s="13" t="s">
        <v>91</v>
      </c>
      <c r="I23" s="13" t="s">
        <v>92</v>
      </c>
      <c r="J23" s="14" t="s">
        <v>93</v>
      </c>
      <c r="K23" s="13"/>
      <c r="L23" s="13">
        <v>0</v>
      </c>
      <c r="M23" s="13" t="s">
        <v>97</v>
      </c>
      <c r="N23" s="13" t="s">
        <v>91</v>
      </c>
      <c r="O23" s="13">
        <v>0</v>
      </c>
      <c r="P23" s="11">
        <v>145</v>
      </c>
      <c r="Q23" s="12">
        <v>18.68</v>
      </c>
      <c r="R23" s="12">
        <v>1329.3589999999999</v>
      </c>
      <c r="S23" s="12">
        <v>0.09</v>
      </c>
      <c r="T23" s="12">
        <v>1.99</v>
      </c>
      <c r="U23" s="12">
        <v>0.18</v>
      </c>
      <c r="V23" s="12">
        <v>0.1</v>
      </c>
      <c r="W23" s="12">
        <v>0.06</v>
      </c>
      <c r="X23" s="12">
        <v>107</v>
      </c>
      <c r="Y23" s="12">
        <v>93</v>
      </c>
      <c r="Z23" s="12">
        <v>138</v>
      </c>
      <c r="AA23" s="12">
        <v>143</v>
      </c>
      <c r="AB23" s="12">
        <v>107</v>
      </c>
      <c r="AC23" s="12">
        <v>93</v>
      </c>
      <c r="AD23" s="12">
        <v>138</v>
      </c>
      <c r="AE23" s="12">
        <v>143</v>
      </c>
      <c r="AF23" s="13"/>
      <c r="AG23" s="13"/>
      <c r="AH23" s="13"/>
    </row>
    <row r="24" spans="1:34">
      <c r="A24" s="13" t="s">
        <v>87</v>
      </c>
      <c r="B24" s="13">
        <v>220029640</v>
      </c>
      <c r="C24" s="13" t="s">
        <v>88</v>
      </c>
      <c r="D24" s="13" t="s">
        <v>89</v>
      </c>
      <c r="E24" s="13">
        <v>400454000062</v>
      </c>
      <c r="F24" s="13" t="s">
        <v>90</v>
      </c>
      <c r="G24" s="13" t="s">
        <v>90</v>
      </c>
      <c r="H24" s="13" t="s">
        <v>91</v>
      </c>
      <c r="I24" s="13" t="s">
        <v>92</v>
      </c>
      <c r="J24" s="14" t="s">
        <v>93</v>
      </c>
      <c r="K24" s="13"/>
      <c r="L24" s="13">
        <v>0</v>
      </c>
      <c r="M24" s="13" t="s">
        <v>97</v>
      </c>
      <c r="N24" s="13" t="s">
        <v>91</v>
      </c>
      <c r="O24" s="13">
        <v>0</v>
      </c>
      <c r="P24" s="11">
        <v>150</v>
      </c>
      <c r="Q24" s="12">
        <v>19.5</v>
      </c>
      <c r="R24" s="12">
        <v>1329.4369999999999</v>
      </c>
      <c r="S24" s="12">
        <v>0.1</v>
      </c>
      <c r="T24" s="12">
        <v>2.0099999999999998</v>
      </c>
      <c r="U24" s="12">
        <v>0.18</v>
      </c>
      <c r="V24" s="12">
        <v>0.1</v>
      </c>
      <c r="W24" s="12">
        <v>0.06</v>
      </c>
      <c r="X24" s="12">
        <v>107</v>
      </c>
      <c r="Y24" s="12">
        <v>93</v>
      </c>
      <c r="Z24" s="12">
        <v>139</v>
      </c>
      <c r="AA24" s="12">
        <v>143</v>
      </c>
      <c r="AB24" s="12">
        <v>107</v>
      </c>
      <c r="AC24" s="12">
        <v>93</v>
      </c>
      <c r="AD24" s="12">
        <v>139</v>
      </c>
      <c r="AE24" s="12">
        <v>143</v>
      </c>
      <c r="AF24" s="13"/>
      <c r="AG24" s="13"/>
      <c r="AH24" s="13"/>
    </row>
    <row r="25" spans="1:34">
      <c r="A25" s="13" t="s">
        <v>87</v>
      </c>
      <c r="B25" s="13">
        <v>220029640</v>
      </c>
      <c r="C25" s="13" t="s">
        <v>88</v>
      </c>
      <c r="D25" s="13" t="s">
        <v>89</v>
      </c>
      <c r="E25" s="13">
        <v>400454000062</v>
      </c>
      <c r="F25" s="13" t="s">
        <v>90</v>
      </c>
      <c r="G25" s="13" t="s">
        <v>90</v>
      </c>
      <c r="H25" s="13" t="s">
        <v>91</v>
      </c>
      <c r="I25" s="13" t="s">
        <v>92</v>
      </c>
      <c r="J25" s="14" t="s">
        <v>93</v>
      </c>
      <c r="K25" s="13"/>
      <c r="L25" s="13">
        <v>0</v>
      </c>
      <c r="M25" s="13" t="s">
        <v>97</v>
      </c>
      <c r="N25" s="13" t="s">
        <v>91</v>
      </c>
      <c r="O25" s="13">
        <v>0</v>
      </c>
      <c r="P25" s="11">
        <v>155</v>
      </c>
      <c r="Q25" s="12">
        <v>20.36</v>
      </c>
      <c r="R25" s="12">
        <v>1329.5160000000001</v>
      </c>
      <c r="S25" s="12">
        <v>0.09</v>
      </c>
      <c r="T25" s="12">
        <v>2</v>
      </c>
      <c r="U25" s="12">
        <v>0.18</v>
      </c>
      <c r="V25" s="12">
        <v>0.1</v>
      </c>
      <c r="W25" s="12">
        <v>0.06</v>
      </c>
      <c r="X25" s="12">
        <v>107</v>
      </c>
      <c r="Y25" s="12">
        <v>93</v>
      </c>
      <c r="Z25" s="12">
        <v>139</v>
      </c>
      <c r="AA25" s="12">
        <v>144</v>
      </c>
      <c r="AB25" s="12">
        <v>107</v>
      </c>
      <c r="AC25" s="12">
        <v>93</v>
      </c>
      <c r="AD25" s="12">
        <v>139</v>
      </c>
      <c r="AE25" s="12">
        <v>144</v>
      </c>
      <c r="AF25" s="13"/>
      <c r="AG25" s="13"/>
      <c r="AH25" s="13"/>
    </row>
    <row r="26" spans="1:34">
      <c r="A26" s="13" t="s">
        <v>87</v>
      </c>
      <c r="B26" s="13">
        <v>220029640</v>
      </c>
      <c r="C26" s="13" t="s">
        <v>88</v>
      </c>
      <c r="D26" s="13" t="s">
        <v>89</v>
      </c>
      <c r="E26" s="13">
        <v>400454000062</v>
      </c>
      <c r="F26" s="13" t="s">
        <v>90</v>
      </c>
      <c r="G26" s="13" t="s">
        <v>90</v>
      </c>
      <c r="H26" s="13" t="s">
        <v>91</v>
      </c>
      <c r="I26" s="13" t="s">
        <v>92</v>
      </c>
      <c r="J26" s="14" t="s">
        <v>93</v>
      </c>
      <c r="K26" s="13"/>
      <c r="L26" s="13">
        <v>0</v>
      </c>
      <c r="M26" s="13" t="s">
        <v>97</v>
      </c>
      <c r="N26" s="13" t="s">
        <v>91</v>
      </c>
      <c r="O26" s="13">
        <v>0</v>
      </c>
      <c r="P26" s="11">
        <v>160</v>
      </c>
      <c r="Q26" s="12">
        <v>21.21</v>
      </c>
      <c r="R26" s="12">
        <v>1329.5920000000001</v>
      </c>
      <c r="S26" s="12">
        <v>0.09</v>
      </c>
      <c r="T26" s="12">
        <v>2.02</v>
      </c>
      <c r="U26" s="12">
        <v>0.18</v>
      </c>
      <c r="V26" s="12">
        <v>0.1</v>
      </c>
      <c r="W26" s="12">
        <v>0.06</v>
      </c>
      <c r="X26" s="12">
        <v>107</v>
      </c>
      <c r="Y26" s="12">
        <v>94</v>
      </c>
      <c r="Z26" s="12">
        <v>140</v>
      </c>
      <c r="AA26" s="12">
        <v>144</v>
      </c>
      <c r="AB26" s="12">
        <v>107</v>
      </c>
      <c r="AC26" s="12">
        <v>94</v>
      </c>
      <c r="AD26" s="12">
        <v>140</v>
      </c>
      <c r="AE26" s="12">
        <v>144</v>
      </c>
      <c r="AF26" s="13"/>
      <c r="AG26" s="13"/>
      <c r="AH26" s="13"/>
    </row>
    <row r="27" spans="1:34">
      <c r="A27" s="13" t="s">
        <v>87</v>
      </c>
      <c r="B27" s="13">
        <v>220029640</v>
      </c>
      <c r="C27" s="13" t="s">
        <v>88</v>
      </c>
      <c r="D27" s="13" t="s">
        <v>89</v>
      </c>
      <c r="E27" s="13">
        <v>400454000062</v>
      </c>
      <c r="F27" s="13" t="s">
        <v>90</v>
      </c>
      <c r="G27" s="13" t="s">
        <v>90</v>
      </c>
      <c r="H27" s="13" t="s">
        <v>91</v>
      </c>
      <c r="I27" s="13" t="s">
        <v>92</v>
      </c>
      <c r="J27" s="14" t="s">
        <v>93</v>
      </c>
      <c r="K27" s="13"/>
      <c r="L27" s="13">
        <v>0</v>
      </c>
      <c r="M27" s="13" t="s">
        <v>97</v>
      </c>
      <c r="N27" s="13" t="s">
        <v>91</v>
      </c>
      <c r="O27" s="13">
        <v>0</v>
      </c>
      <c r="P27" s="11">
        <v>165</v>
      </c>
      <c r="Q27" s="12">
        <v>22.08</v>
      </c>
      <c r="R27" s="12">
        <v>1329.671</v>
      </c>
      <c r="S27" s="12">
        <v>0.09</v>
      </c>
      <c r="T27" s="12">
        <v>2.0499999999999998</v>
      </c>
      <c r="U27" s="12">
        <v>0.18</v>
      </c>
      <c r="V27" s="12">
        <v>0.1</v>
      </c>
      <c r="W27" s="12">
        <v>0.06</v>
      </c>
      <c r="X27" s="12">
        <v>108</v>
      </c>
      <c r="Y27" s="12">
        <v>94</v>
      </c>
      <c r="Z27" s="12">
        <v>140</v>
      </c>
      <c r="AA27" s="12">
        <v>144</v>
      </c>
      <c r="AB27" s="12">
        <v>108</v>
      </c>
      <c r="AC27" s="12">
        <v>94</v>
      </c>
      <c r="AD27" s="12">
        <v>140</v>
      </c>
      <c r="AE27" s="12">
        <v>144</v>
      </c>
      <c r="AF27" s="13"/>
      <c r="AG27" s="13"/>
      <c r="AH27" s="13"/>
    </row>
    <row r="28" spans="1:34">
      <c r="A28" s="13" t="s">
        <v>87</v>
      </c>
      <c r="B28" s="13">
        <v>220029640</v>
      </c>
      <c r="C28" s="13" t="s">
        <v>88</v>
      </c>
      <c r="D28" s="13" t="s">
        <v>89</v>
      </c>
      <c r="E28" s="13">
        <v>400454000062</v>
      </c>
      <c r="F28" s="13" t="s">
        <v>90</v>
      </c>
      <c r="G28" s="13" t="s">
        <v>90</v>
      </c>
      <c r="H28" s="13" t="s">
        <v>91</v>
      </c>
      <c r="I28" s="13" t="s">
        <v>92</v>
      </c>
      <c r="J28" s="14" t="s">
        <v>93</v>
      </c>
      <c r="K28" s="13"/>
      <c r="L28" s="13">
        <v>0</v>
      </c>
      <c r="M28" s="13" t="s">
        <v>97</v>
      </c>
      <c r="N28" s="13" t="s">
        <v>91</v>
      </c>
      <c r="O28" s="13">
        <v>0</v>
      </c>
      <c r="P28" s="11">
        <v>170</v>
      </c>
      <c r="Q28" s="12">
        <v>22.97</v>
      </c>
      <c r="R28" s="12">
        <v>1329.751</v>
      </c>
      <c r="S28" s="12">
        <v>0.09</v>
      </c>
      <c r="T28" s="12">
        <v>2.04</v>
      </c>
      <c r="U28" s="12">
        <v>0.18</v>
      </c>
      <c r="V28" s="12">
        <v>0.1</v>
      </c>
      <c r="W28" s="12">
        <v>0.06</v>
      </c>
      <c r="X28" s="12">
        <v>108</v>
      </c>
      <c r="Y28" s="12">
        <v>95</v>
      </c>
      <c r="Z28" s="12">
        <v>141</v>
      </c>
      <c r="AA28" s="12">
        <v>145</v>
      </c>
      <c r="AB28" s="12">
        <v>108</v>
      </c>
      <c r="AC28" s="12">
        <v>95</v>
      </c>
      <c r="AD28" s="12">
        <v>141</v>
      </c>
      <c r="AE28" s="12">
        <v>145</v>
      </c>
      <c r="AF28" s="13"/>
      <c r="AG28" s="13"/>
      <c r="AH28" s="13"/>
    </row>
    <row r="29" spans="1:34">
      <c r="A29" s="13" t="s">
        <v>87</v>
      </c>
      <c r="B29" s="13">
        <v>220029640</v>
      </c>
      <c r="C29" s="13" t="s">
        <v>88</v>
      </c>
      <c r="D29" s="13" t="s">
        <v>89</v>
      </c>
      <c r="E29" s="13">
        <v>400454000062</v>
      </c>
      <c r="F29" s="13" t="s">
        <v>90</v>
      </c>
      <c r="G29" s="13" t="s">
        <v>90</v>
      </c>
      <c r="H29" s="13" t="s">
        <v>91</v>
      </c>
      <c r="I29" s="13" t="s">
        <v>92</v>
      </c>
      <c r="J29" s="14" t="s">
        <v>93</v>
      </c>
      <c r="K29" s="13"/>
      <c r="L29" s="13">
        <v>0</v>
      </c>
      <c r="M29" s="13" t="s">
        <v>97</v>
      </c>
      <c r="N29" s="13" t="s">
        <v>91</v>
      </c>
      <c r="O29" s="13">
        <v>0</v>
      </c>
      <c r="P29" s="11">
        <v>175</v>
      </c>
      <c r="Q29" s="12">
        <v>23.82</v>
      </c>
      <c r="R29" s="12">
        <v>1329.8330000000001</v>
      </c>
      <c r="S29" s="12">
        <v>0.1</v>
      </c>
      <c r="T29" s="12">
        <v>2</v>
      </c>
      <c r="U29" s="12">
        <v>0.18</v>
      </c>
      <c r="V29" s="12">
        <v>0.1</v>
      </c>
      <c r="W29" s="12">
        <v>0.06</v>
      </c>
      <c r="X29" s="12">
        <v>109</v>
      </c>
      <c r="Y29" s="12">
        <v>95</v>
      </c>
      <c r="Z29" s="12">
        <v>142</v>
      </c>
      <c r="AA29" s="12">
        <v>145</v>
      </c>
      <c r="AB29" s="12">
        <v>109</v>
      </c>
      <c r="AC29" s="12">
        <v>95</v>
      </c>
      <c r="AD29" s="12">
        <v>142</v>
      </c>
      <c r="AE29" s="12">
        <v>145</v>
      </c>
      <c r="AF29" s="13"/>
      <c r="AG29" s="13"/>
      <c r="AH29" s="13"/>
    </row>
    <row r="30" spans="1:34">
      <c r="A30" s="13" t="s">
        <v>87</v>
      </c>
      <c r="B30" s="13">
        <v>220029640</v>
      </c>
      <c r="C30" s="13" t="s">
        <v>88</v>
      </c>
      <c r="D30" s="13" t="s">
        <v>89</v>
      </c>
      <c r="E30" s="13">
        <v>400454000062</v>
      </c>
      <c r="F30" s="13" t="s">
        <v>90</v>
      </c>
      <c r="G30" s="13" t="s">
        <v>90</v>
      </c>
      <c r="H30" s="13" t="s">
        <v>91</v>
      </c>
      <c r="I30" s="13" t="s">
        <v>92</v>
      </c>
      <c r="J30" s="14" t="s">
        <v>93</v>
      </c>
      <c r="K30" s="13"/>
      <c r="L30" s="13">
        <v>0</v>
      </c>
      <c r="M30" s="13" t="s">
        <v>97</v>
      </c>
      <c r="N30" s="13" t="s">
        <v>91</v>
      </c>
      <c r="O30" s="13">
        <v>0</v>
      </c>
      <c r="P30" s="11">
        <v>180</v>
      </c>
      <c r="Q30" s="12">
        <v>24.62</v>
      </c>
      <c r="R30" s="12">
        <v>1329.913</v>
      </c>
      <c r="S30" s="12">
        <v>0.1</v>
      </c>
      <c r="T30" s="12">
        <v>1.99</v>
      </c>
      <c r="U30" s="12">
        <v>0.18</v>
      </c>
      <c r="V30" s="12">
        <v>0.1</v>
      </c>
      <c r="W30" s="12">
        <v>0.06</v>
      </c>
      <c r="X30" s="12">
        <v>109</v>
      </c>
      <c r="Y30" s="12">
        <v>95</v>
      </c>
      <c r="Z30" s="12">
        <v>142</v>
      </c>
      <c r="AA30" s="12">
        <v>145</v>
      </c>
      <c r="AB30" s="12">
        <v>109</v>
      </c>
      <c r="AC30" s="12">
        <v>95</v>
      </c>
      <c r="AD30" s="12">
        <v>142</v>
      </c>
      <c r="AE30" s="12">
        <v>145</v>
      </c>
      <c r="AF30" s="13"/>
      <c r="AG30" s="13"/>
      <c r="AH30" s="13"/>
    </row>
    <row r="31" spans="1:34">
      <c r="A31" s="13" t="s">
        <v>87</v>
      </c>
      <c r="B31" s="13">
        <v>220029640</v>
      </c>
      <c r="C31" s="13" t="s">
        <v>88</v>
      </c>
      <c r="D31" s="13" t="s">
        <v>89</v>
      </c>
      <c r="E31" s="13">
        <v>400454000062</v>
      </c>
      <c r="F31" s="13" t="s">
        <v>90</v>
      </c>
      <c r="G31" s="13" t="s">
        <v>90</v>
      </c>
      <c r="H31" s="13" t="s">
        <v>91</v>
      </c>
      <c r="I31" s="13" t="s">
        <v>92</v>
      </c>
      <c r="J31" s="14" t="s">
        <v>93</v>
      </c>
      <c r="K31" s="13"/>
      <c r="L31" s="13">
        <v>0</v>
      </c>
      <c r="M31" s="13" t="s">
        <v>97</v>
      </c>
      <c r="N31" s="13" t="s">
        <v>91</v>
      </c>
      <c r="O31" s="13">
        <v>0</v>
      </c>
      <c r="P31" s="11">
        <v>185</v>
      </c>
      <c r="Q31" s="12">
        <v>25.45</v>
      </c>
      <c r="R31" s="12">
        <v>1329.989</v>
      </c>
      <c r="S31" s="12">
        <v>0.09</v>
      </c>
      <c r="T31" s="12">
        <v>1.98</v>
      </c>
      <c r="U31" s="12">
        <v>0.18</v>
      </c>
      <c r="V31" s="12">
        <v>0.1</v>
      </c>
      <c r="W31" s="12">
        <v>0.06</v>
      </c>
      <c r="X31" s="12">
        <v>109</v>
      </c>
      <c r="Y31" s="12">
        <v>96</v>
      </c>
      <c r="Z31" s="12">
        <v>143</v>
      </c>
      <c r="AA31" s="12">
        <v>146</v>
      </c>
      <c r="AB31" s="12">
        <v>109</v>
      </c>
      <c r="AC31" s="12">
        <v>96</v>
      </c>
      <c r="AD31" s="12">
        <v>143</v>
      </c>
      <c r="AE31" s="12">
        <v>146</v>
      </c>
      <c r="AF31" s="13"/>
      <c r="AG31" s="13"/>
      <c r="AH31" s="13"/>
    </row>
    <row r="32" spans="1:34">
      <c r="A32" s="13" t="s">
        <v>87</v>
      </c>
      <c r="B32" s="13">
        <v>220029640</v>
      </c>
      <c r="C32" s="13" t="s">
        <v>88</v>
      </c>
      <c r="D32" s="13" t="s">
        <v>89</v>
      </c>
      <c r="E32" s="13">
        <v>400454000062</v>
      </c>
      <c r="F32" s="13" t="s">
        <v>90</v>
      </c>
      <c r="G32" s="13" t="s">
        <v>90</v>
      </c>
      <c r="H32" s="13" t="s">
        <v>91</v>
      </c>
      <c r="I32" s="13" t="s">
        <v>92</v>
      </c>
      <c r="J32" s="14" t="s">
        <v>93</v>
      </c>
      <c r="K32" s="13"/>
      <c r="L32" s="13">
        <v>0</v>
      </c>
      <c r="M32" s="13" t="s">
        <v>97</v>
      </c>
      <c r="N32" s="13" t="s">
        <v>91</v>
      </c>
      <c r="O32" s="13">
        <v>0</v>
      </c>
      <c r="P32" s="11">
        <v>190</v>
      </c>
      <c r="Q32" s="12">
        <v>26.29</v>
      </c>
      <c r="R32" s="12">
        <v>1330.0640000000001</v>
      </c>
      <c r="S32" s="12">
        <v>0.09</v>
      </c>
      <c r="T32" s="12">
        <v>1.97</v>
      </c>
      <c r="U32" s="12">
        <v>0.18</v>
      </c>
      <c r="V32" s="12">
        <v>0.1</v>
      </c>
      <c r="W32" s="12">
        <v>0.06</v>
      </c>
      <c r="X32" s="12">
        <v>110</v>
      </c>
      <c r="Y32" s="12">
        <v>96</v>
      </c>
      <c r="Z32" s="12">
        <v>143</v>
      </c>
      <c r="AA32" s="12">
        <v>146</v>
      </c>
      <c r="AB32" s="12">
        <v>110</v>
      </c>
      <c r="AC32" s="12">
        <v>96</v>
      </c>
      <c r="AD32" s="12">
        <v>143</v>
      </c>
      <c r="AE32" s="12">
        <v>146</v>
      </c>
      <c r="AF32" s="13"/>
      <c r="AG32" s="13"/>
      <c r="AH32" s="13"/>
    </row>
    <row r="33" spans="1:34">
      <c r="A33" s="13" t="s">
        <v>87</v>
      </c>
      <c r="B33" s="13">
        <v>220029640</v>
      </c>
      <c r="C33" s="13" t="s">
        <v>88</v>
      </c>
      <c r="D33" s="13" t="s">
        <v>89</v>
      </c>
      <c r="E33" s="13">
        <v>400454000062</v>
      </c>
      <c r="F33" s="13" t="s">
        <v>90</v>
      </c>
      <c r="G33" s="13" t="s">
        <v>90</v>
      </c>
      <c r="H33" s="13" t="s">
        <v>91</v>
      </c>
      <c r="I33" s="13" t="s">
        <v>92</v>
      </c>
      <c r="J33" s="14" t="s">
        <v>93</v>
      </c>
      <c r="K33" s="13"/>
      <c r="L33" s="13">
        <v>0</v>
      </c>
      <c r="M33" s="13" t="s">
        <v>97</v>
      </c>
      <c r="N33" s="13" t="s">
        <v>91</v>
      </c>
      <c r="O33" s="13">
        <v>0</v>
      </c>
      <c r="P33" s="11">
        <v>195</v>
      </c>
      <c r="Q33" s="12">
        <v>27.11</v>
      </c>
      <c r="R33" s="12">
        <v>1330.14</v>
      </c>
      <c r="S33" s="12">
        <v>0.09</v>
      </c>
      <c r="T33" s="12">
        <v>1.97</v>
      </c>
      <c r="U33" s="12">
        <v>0.18</v>
      </c>
      <c r="V33" s="12">
        <v>0.1</v>
      </c>
      <c r="W33" s="12">
        <v>0.06</v>
      </c>
      <c r="X33" s="12">
        <v>111</v>
      </c>
      <c r="Y33" s="12">
        <v>97</v>
      </c>
      <c r="Z33" s="12">
        <v>144</v>
      </c>
      <c r="AA33" s="12">
        <v>147</v>
      </c>
      <c r="AB33" s="12">
        <v>111</v>
      </c>
      <c r="AC33" s="12">
        <v>97</v>
      </c>
      <c r="AD33" s="12">
        <v>144</v>
      </c>
      <c r="AE33" s="12">
        <v>147</v>
      </c>
      <c r="AF33" s="13"/>
      <c r="AG33" s="13"/>
      <c r="AH33" s="13"/>
    </row>
    <row r="34" spans="1:34">
      <c r="A34" s="13" t="s">
        <v>87</v>
      </c>
      <c r="B34" s="13">
        <v>220029640</v>
      </c>
      <c r="C34" s="13" t="s">
        <v>88</v>
      </c>
      <c r="D34" s="13" t="s">
        <v>89</v>
      </c>
      <c r="E34" s="13">
        <v>400454000062</v>
      </c>
      <c r="F34" s="13" t="s">
        <v>90</v>
      </c>
      <c r="G34" s="13" t="s">
        <v>90</v>
      </c>
      <c r="H34" s="13" t="s">
        <v>91</v>
      </c>
      <c r="I34" s="13" t="s">
        <v>92</v>
      </c>
      <c r="J34" s="14" t="s">
        <v>93</v>
      </c>
      <c r="K34" s="13"/>
      <c r="L34" s="13">
        <v>0</v>
      </c>
      <c r="M34" s="13" t="s">
        <v>97</v>
      </c>
      <c r="N34" s="13" t="s">
        <v>91</v>
      </c>
      <c r="O34" s="13">
        <v>0</v>
      </c>
      <c r="P34" s="11">
        <v>200</v>
      </c>
      <c r="Q34" s="12">
        <v>27.99</v>
      </c>
      <c r="R34" s="12">
        <v>1330.2180000000001</v>
      </c>
      <c r="S34" s="12">
        <v>0.09</v>
      </c>
      <c r="T34" s="12">
        <v>1.95</v>
      </c>
      <c r="U34" s="12">
        <v>0.18</v>
      </c>
      <c r="V34" s="12">
        <v>0.1</v>
      </c>
      <c r="W34" s="12">
        <v>0.06</v>
      </c>
      <c r="X34" s="12">
        <v>111</v>
      </c>
      <c r="Y34" s="12">
        <v>97</v>
      </c>
      <c r="Z34" s="12">
        <v>145</v>
      </c>
      <c r="AA34" s="12">
        <v>148</v>
      </c>
      <c r="AB34" s="12">
        <v>111</v>
      </c>
      <c r="AC34" s="12">
        <v>97</v>
      </c>
      <c r="AD34" s="12">
        <v>145</v>
      </c>
      <c r="AE34" s="12">
        <v>148</v>
      </c>
      <c r="AF34" s="13"/>
      <c r="AG34" s="13"/>
      <c r="AH34" s="13"/>
    </row>
    <row r="35" spans="1:34">
      <c r="A35" s="13" t="s">
        <v>87</v>
      </c>
      <c r="B35" s="13">
        <v>220029640</v>
      </c>
      <c r="C35" s="13" t="s">
        <v>88</v>
      </c>
      <c r="D35" s="13" t="s">
        <v>89</v>
      </c>
      <c r="E35" s="13">
        <v>400454000062</v>
      </c>
      <c r="F35" s="13" t="s">
        <v>90</v>
      </c>
      <c r="G35" s="13" t="s">
        <v>90</v>
      </c>
      <c r="H35" s="13" t="s">
        <v>91</v>
      </c>
      <c r="I35" s="13" t="s">
        <v>92</v>
      </c>
      <c r="J35" s="14" t="s">
        <v>93</v>
      </c>
      <c r="K35" s="13"/>
      <c r="L35" s="13">
        <v>0</v>
      </c>
      <c r="M35" s="13" t="s">
        <v>97</v>
      </c>
      <c r="N35" s="13" t="s">
        <v>91</v>
      </c>
      <c r="O35" s="13">
        <v>0</v>
      </c>
      <c r="P35" s="11">
        <v>205</v>
      </c>
      <c r="Q35" s="12">
        <v>28.8</v>
      </c>
      <c r="R35" s="12">
        <v>1330.2950000000001</v>
      </c>
      <c r="S35" s="12">
        <v>0.1</v>
      </c>
      <c r="T35" s="12">
        <v>1.87</v>
      </c>
      <c r="U35" s="12">
        <v>0.18</v>
      </c>
      <c r="V35" s="12">
        <v>0.1</v>
      </c>
      <c r="W35" s="12">
        <v>0.06</v>
      </c>
      <c r="X35" s="12">
        <v>111</v>
      </c>
      <c r="Y35" s="12">
        <v>98</v>
      </c>
      <c r="Z35" s="12">
        <v>145</v>
      </c>
      <c r="AA35" s="12">
        <v>148</v>
      </c>
      <c r="AB35" s="12">
        <v>111</v>
      </c>
      <c r="AC35" s="12">
        <v>98</v>
      </c>
      <c r="AD35" s="12">
        <v>145</v>
      </c>
      <c r="AE35" s="12">
        <v>148</v>
      </c>
      <c r="AF35" s="13"/>
      <c r="AG35" s="13"/>
      <c r="AH35" s="13"/>
    </row>
    <row r="36" spans="1:34">
      <c r="A36" s="13" t="s">
        <v>87</v>
      </c>
      <c r="B36" s="13">
        <v>220029640</v>
      </c>
      <c r="C36" s="13" t="s">
        <v>88</v>
      </c>
      <c r="D36" s="13" t="s">
        <v>89</v>
      </c>
      <c r="E36" s="13">
        <v>400454000062</v>
      </c>
      <c r="F36" s="13" t="s">
        <v>90</v>
      </c>
      <c r="G36" s="13" t="s">
        <v>90</v>
      </c>
      <c r="H36" s="13" t="s">
        <v>91</v>
      </c>
      <c r="I36" s="13" t="s">
        <v>92</v>
      </c>
      <c r="J36" s="14" t="s">
        <v>93</v>
      </c>
      <c r="K36" s="13"/>
      <c r="L36" s="13">
        <v>0</v>
      </c>
      <c r="M36" s="13" t="s">
        <v>97</v>
      </c>
      <c r="N36" s="13" t="s">
        <v>91</v>
      </c>
      <c r="O36" s="13">
        <v>0</v>
      </c>
      <c r="P36" s="11">
        <v>210</v>
      </c>
      <c r="Q36" s="12">
        <v>29.64</v>
      </c>
      <c r="R36" s="12">
        <v>1330.3710000000001</v>
      </c>
      <c r="S36" s="12">
        <v>0.09</v>
      </c>
      <c r="T36" s="12">
        <v>1.95</v>
      </c>
      <c r="U36" s="12">
        <v>0.18</v>
      </c>
      <c r="V36" s="12">
        <v>0.1</v>
      </c>
      <c r="W36" s="12">
        <v>0.06</v>
      </c>
      <c r="X36" s="12">
        <v>112</v>
      </c>
      <c r="Y36" s="12">
        <v>98</v>
      </c>
      <c r="Z36" s="12">
        <v>146</v>
      </c>
      <c r="AA36" s="12">
        <v>148</v>
      </c>
      <c r="AB36" s="12">
        <v>112</v>
      </c>
      <c r="AC36" s="12">
        <v>98</v>
      </c>
      <c r="AD36" s="12">
        <v>146</v>
      </c>
      <c r="AE36" s="12">
        <v>148</v>
      </c>
      <c r="AF36" s="13"/>
      <c r="AG36" s="13"/>
      <c r="AH36" s="13"/>
    </row>
    <row r="37" spans="1:34">
      <c r="A37" s="13" t="s">
        <v>87</v>
      </c>
      <c r="B37" s="13">
        <v>220029640</v>
      </c>
      <c r="C37" s="13" t="s">
        <v>88</v>
      </c>
      <c r="D37" s="13" t="s">
        <v>89</v>
      </c>
      <c r="E37" s="13">
        <v>400454000062</v>
      </c>
      <c r="F37" s="13" t="s">
        <v>90</v>
      </c>
      <c r="G37" s="13" t="s">
        <v>90</v>
      </c>
      <c r="H37" s="13" t="s">
        <v>91</v>
      </c>
      <c r="I37" s="13" t="s">
        <v>92</v>
      </c>
      <c r="J37" s="14" t="s">
        <v>93</v>
      </c>
      <c r="K37" s="13"/>
      <c r="L37" s="13">
        <v>0</v>
      </c>
      <c r="M37" s="13" t="s">
        <v>97</v>
      </c>
      <c r="N37" s="13" t="s">
        <v>91</v>
      </c>
      <c r="O37" s="13">
        <v>0</v>
      </c>
      <c r="P37" s="11">
        <v>215</v>
      </c>
      <c r="Q37" s="12">
        <v>30.49</v>
      </c>
      <c r="R37" s="12">
        <v>1330.4480000000001</v>
      </c>
      <c r="S37" s="12">
        <v>0.09</v>
      </c>
      <c r="T37" s="12">
        <v>1.96</v>
      </c>
      <c r="U37" s="12">
        <v>0.18</v>
      </c>
      <c r="V37" s="12">
        <v>0.1</v>
      </c>
      <c r="W37" s="12">
        <v>0.06</v>
      </c>
      <c r="X37" s="12">
        <v>113</v>
      </c>
      <c r="Y37" s="12">
        <v>99</v>
      </c>
      <c r="Z37" s="12">
        <v>146</v>
      </c>
      <c r="AA37" s="12">
        <v>149</v>
      </c>
      <c r="AB37" s="12">
        <v>113</v>
      </c>
      <c r="AC37" s="12">
        <v>99</v>
      </c>
      <c r="AD37" s="12">
        <v>146</v>
      </c>
      <c r="AE37" s="12">
        <v>149</v>
      </c>
      <c r="AF37" s="13"/>
      <c r="AG37" s="13"/>
      <c r="AH37" s="13"/>
    </row>
    <row r="38" spans="1:34">
      <c r="A38" s="13" t="s">
        <v>87</v>
      </c>
      <c r="B38" s="13">
        <v>220029640</v>
      </c>
      <c r="C38" s="13" t="s">
        <v>88</v>
      </c>
      <c r="D38" s="13" t="s">
        <v>89</v>
      </c>
      <c r="E38" s="13">
        <v>400454000062</v>
      </c>
      <c r="F38" s="13" t="s">
        <v>90</v>
      </c>
      <c r="G38" s="13" t="s">
        <v>90</v>
      </c>
      <c r="H38" s="13" t="s">
        <v>91</v>
      </c>
      <c r="I38" s="13" t="s">
        <v>92</v>
      </c>
      <c r="J38" s="14" t="s">
        <v>93</v>
      </c>
      <c r="K38" s="13"/>
      <c r="L38" s="13">
        <v>0</v>
      </c>
      <c r="M38" s="13" t="s">
        <v>97</v>
      </c>
      <c r="N38" s="13" t="s">
        <v>91</v>
      </c>
      <c r="O38" s="13">
        <v>0</v>
      </c>
      <c r="P38" s="11">
        <v>220</v>
      </c>
      <c r="Q38" s="12">
        <v>31.32</v>
      </c>
      <c r="R38" s="12">
        <v>1330.5239999999999</v>
      </c>
      <c r="S38" s="12">
        <v>0.09</v>
      </c>
      <c r="T38" s="12">
        <v>1.94</v>
      </c>
      <c r="U38" s="12">
        <v>0.18</v>
      </c>
      <c r="V38" s="12">
        <v>0.1</v>
      </c>
      <c r="W38" s="12">
        <v>0.06</v>
      </c>
      <c r="X38" s="12">
        <v>113</v>
      </c>
      <c r="Y38" s="12">
        <v>99</v>
      </c>
      <c r="Z38" s="12">
        <v>147</v>
      </c>
      <c r="AA38" s="12">
        <v>149</v>
      </c>
      <c r="AB38" s="12">
        <v>113</v>
      </c>
      <c r="AC38" s="12">
        <v>99</v>
      </c>
      <c r="AD38" s="12">
        <v>147</v>
      </c>
      <c r="AE38" s="12">
        <v>149</v>
      </c>
      <c r="AF38" s="13"/>
      <c r="AG38" s="13"/>
      <c r="AH38" s="13"/>
    </row>
    <row r="39" spans="1:34">
      <c r="A39" s="13" t="s">
        <v>87</v>
      </c>
      <c r="B39" s="13">
        <v>220029640</v>
      </c>
      <c r="C39" s="13" t="s">
        <v>88</v>
      </c>
      <c r="D39" s="13" t="s">
        <v>89</v>
      </c>
      <c r="E39" s="13">
        <v>400454000062</v>
      </c>
      <c r="F39" s="13" t="s">
        <v>90</v>
      </c>
      <c r="G39" s="13" t="s">
        <v>90</v>
      </c>
      <c r="H39" s="13" t="s">
        <v>91</v>
      </c>
      <c r="I39" s="13" t="s">
        <v>92</v>
      </c>
      <c r="J39" s="14" t="s">
        <v>93</v>
      </c>
      <c r="K39" s="13"/>
      <c r="L39" s="13">
        <v>0</v>
      </c>
      <c r="M39" s="13" t="s">
        <v>97</v>
      </c>
      <c r="N39" s="13" t="s">
        <v>91</v>
      </c>
      <c r="O39" s="13">
        <v>0</v>
      </c>
      <c r="P39" s="11">
        <v>225</v>
      </c>
      <c r="Q39" s="12">
        <v>32.159999999999997</v>
      </c>
      <c r="R39" s="12">
        <v>1330.6030000000001</v>
      </c>
      <c r="S39" s="12">
        <v>0.09</v>
      </c>
      <c r="T39" s="12">
        <v>1.93</v>
      </c>
      <c r="U39" s="12">
        <v>0.18</v>
      </c>
      <c r="V39" s="12">
        <v>0.1</v>
      </c>
      <c r="W39" s="12">
        <v>0.06</v>
      </c>
      <c r="X39" s="12">
        <v>114</v>
      </c>
      <c r="Y39" s="12">
        <v>100</v>
      </c>
      <c r="Z39" s="12">
        <v>147</v>
      </c>
      <c r="AA39" s="12">
        <v>150</v>
      </c>
      <c r="AB39" s="12">
        <v>114</v>
      </c>
      <c r="AC39" s="12">
        <v>100</v>
      </c>
      <c r="AD39" s="12">
        <v>147</v>
      </c>
      <c r="AE39" s="12">
        <v>150</v>
      </c>
      <c r="AF39" s="13"/>
      <c r="AG39" s="13"/>
      <c r="AH39" s="13"/>
    </row>
    <row r="40" spans="1:34">
      <c r="A40" s="13" t="s">
        <v>87</v>
      </c>
      <c r="B40" s="13">
        <v>220029640</v>
      </c>
      <c r="C40" s="13" t="s">
        <v>88</v>
      </c>
      <c r="D40" s="13" t="s">
        <v>89</v>
      </c>
      <c r="E40" s="13">
        <v>400454000062</v>
      </c>
      <c r="F40" s="13" t="s">
        <v>90</v>
      </c>
      <c r="G40" s="13" t="s">
        <v>90</v>
      </c>
      <c r="H40" s="13" t="s">
        <v>91</v>
      </c>
      <c r="I40" s="13" t="s">
        <v>92</v>
      </c>
      <c r="J40" s="14" t="s">
        <v>93</v>
      </c>
      <c r="K40" s="13"/>
      <c r="L40" s="13">
        <v>0</v>
      </c>
      <c r="M40" s="13" t="s">
        <v>97</v>
      </c>
      <c r="N40" s="13" t="s">
        <v>91</v>
      </c>
      <c r="O40" s="13">
        <v>0</v>
      </c>
      <c r="P40" s="11">
        <v>230</v>
      </c>
      <c r="Q40" s="12">
        <v>33.01</v>
      </c>
      <c r="R40" s="12">
        <v>1330.681</v>
      </c>
      <c r="S40" s="12">
        <v>0.09</v>
      </c>
      <c r="T40" s="12">
        <v>1.95</v>
      </c>
      <c r="U40" s="12">
        <v>0.18</v>
      </c>
      <c r="V40" s="12">
        <v>0.1</v>
      </c>
      <c r="W40" s="12">
        <v>0.06</v>
      </c>
      <c r="X40" s="12">
        <v>115</v>
      </c>
      <c r="Y40" s="12">
        <v>101</v>
      </c>
      <c r="Z40" s="12">
        <v>148</v>
      </c>
      <c r="AA40" s="12">
        <v>151</v>
      </c>
      <c r="AB40" s="12">
        <v>115</v>
      </c>
      <c r="AC40" s="12">
        <v>101</v>
      </c>
      <c r="AD40" s="12">
        <v>148</v>
      </c>
      <c r="AE40" s="12">
        <v>151</v>
      </c>
      <c r="AF40" s="13"/>
      <c r="AG40" s="13"/>
      <c r="AH40" s="13"/>
    </row>
    <row r="41" spans="1:34">
      <c r="A41" s="13" t="s">
        <v>87</v>
      </c>
      <c r="B41" s="13">
        <v>220029640</v>
      </c>
      <c r="C41" s="13" t="s">
        <v>88</v>
      </c>
      <c r="D41" s="13" t="s">
        <v>89</v>
      </c>
      <c r="E41" s="13">
        <v>400454000062</v>
      </c>
      <c r="F41" s="13" t="s">
        <v>90</v>
      </c>
      <c r="G41" s="13" t="s">
        <v>90</v>
      </c>
      <c r="H41" s="13" t="s">
        <v>91</v>
      </c>
      <c r="I41" s="13" t="s">
        <v>92</v>
      </c>
      <c r="J41" s="14" t="s">
        <v>93</v>
      </c>
      <c r="K41" s="13"/>
      <c r="L41" s="13">
        <v>0</v>
      </c>
      <c r="M41" s="13" t="s">
        <v>97</v>
      </c>
      <c r="N41" s="13" t="s">
        <v>91</v>
      </c>
      <c r="O41" s="13">
        <v>0</v>
      </c>
      <c r="P41" s="11">
        <v>235</v>
      </c>
      <c r="Q41" s="12">
        <v>33.840000000000003</v>
      </c>
      <c r="R41" s="12">
        <v>1330.758</v>
      </c>
      <c r="S41" s="12">
        <v>0.09</v>
      </c>
      <c r="T41" s="12">
        <v>1.95</v>
      </c>
      <c r="U41" s="12">
        <v>0.18</v>
      </c>
      <c r="V41" s="12">
        <v>0.1</v>
      </c>
      <c r="W41" s="12">
        <v>0.06</v>
      </c>
      <c r="X41" s="12">
        <v>115</v>
      </c>
      <c r="Y41" s="12">
        <v>101</v>
      </c>
      <c r="Z41" s="12">
        <v>148</v>
      </c>
      <c r="AA41" s="12">
        <v>151</v>
      </c>
      <c r="AB41" s="12">
        <v>115</v>
      </c>
      <c r="AC41" s="12">
        <v>101</v>
      </c>
      <c r="AD41" s="12">
        <v>148</v>
      </c>
      <c r="AE41" s="12">
        <v>151</v>
      </c>
      <c r="AF41" s="13"/>
      <c r="AG41" s="13"/>
      <c r="AH41" s="13"/>
    </row>
    <row r="42" spans="1:34">
      <c r="A42" s="13" t="s">
        <v>87</v>
      </c>
      <c r="B42" s="13">
        <v>220029640</v>
      </c>
      <c r="C42" s="13" t="s">
        <v>88</v>
      </c>
      <c r="D42" s="13" t="s">
        <v>89</v>
      </c>
      <c r="E42" s="13">
        <v>400454000062</v>
      </c>
      <c r="F42" s="13" t="s">
        <v>90</v>
      </c>
      <c r="G42" s="13" t="s">
        <v>90</v>
      </c>
      <c r="H42" s="13" t="s">
        <v>91</v>
      </c>
      <c r="I42" s="13" t="s">
        <v>92</v>
      </c>
      <c r="J42" s="14" t="s">
        <v>93</v>
      </c>
      <c r="K42" s="13"/>
      <c r="L42" s="13">
        <v>0</v>
      </c>
      <c r="M42" s="13" t="s">
        <v>97</v>
      </c>
      <c r="N42" s="13" t="s">
        <v>91</v>
      </c>
      <c r="O42" s="13">
        <v>0</v>
      </c>
      <c r="P42" s="11">
        <v>240</v>
      </c>
      <c r="Q42" s="12">
        <v>34.68</v>
      </c>
      <c r="R42" s="12">
        <v>1330.836</v>
      </c>
      <c r="S42" s="12">
        <v>0.09</v>
      </c>
      <c r="T42" s="12">
        <v>1.97</v>
      </c>
      <c r="U42" s="12">
        <v>0.18</v>
      </c>
      <c r="V42" s="12">
        <v>0.1</v>
      </c>
      <c r="W42" s="12">
        <v>0.06</v>
      </c>
      <c r="X42" s="12">
        <v>116</v>
      </c>
      <c r="Y42" s="12">
        <v>102</v>
      </c>
      <c r="Z42" s="12">
        <v>149</v>
      </c>
      <c r="AA42" s="12">
        <v>152</v>
      </c>
      <c r="AB42" s="12">
        <v>116</v>
      </c>
      <c r="AC42" s="12">
        <v>102</v>
      </c>
      <c r="AD42" s="12">
        <v>149</v>
      </c>
      <c r="AE42" s="12">
        <v>152</v>
      </c>
      <c r="AF42" s="13"/>
      <c r="AG42" s="13"/>
      <c r="AH42" s="13"/>
    </row>
    <row r="43" spans="1:34">
      <c r="A43" s="13" t="s">
        <v>87</v>
      </c>
      <c r="B43" s="13">
        <v>220029640</v>
      </c>
      <c r="C43" s="13" t="s">
        <v>88</v>
      </c>
      <c r="D43" s="13" t="s">
        <v>89</v>
      </c>
      <c r="E43" s="13">
        <v>400454000062</v>
      </c>
      <c r="F43" s="13" t="s">
        <v>90</v>
      </c>
      <c r="G43" s="13" t="s">
        <v>90</v>
      </c>
      <c r="H43" s="13" t="s">
        <v>91</v>
      </c>
      <c r="I43" s="13" t="s">
        <v>92</v>
      </c>
      <c r="J43" s="14" t="s">
        <v>93</v>
      </c>
      <c r="K43" s="13"/>
      <c r="L43" s="13">
        <v>0</v>
      </c>
      <c r="M43" s="13" t="s">
        <v>97</v>
      </c>
      <c r="N43" s="13" t="s">
        <v>91</v>
      </c>
      <c r="O43" s="13">
        <v>0</v>
      </c>
      <c r="P43" s="11">
        <v>245</v>
      </c>
      <c r="Q43" s="12">
        <v>35.54</v>
      </c>
      <c r="R43" s="12">
        <v>1330.915</v>
      </c>
      <c r="S43" s="12">
        <v>0.09</v>
      </c>
      <c r="T43" s="12">
        <v>1.99</v>
      </c>
      <c r="U43" s="12">
        <v>0.18</v>
      </c>
      <c r="V43" s="12">
        <v>0.1</v>
      </c>
      <c r="W43" s="12">
        <v>0.06</v>
      </c>
      <c r="X43" s="12">
        <v>116</v>
      </c>
      <c r="Y43" s="12">
        <v>103</v>
      </c>
      <c r="Z43" s="12">
        <v>150</v>
      </c>
      <c r="AA43" s="12">
        <v>153</v>
      </c>
      <c r="AB43" s="12">
        <v>116</v>
      </c>
      <c r="AC43" s="12">
        <v>103</v>
      </c>
      <c r="AD43" s="12">
        <v>150</v>
      </c>
      <c r="AE43" s="12">
        <v>153</v>
      </c>
      <c r="AF43" s="13"/>
      <c r="AG43" s="13"/>
      <c r="AH43" s="13"/>
    </row>
    <row r="44" spans="1:34">
      <c r="A44" s="13" t="s">
        <v>87</v>
      </c>
      <c r="B44" s="13">
        <v>220029640</v>
      </c>
      <c r="C44" s="13" t="s">
        <v>88</v>
      </c>
      <c r="D44" s="13" t="s">
        <v>89</v>
      </c>
      <c r="E44" s="13">
        <v>400454000062</v>
      </c>
      <c r="F44" s="13" t="s">
        <v>90</v>
      </c>
      <c r="G44" s="13" t="s">
        <v>90</v>
      </c>
      <c r="H44" s="13" t="s">
        <v>91</v>
      </c>
      <c r="I44" s="13" t="s">
        <v>92</v>
      </c>
      <c r="J44" s="14" t="s">
        <v>93</v>
      </c>
      <c r="K44" s="13"/>
      <c r="L44" s="13">
        <v>0</v>
      </c>
      <c r="M44" s="13" t="s">
        <v>97</v>
      </c>
      <c r="N44" s="13" t="s">
        <v>91</v>
      </c>
      <c r="O44" s="13">
        <v>0</v>
      </c>
      <c r="P44" s="11">
        <v>250</v>
      </c>
      <c r="Q44" s="12">
        <v>36.369999999999997</v>
      </c>
      <c r="R44" s="12">
        <v>1330.9939999999999</v>
      </c>
      <c r="S44" s="12">
        <v>0.1</v>
      </c>
      <c r="T44" s="12">
        <v>1.97</v>
      </c>
      <c r="U44" s="12">
        <v>0.18</v>
      </c>
      <c r="V44" s="12">
        <v>0.1</v>
      </c>
      <c r="W44" s="12">
        <v>0.06</v>
      </c>
      <c r="X44" s="12">
        <v>117</v>
      </c>
      <c r="Y44" s="12">
        <v>104</v>
      </c>
      <c r="Z44" s="12">
        <v>150</v>
      </c>
      <c r="AA44" s="12">
        <v>154</v>
      </c>
      <c r="AB44" s="12">
        <v>117</v>
      </c>
      <c r="AC44" s="12">
        <v>104</v>
      </c>
      <c r="AD44" s="12">
        <v>150</v>
      </c>
      <c r="AE44" s="12">
        <v>154</v>
      </c>
      <c r="AF44" s="13"/>
      <c r="AG44" s="13"/>
      <c r="AH44" s="13"/>
    </row>
    <row r="45" spans="1:34">
      <c r="A45" s="13" t="s">
        <v>87</v>
      </c>
      <c r="B45" s="13">
        <v>220029640</v>
      </c>
      <c r="C45" s="13" t="s">
        <v>88</v>
      </c>
      <c r="D45" s="13" t="s">
        <v>89</v>
      </c>
      <c r="E45" s="13">
        <v>400454000062</v>
      </c>
      <c r="F45" s="13" t="s">
        <v>90</v>
      </c>
      <c r="G45" s="13" t="s">
        <v>90</v>
      </c>
      <c r="H45" s="13" t="s">
        <v>91</v>
      </c>
      <c r="I45" s="13" t="s">
        <v>92</v>
      </c>
      <c r="J45" s="14" t="s">
        <v>93</v>
      </c>
      <c r="K45" s="13"/>
      <c r="L45" s="13">
        <v>0</v>
      </c>
      <c r="M45" s="13" t="s">
        <v>97</v>
      </c>
      <c r="N45" s="13" t="s">
        <v>91</v>
      </c>
      <c r="O45" s="13">
        <v>0</v>
      </c>
      <c r="P45" s="11">
        <v>255</v>
      </c>
      <c r="Q45" s="12">
        <v>37.21</v>
      </c>
      <c r="R45" s="12">
        <v>1331.0730000000001</v>
      </c>
      <c r="S45" s="12">
        <v>0.09</v>
      </c>
      <c r="T45" s="12">
        <v>2.0099999999999998</v>
      </c>
      <c r="U45" s="12">
        <v>0.18</v>
      </c>
      <c r="V45" s="12">
        <v>0.1</v>
      </c>
      <c r="W45" s="12">
        <v>0.06</v>
      </c>
      <c r="X45" s="12">
        <v>118</v>
      </c>
      <c r="Y45" s="12">
        <v>104</v>
      </c>
      <c r="Z45" s="12">
        <v>151</v>
      </c>
      <c r="AA45" s="12">
        <v>154</v>
      </c>
      <c r="AB45" s="12">
        <v>118</v>
      </c>
      <c r="AC45" s="12">
        <v>104</v>
      </c>
      <c r="AD45" s="12">
        <v>151</v>
      </c>
      <c r="AE45" s="12">
        <v>154</v>
      </c>
      <c r="AF45" s="13"/>
      <c r="AG45" s="13"/>
      <c r="AH45" s="13"/>
    </row>
    <row r="46" spans="1:34">
      <c r="A46" s="13" t="s">
        <v>87</v>
      </c>
      <c r="B46" s="13">
        <v>220029640</v>
      </c>
      <c r="C46" s="13" t="s">
        <v>88</v>
      </c>
      <c r="D46" s="13" t="s">
        <v>89</v>
      </c>
      <c r="E46" s="13">
        <v>400454000062</v>
      </c>
      <c r="F46" s="13" t="s">
        <v>90</v>
      </c>
      <c r="G46" s="13" t="s">
        <v>90</v>
      </c>
      <c r="H46" s="13" t="s">
        <v>91</v>
      </c>
      <c r="I46" s="13" t="s">
        <v>92</v>
      </c>
      <c r="J46" s="14" t="s">
        <v>93</v>
      </c>
      <c r="K46" s="13"/>
      <c r="L46" s="13">
        <v>0</v>
      </c>
      <c r="M46" s="13" t="s">
        <v>97</v>
      </c>
      <c r="N46" s="13" t="s">
        <v>91</v>
      </c>
      <c r="O46" s="13">
        <v>0</v>
      </c>
      <c r="P46" s="11">
        <v>260</v>
      </c>
      <c r="Q46" s="12">
        <v>38.04</v>
      </c>
      <c r="R46" s="12">
        <v>1331.153</v>
      </c>
      <c r="S46" s="12">
        <v>0.1</v>
      </c>
      <c r="T46" s="12">
        <v>1.99</v>
      </c>
      <c r="U46" s="12">
        <v>0.18</v>
      </c>
      <c r="V46" s="12">
        <v>0.1</v>
      </c>
      <c r="W46" s="12">
        <v>0.06</v>
      </c>
      <c r="X46" s="12">
        <v>119</v>
      </c>
      <c r="Y46" s="12">
        <v>105</v>
      </c>
      <c r="Z46" s="12">
        <v>152</v>
      </c>
      <c r="AA46" s="12">
        <v>155</v>
      </c>
      <c r="AB46" s="12">
        <v>119</v>
      </c>
      <c r="AC46" s="12">
        <v>105</v>
      </c>
      <c r="AD46" s="12">
        <v>152</v>
      </c>
      <c r="AE46" s="12">
        <v>155</v>
      </c>
      <c r="AF46" s="13"/>
      <c r="AG46" s="13"/>
      <c r="AH46" s="13"/>
    </row>
    <row r="47" spans="1:34">
      <c r="A47" s="13" t="s">
        <v>87</v>
      </c>
      <c r="B47" s="13">
        <v>220029640</v>
      </c>
      <c r="C47" s="13" t="s">
        <v>88</v>
      </c>
      <c r="D47" s="13" t="s">
        <v>89</v>
      </c>
      <c r="E47" s="13">
        <v>400454000062</v>
      </c>
      <c r="F47" s="13" t="s">
        <v>90</v>
      </c>
      <c r="G47" s="13" t="s">
        <v>90</v>
      </c>
      <c r="H47" s="13" t="s">
        <v>91</v>
      </c>
      <c r="I47" s="13" t="s">
        <v>92</v>
      </c>
      <c r="J47" s="14" t="s">
        <v>93</v>
      </c>
      <c r="K47" s="13"/>
      <c r="L47" s="13">
        <v>0</v>
      </c>
      <c r="M47" s="13" t="s">
        <v>97</v>
      </c>
      <c r="N47" s="13" t="s">
        <v>91</v>
      </c>
      <c r="O47" s="13">
        <v>0</v>
      </c>
      <c r="P47" s="11">
        <v>265</v>
      </c>
      <c r="Q47" s="12">
        <v>38.9</v>
      </c>
      <c r="R47" s="12">
        <v>1331.2349999999999</v>
      </c>
      <c r="S47" s="12">
        <v>0.1</v>
      </c>
      <c r="T47" s="12">
        <v>1.95</v>
      </c>
      <c r="U47" s="12">
        <v>0.18</v>
      </c>
      <c r="V47" s="12">
        <v>0.1</v>
      </c>
      <c r="W47" s="12">
        <v>0.06</v>
      </c>
      <c r="X47" s="12">
        <v>119</v>
      </c>
      <c r="Y47" s="12">
        <v>106</v>
      </c>
      <c r="Z47" s="12">
        <v>153</v>
      </c>
      <c r="AA47" s="12">
        <v>156</v>
      </c>
      <c r="AB47" s="12">
        <v>119</v>
      </c>
      <c r="AC47" s="12">
        <v>106</v>
      </c>
      <c r="AD47" s="12">
        <v>153</v>
      </c>
      <c r="AE47" s="12">
        <v>156</v>
      </c>
      <c r="AF47" s="13"/>
      <c r="AG47" s="13"/>
      <c r="AH47" s="13"/>
    </row>
    <row r="48" spans="1:34">
      <c r="A48" s="13" t="s">
        <v>87</v>
      </c>
      <c r="B48" s="13">
        <v>220029640</v>
      </c>
      <c r="C48" s="13" t="s">
        <v>88</v>
      </c>
      <c r="D48" s="13" t="s">
        <v>89</v>
      </c>
      <c r="E48" s="13">
        <v>400454000062</v>
      </c>
      <c r="F48" s="13" t="s">
        <v>90</v>
      </c>
      <c r="G48" s="13" t="s">
        <v>90</v>
      </c>
      <c r="H48" s="13" t="s">
        <v>91</v>
      </c>
      <c r="I48" s="13" t="s">
        <v>92</v>
      </c>
      <c r="J48" s="14" t="s">
        <v>93</v>
      </c>
      <c r="K48" s="13"/>
      <c r="L48" s="13">
        <v>0</v>
      </c>
      <c r="M48" s="13" t="s">
        <v>97</v>
      </c>
      <c r="N48" s="13" t="s">
        <v>91</v>
      </c>
      <c r="O48" s="13">
        <v>0</v>
      </c>
      <c r="P48" s="11">
        <v>270</v>
      </c>
      <c r="Q48" s="12">
        <v>39.75</v>
      </c>
      <c r="R48" s="12">
        <v>1331.3140000000001</v>
      </c>
      <c r="S48" s="12">
        <v>0.09</v>
      </c>
      <c r="T48" s="12">
        <v>1.93</v>
      </c>
      <c r="U48" s="12">
        <v>0.18</v>
      </c>
      <c r="V48" s="12">
        <v>0.1</v>
      </c>
      <c r="W48" s="12">
        <v>0.06</v>
      </c>
      <c r="X48" s="12">
        <v>120</v>
      </c>
      <c r="Y48" s="12">
        <v>107</v>
      </c>
      <c r="Z48" s="12">
        <v>155</v>
      </c>
      <c r="AA48" s="12">
        <v>156</v>
      </c>
      <c r="AB48" s="12">
        <v>120</v>
      </c>
      <c r="AC48" s="12">
        <v>107</v>
      </c>
      <c r="AD48" s="12">
        <v>155</v>
      </c>
      <c r="AE48" s="12">
        <v>156</v>
      </c>
      <c r="AF48" s="13"/>
      <c r="AG48" s="13"/>
      <c r="AH48" s="13"/>
    </row>
    <row r="49" spans="1:34">
      <c r="A49" s="13" t="s">
        <v>87</v>
      </c>
      <c r="B49" s="13">
        <v>220029640</v>
      </c>
      <c r="C49" s="13" t="s">
        <v>88</v>
      </c>
      <c r="D49" s="13" t="s">
        <v>89</v>
      </c>
      <c r="E49" s="13">
        <v>400454000062</v>
      </c>
      <c r="F49" s="13" t="s">
        <v>90</v>
      </c>
      <c r="G49" s="13" t="s">
        <v>90</v>
      </c>
      <c r="H49" s="13" t="s">
        <v>91</v>
      </c>
      <c r="I49" s="13" t="s">
        <v>92</v>
      </c>
      <c r="J49" s="14" t="s">
        <v>93</v>
      </c>
      <c r="K49" s="13"/>
      <c r="L49" s="13">
        <v>0</v>
      </c>
      <c r="M49" s="13" t="s">
        <v>97</v>
      </c>
      <c r="N49" s="13" t="s">
        <v>91</v>
      </c>
      <c r="O49" s="13">
        <v>0</v>
      </c>
      <c r="P49" s="11">
        <v>275</v>
      </c>
      <c r="Q49" s="12">
        <v>40.58</v>
      </c>
      <c r="R49" s="12">
        <v>1331.393</v>
      </c>
      <c r="S49" s="12">
        <v>0.1</v>
      </c>
      <c r="T49" s="12">
        <v>1.93</v>
      </c>
      <c r="U49" s="12">
        <v>0.18</v>
      </c>
      <c r="V49" s="12">
        <v>0.1</v>
      </c>
      <c r="W49" s="12">
        <v>0.06</v>
      </c>
      <c r="X49" s="12">
        <v>121</v>
      </c>
      <c r="Y49" s="12">
        <v>108</v>
      </c>
      <c r="Z49" s="12">
        <v>156</v>
      </c>
      <c r="AA49" s="12">
        <v>157</v>
      </c>
      <c r="AB49" s="12">
        <v>121</v>
      </c>
      <c r="AC49" s="12">
        <v>108</v>
      </c>
      <c r="AD49" s="12">
        <v>156</v>
      </c>
      <c r="AE49" s="12">
        <v>157</v>
      </c>
      <c r="AF49" s="13"/>
      <c r="AG49" s="13"/>
      <c r="AH49" s="13"/>
    </row>
    <row r="50" spans="1:34">
      <c r="A50" s="13" t="s">
        <v>87</v>
      </c>
      <c r="B50" s="13">
        <v>220029640</v>
      </c>
      <c r="C50" s="13" t="s">
        <v>88</v>
      </c>
      <c r="D50" s="13" t="s">
        <v>89</v>
      </c>
      <c r="E50" s="13">
        <v>400454000062</v>
      </c>
      <c r="F50" s="13" t="s">
        <v>90</v>
      </c>
      <c r="G50" s="13" t="s">
        <v>90</v>
      </c>
      <c r="H50" s="13" t="s">
        <v>91</v>
      </c>
      <c r="I50" s="13" t="s">
        <v>92</v>
      </c>
      <c r="J50" s="14" t="s">
        <v>93</v>
      </c>
      <c r="K50" s="13"/>
      <c r="L50" s="13">
        <v>0</v>
      </c>
      <c r="M50" s="13" t="s">
        <v>97</v>
      </c>
      <c r="N50" s="13" t="s">
        <v>91</v>
      </c>
      <c r="O50" s="13">
        <v>0</v>
      </c>
      <c r="P50" s="11">
        <v>280</v>
      </c>
      <c r="Q50" s="12">
        <v>41.42</v>
      </c>
      <c r="R50" s="12">
        <v>1331.472</v>
      </c>
      <c r="S50" s="12">
        <v>0.09</v>
      </c>
      <c r="T50" s="12">
        <v>1.85</v>
      </c>
      <c r="U50" s="12">
        <v>0.18</v>
      </c>
      <c r="V50" s="12">
        <v>0.1</v>
      </c>
      <c r="W50" s="12">
        <v>0.06</v>
      </c>
      <c r="X50" s="12">
        <v>122</v>
      </c>
      <c r="Y50" s="12">
        <v>108</v>
      </c>
      <c r="Z50" s="12">
        <v>157</v>
      </c>
      <c r="AA50" s="12">
        <v>158</v>
      </c>
      <c r="AB50" s="12">
        <v>122</v>
      </c>
      <c r="AC50" s="12">
        <v>108</v>
      </c>
      <c r="AD50" s="12">
        <v>157</v>
      </c>
      <c r="AE50" s="12">
        <v>158</v>
      </c>
      <c r="AF50" s="13"/>
      <c r="AG50" s="13"/>
      <c r="AH50" s="13"/>
    </row>
    <row r="51" spans="1:34">
      <c r="A51" s="13" t="s">
        <v>87</v>
      </c>
      <c r="B51" s="13">
        <v>220029640</v>
      </c>
      <c r="C51" s="13" t="s">
        <v>88</v>
      </c>
      <c r="D51" s="13" t="s">
        <v>89</v>
      </c>
      <c r="E51" s="13">
        <v>400454000062</v>
      </c>
      <c r="F51" s="13" t="s">
        <v>90</v>
      </c>
      <c r="G51" s="13" t="s">
        <v>90</v>
      </c>
      <c r="H51" s="13" t="s">
        <v>91</v>
      </c>
      <c r="I51" s="13" t="s">
        <v>92</v>
      </c>
      <c r="J51" s="14" t="s">
        <v>93</v>
      </c>
      <c r="K51" s="13"/>
      <c r="L51" s="13">
        <v>0</v>
      </c>
      <c r="M51" s="13" t="s">
        <v>97</v>
      </c>
      <c r="N51" s="13" t="s">
        <v>91</v>
      </c>
      <c r="O51" s="13">
        <v>0</v>
      </c>
      <c r="P51" s="11">
        <v>285</v>
      </c>
      <c r="Q51" s="12">
        <v>42.24</v>
      </c>
      <c r="R51" s="12">
        <v>1331.549</v>
      </c>
      <c r="S51" s="12">
        <v>0.09</v>
      </c>
      <c r="T51" s="12">
        <v>1.9</v>
      </c>
      <c r="U51" s="12">
        <v>0.18</v>
      </c>
      <c r="V51" s="12">
        <v>0.1</v>
      </c>
      <c r="W51" s="12">
        <v>0.06</v>
      </c>
      <c r="X51" s="12">
        <v>123</v>
      </c>
      <c r="Y51" s="12">
        <v>109</v>
      </c>
      <c r="Z51" s="12">
        <v>158</v>
      </c>
      <c r="AA51" s="12">
        <v>159</v>
      </c>
      <c r="AB51" s="12">
        <v>123</v>
      </c>
      <c r="AC51" s="12">
        <v>109</v>
      </c>
      <c r="AD51" s="12">
        <v>158</v>
      </c>
      <c r="AE51" s="12">
        <v>159</v>
      </c>
      <c r="AF51" s="13"/>
      <c r="AG51" s="13"/>
      <c r="AH51" s="13"/>
    </row>
    <row r="52" spans="1:34">
      <c r="A52" s="13" t="s">
        <v>87</v>
      </c>
      <c r="B52" s="13">
        <v>220029640</v>
      </c>
      <c r="C52" s="13" t="s">
        <v>88</v>
      </c>
      <c r="D52" s="13" t="s">
        <v>89</v>
      </c>
      <c r="E52" s="13">
        <v>400454000062</v>
      </c>
      <c r="F52" s="13" t="s">
        <v>90</v>
      </c>
      <c r="G52" s="13" t="s">
        <v>90</v>
      </c>
      <c r="H52" s="13" t="s">
        <v>91</v>
      </c>
      <c r="I52" s="13" t="s">
        <v>92</v>
      </c>
      <c r="J52" s="14" t="s">
        <v>93</v>
      </c>
      <c r="K52" s="13"/>
      <c r="L52" s="13">
        <v>0</v>
      </c>
      <c r="M52" s="13" t="s">
        <v>97</v>
      </c>
      <c r="N52" s="13" t="s">
        <v>91</v>
      </c>
      <c r="O52" s="13">
        <v>0</v>
      </c>
      <c r="P52" s="11">
        <v>290</v>
      </c>
      <c r="Q52" s="12">
        <v>43.48</v>
      </c>
      <c r="R52" s="12">
        <v>1331.6289999999999</v>
      </c>
      <c r="S52" s="12">
        <v>0.06</v>
      </c>
      <c r="T52" s="12">
        <v>1.89</v>
      </c>
      <c r="U52" s="12">
        <v>0.18</v>
      </c>
      <c r="V52" s="12">
        <v>0.1</v>
      </c>
      <c r="W52" s="12">
        <v>0.06</v>
      </c>
      <c r="X52" s="12">
        <v>124</v>
      </c>
      <c r="Y52" s="12">
        <v>111</v>
      </c>
      <c r="Z52" s="12">
        <v>159</v>
      </c>
      <c r="AA52" s="12">
        <v>160</v>
      </c>
      <c r="AB52" s="12">
        <v>124</v>
      </c>
      <c r="AC52" s="12">
        <v>111</v>
      </c>
      <c r="AD52" s="12">
        <v>159</v>
      </c>
      <c r="AE52" s="12">
        <v>160</v>
      </c>
      <c r="AF52" s="13"/>
      <c r="AG52" s="13"/>
      <c r="AH52" s="13"/>
    </row>
    <row r="53" spans="1:34">
      <c r="A53" s="13" t="s">
        <v>87</v>
      </c>
      <c r="B53" s="13">
        <v>220029640</v>
      </c>
      <c r="C53" s="13" t="s">
        <v>88</v>
      </c>
      <c r="D53" s="13" t="s">
        <v>89</v>
      </c>
      <c r="E53" s="13">
        <v>400454000062</v>
      </c>
      <c r="F53" s="13" t="s">
        <v>90</v>
      </c>
      <c r="G53" s="13" t="s">
        <v>90</v>
      </c>
      <c r="H53" s="13" t="s">
        <v>91</v>
      </c>
      <c r="I53" s="13" t="s">
        <v>92</v>
      </c>
      <c r="J53" s="14" t="s">
        <v>93</v>
      </c>
      <c r="K53" s="13"/>
      <c r="L53" s="13">
        <v>0</v>
      </c>
      <c r="M53" s="13" t="s">
        <v>97</v>
      </c>
      <c r="N53" s="13" t="s">
        <v>91</v>
      </c>
      <c r="O53" s="13">
        <v>0</v>
      </c>
      <c r="P53" s="11">
        <v>295</v>
      </c>
      <c r="Q53" s="12">
        <v>44.27</v>
      </c>
      <c r="R53" s="12">
        <v>1331.768</v>
      </c>
      <c r="S53" s="12">
        <v>0.18</v>
      </c>
      <c r="T53" s="12">
        <v>1.91</v>
      </c>
      <c r="U53" s="12">
        <v>0.18</v>
      </c>
      <c r="V53" s="12">
        <v>0.1</v>
      </c>
      <c r="W53" s="12">
        <v>0.06</v>
      </c>
      <c r="X53" s="12">
        <v>125</v>
      </c>
      <c r="Y53" s="12">
        <v>112</v>
      </c>
      <c r="Z53" s="12">
        <v>160</v>
      </c>
      <c r="AA53" s="12">
        <v>161</v>
      </c>
      <c r="AB53" s="12">
        <v>125</v>
      </c>
      <c r="AC53" s="12">
        <v>112</v>
      </c>
      <c r="AD53" s="12">
        <v>160</v>
      </c>
      <c r="AE53" s="12">
        <v>161</v>
      </c>
      <c r="AF53" s="13"/>
      <c r="AG53" s="13"/>
      <c r="AH53" s="13"/>
    </row>
    <row r="54" spans="1:34">
      <c r="A54" s="13" t="s">
        <v>87</v>
      </c>
      <c r="B54" s="13">
        <v>220029640</v>
      </c>
      <c r="C54" s="13" t="s">
        <v>88</v>
      </c>
      <c r="D54" s="13" t="s">
        <v>89</v>
      </c>
      <c r="E54" s="13">
        <v>400454000062</v>
      </c>
      <c r="F54" s="13" t="s">
        <v>90</v>
      </c>
      <c r="G54" s="13" t="s">
        <v>90</v>
      </c>
      <c r="H54" s="13" t="s">
        <v>91</v>
      </c>
      <c r="I54" s="13" t="s">
        <v>92</v>
      </c>
      <c r="J54" s="14" t="s">
        <v>93</v>
      </c>
      <c r="K54" s="13"/>
      <c r="L54" s="13">
        <v>0</v>
      </c>
      <c r="M54" s="13" t="s">
        <v>97</v>
      </c>
      <c r="N54" s="13" t="s">
        <v>91</v>
      </c>
      <c r="O54" s="13">
        <v>0</v>
      </c>
      <c r="P54" s="11">
        <v>300</v>
      </c>
      <c r="Q54" s="12">
        <v>45.09</v>
      </c>
      <c r="R54" s="12">
        <v>1331.8240000000001</v>
      </c>
      <c r="S54" s="12">
        <v>7.0000000000000007E-2</v>
      </c>
      <c r="T54" s="12">
        <v>1.91</v>
      </c>
      <c r="U54" s="12">
        <v>0.18</v>
      </c>
      <c r="V54" s="12">
        <v>0.1</v>
      </c>
      <c r="W54" s="12">
        <v>0.06</v>
      </c>
      <c r="X54" s="12">
        <v>126</v>
      </c>
      <c r="Y54" s="12">
        <v>113</v>
      </c>
      <c r="Z54" s="12">
        <v>161</v>
      </c>
      <c r="AA54" s="12">
        <v>162</v>
      </c>
      <c r="AB54" s="12">
        <v>126</v>
      </c>
      <c r="AC54" s="12">
        <v>113</v>
      </c>
      <c r="AD54" s="12">
        <v>161</v>
      </c>
      <c r="AE54" s="12">
        <v>162</v>
      </c>
      <c r="AF54" s="13"/>
      <c r="AG54" s="13"/>
      <c r="AH54" s="13"/>
    </row>
    <row r="55" spans="1:34">
      <c r="A55" s="13" t="s">
        <v>87</v>
      </c>
      <c r="B55" s="13">
        <v>220029640</v>
      </c>
      <c r="C55" s="13" t="s">
        <v>88</v>
      </c>
      <c r="D55" s="13" t="s">
        <v>89</v>
      </c>
      <c r="E55" s="13">
        <v>400454000062</v>
      </c>
      <c r="F55" s="13" t="s">
        <v>90</v>
      </c>
      <c r="G55" s="13" t="s">
        <v>90</v>
      </c>
      <c r="H55" s="13" t="s">
        <v>91</v>
      </c>
      <c r="I55" s="13" t="s">
        <v>92</v>
      </c>
      <c r="J55" s="14" t="s">
        <v>93</v>
      </c>
      <c r="K55" s="13"/>
      <c r="L55" s="13">
        <v>0</v>
      </c>
      <c r="M55" s="13" t="s">
        <v>97</v>
      </c>
      <c r="N55" s="13" t="s">
        <v>91</v>
      </c>
      <c r="O55" s="13">
        <v>0</v>
      </c>
      <c r="P55" s="11">
        <v>305</v>
      </c>
      <c r="Q55" s="12">
        <v>45.94</v>
      </c>
      <c r="R55" s="12">
        <v>1331.905</v>
      </c>
      <c r="S55" s="12">
        <v>0.1</v>
      </c>
      <c r="T55" s="12">
        <v>1.9</v>
      </c>
      <c r="U55" s="12">
        <v>0.18</v>
      </c>
      <c r="V55" s="12">
        <v>0.1</v>
      </c>
      <c r="W55" s="12">
        <v>0.06</v>
      </c>
      <c r="X55" s="12">
        <v>127</v>
      </c>
      <c r="Y55" s="12">
        <v>114</v>
      </c>
      <c r="Z55" s="12">
        <v>162</v>
      </c>
      <c r="AA55" s="12">
        <v>163</v>
      </c>
      <c r="AB55" s="12">
        <v>127</v>
      </c>
      <c r="AC55" s="12">
        <v>114</v>
      </c>
      <c r="AD55" s="12">
        <v>162</v>
      </c>
      <c r="AE55" s="12">
        <v>163</v>
      </c>
      <c r="AF55" s="13"/>
      <c r="AG55" s="13"/>
      <c r="AH55" s="13"/>
    </row>
    <row r="56" spans="1:34">
      <c r="A56" s="13" t="s">
        <v>87</v>
      </c>
      <c r="B56" s="13">
        <v>220029640</v>
      </c>
      <c r="C56" s="13" t="s">
        <v>88</v>
      </c>
      <c r="D56" s="13" t="s">
        <v>89</v>
      </c>
      <c r="E56" s="13">
        <v>400454000062</v>
      </c>
      <c r="F56" s="13" t="s">
        <v>90</v>
      </c>
      <c r="G56" s="13" t="s">
        <v>90</v>
      </c>
      <c r="H56" s="13" t="s">
        <v>91</v>
      </c>
      <c r="I56" s="13" t="s">
        <v>92</v>
      </c>
      <c r="J56" s="14" t="s">
        <v>93</v>
      </c>
      <c r="K56" s="13"/>
      <c r="L56" s="13">
        <v>0</v>
      </c>
      <c r="M56" s="13" t="s">
        <v>97</v>
      </c>
      <c r="N56" s="13" t="s">
        <v>91</v>
      </c>
      <c r="O56" s="13">
        <v>0</v>
      </c>
      <c r="P56" s="11">
        <v>310</v>
      </c>
      <c r="Q56" s="12">
        <v>46.76</v>
      </c>
      <c r="R56" s="12">
        <v>1331.9870000000001</v>
      </c>
      <c r="S56" s="12">
        <v>0.1</v>
      </c>
      <c r="T56" s="12">
        <v>1.88</v>
      </c>
      <c r="U56" s="12">
        <v>0.18</v>
      </c>
      <c r="V56" s="12">
        <v>0.1</v>
      </c>
      <c r="W56" s="12">
        <v>0.06</v>
      </c>
      <c r="X56" s="12">
        <v>129</v>
      </c>
      <c r="Y56" s="12">
        <v>115</v>
      </c>
      <c r="Z56" s="12">
        <v>163</v>
      </c>
      <c r="AA56" s="12">
        <v>165</v>
      </c>
      <c r="AB56" s="12">
        <v>129</v>
      </c>
      <c r="AC56" s="12">
        <v>115</v>
      </c>
      <c r="AD56" s="12">
        <v>163</v>
      </c>
      <c r="AE56" s="12">
        <v>165</v>
      </c>
      <c r="AF56" s="13"/>
      <c r="AG56" s="13"/>
      <c r="AH56" s="13"/>
    </row>
    <row r="57" spans="1:34">
      <c r="A57" s="13" t="s">
        <v>87</v>
      </c>
      <c r="B57" s="13">
        <v>220029640</v>
      </c>
      <c r="C57" s="13" t="s">
        <v>88</v>
      </c>
      <c r="D57" s="13" t="s">
        <v>89</v>
      </c>
      <c r="E57" s="13">
        <v>400454000062</v>
      </c>
      <c r="F57" s="13" t="s">
        <v>90</v>
      </c>
      <c r="G57" s="13" t="s">
        <v>90</v>
      </c>
      <c r="H57" s="13" t="s">
        <v>91</v>
      </c>
      <c r="I57" s="13" t="s">
        <v>92</v>
      </c>
      <c r="J57" s="14" t="s">
        <v>93</v>
      </c>
      <c r="K57" s="13"/>
      <c r="L57" s="13">
        <v>0</v>
      </c>
      <c r="M57" s="13" t="s">
        <v>97</v>
      </c>
      <c r="N57" s="13" t="s">
        <v>91</v>
      </c>
      <c r="O57" s="13">
        <v>0</v>
      </c>
      <c r="P57" s="11">
        <v>315</v>
      </c>
      <c r="Q57" s="12">
        <v>47.6</v>
      </c>
      <c r="R57" s="12">
        <v>1332.069</v>
      </c>
      <c r="S57" s="12">
        <v>0.1</v>
      </c>
      <c r="T57" s="12">
        <v>1.82</v>
      </c>
      <c r="U57" s="12">
        <v>0.18</v>
      </c>
      <c r="V57" s="12">
        <v>0.1</v>
      </c>
      <c r="W57" s="12">
        <v>0.06</v>
      </c>
      <c r="X57" s="12">
        <v>130</v>
      </c>
      <c r="Y57" s="12">
        <v>116</v>
      </c>
      <c r="Z57" s="12">
        <v>164</v>
      </c>
      <c r="AA57" s="12">
        <v>166</v>
      </c>
      <c r="AB57" s="12">
        <v>130</v>
      </c>
      <c r="AC57" s="12">
        <v>116</v>
      </c>
      <c r="AD57" s="12">
        <v>164</v>
      </c>
      <c r="AE57" s="12">
        <v>166</v>
      </c>
      <c r="AF57" s="13"/>
      <c r="AG57" s="13"/>
      <c r="AH57" s="13"/>
    </row>
    <row r="58" spans="1:34">
      <c r="A58" s="13" t="s">
        <v>87</v>
      </c>
      <c r="B58" s="13">
        <v>220029640</v>
      </c>
      <c r="C58" s="13" t="s">
        <v>88</v>
      </c>
      <c r="D58" s="13" t="s">
        <v>89</v>
      </c>
      <c r="E58" s="13">
        <v>400454000062</v>
      </c>
      <c r="F58" s="13" t="s">
        <v>90</v>
      </c>
      <c r="G58" s="13" t="s">
        <v>90</v>
      </c>
      <c r="H58" s="13" t="s">
        <v>91</v>
      </c>
      <c r="I58" s="13" t="s">
        <v>92</v>
      </c>
      <c r="J58" s="14" t="s">
        <v>93</v>
      </c>
      <c r="K58" s="13"/>
      <c r="L58" s="13">
        <v>0</v>
      </c>
      <c r="M58" s="13" t="s">
        <v>97</v>
      </c>
      <c r="N58" s="13" t="s">
        <v>91</v>
      </c>
      <c r="O58" s="13">
        <v>0</v>
      </c>
      <c r="P58" s="11">
        <v>320</v>
      </c>
      <c r="Q58" s="12">
        <v>48.45</v>
      </c>
      <c r="R58" s="12">
        <v>1332.1469999999999</v>
      </c>
      <c r="S58" s="12">
        <v>0.09</v>
      </c>
      <c r="T58" s="12">
        <v>1.82</v>
      </c>
      <c r="U58" s="12">
        <v>0.18</v>
      </c>
      <c r="V58" s="12">
        <v>0.1</v>
      </c>
      <c r="W58" s="12">
        <v>0.06</v>
      </c>
      <c r="X58" s="12">
        <v>131</v>
      </c>
      <c r="Y58" s="12">
        <v>117</v>
      </c>
      <c r="Z58" s="12">
        <v>165</v>
      </c>
      <c r="AA58" s="12">
        <v>167</v>
      </c>
      <c r="AB58" s="12">
        <v>131</v>
      </c>
      <c r="AC58" s="12">
        <v>117</v>
      </c>
      <c r="AD58" s="12">
        <v>165</v>
      </c>
      <c r="AE58" s="12">
        <v>167</v>
      </c>
      <c r="AF58" s="13"/>
      <c r="AG58" s="13"/>
      <c r="AH58" s="13"/>
    </row>
    <row r="59" spans="1:34">
      <c r="A59" s="13" t="s">
        <v>87</v>
      </c>
      <c r="B59" s="13">
        <v>220029640</v>
      </c>
      <c r="C59" s="13" t="s">
        <v>88</v>
      </c>
      <c r="D59" s="13" t="s">
        <v>89</v>
      </c>
      <c r="E59" s="13">
        <v>400454000062</v>
      </c>
      <c r="F59" s="13" t="s">
        <v>90</v>
      </c>
      <c r="G59" s="13" t="s">
        <v>90</v>
      </c>
      <c r="H59" s="13" t="s">
        <v>91</v>
      </c>
      <c r="I59" s="13" t="s">
        <v>92</v>
      </c>
      <c r="J59" s="14" t="s">
        <v>93</v>
      </c>
      <c r="K59" s="13"/>
      <c r="L59" s="13">
        <v>0</v>
      </c>
      <c r="M59" s="13" t="s">
        <v>97</v>
      </c>
      <c r="N59" s="13" t="s">
        <v>91</v>
      </c>
      <c r="O59" s="13">
        <v>0</v>
      </c>
      <c r="P59" s="11">
        <v>325</v>
      </c>
      <c r="Q59" s="12">
        <v>49.28</v>
      </c>
      <c r="R59" s="12">
        <v>1332.2280000000001</v>
      </c>
      <c r="S59" s="12">
        <v>0.1</v>
      </c>
      <c r="T59" s="12">
        <v>1.81</v>
      </c>
      <c r="U59" s="12">
        <v>0.18</v>
      </c>
      <c r="V59" s="12">
        <v>0.1</v>
      </c>
      <c r="W59" s="12">
        <v>0.06</v>
      </c>
      <c r="X59" s="12">
        <v>132</v>
      </c>
      <c r="Y59" s="12">
        <v>118</v>
      </c>
      <c r="Z59" s="12">
        <v>166</v>
      </c>
      <c r="AA59" s="12">
        <v>168</v>
      </c>
      <c r="AB59" s="12">
        <v>132</v>
      </c>
      <c r="AC59" s="12">
        <v>118</v>
      </c>
      <c r="AD59" s="12">
        <v>166</v>
      </c>
      <c r="AE59" s="12">
        <v>168</v>
      </c>
      <c r="AF59" s="13"/>
      <c r="AG59" s="13"/>
      <c r="AH59" s="13"/>
    </row>
    <row r="60" spans="1:34">
      <c r="A60" s="13" t="s">
        <v>87</v>
      </c>
      <c r="B60" s="13">
        <v>220029640</v>
      </c>
      <c r="C60" s="13" t="s">
        <v>88</v>
      </c>
      <c r="D60" s="13" t="s">
        <v>89</v>
      </c>
      <c r="E60" s="13">
        <v>400454000062</v>
      </c>
      <c r="F60" s="13" t="s">
        <v>90</v>
      </c>
      <c r="G60" s="13" t="s">
        <v>90</v>
      </c>
      <c r="H60" s="13" t="s">
        <v>91</v>
      </c>
      <c r="I60" s="13" t="s">
        <v>92</v>
      </c>
      <c r="J60" s="14" t="s">
        <v>93</v>
      </c>
      <c r="K60" s="13"/>
      <c r="L60" s="13">
        <v>0</v>
      </c>
      <c r="M60" s="13" t="s">
        <v>97</v>
      </c>
      <c r="N60" s="13" t="s">
        <v>91</v>
      </c>
      <c r="O60" s="13">
        <v>0</v>
      </c>
      <c r="P60" s="11">
        <v>330</v>
      </c>
      <c r="Q60" s="12">
        <v>50.12</v>
      </c>
      <c r="R60" s="12">
        <v>1332.309</v>
      </c>
      <c r="S60" s="12">
        <v>0.1</v>
      </c>
      <c r="T60" s="12">
        <v>1.83</v>
      </c>
      <c r="U60" s="12">
        <v>0.18</v>
      </c>
      <c r="V60" s="12">
        <v>0.1</v>
      </c>
      <c r="W60" s="12">
        <v>0.06</v>
      </c>
      <c r="X60" s="12">
        <v>134</v>
      </c>
      <c r="Y60" s="12">
        <v>120</v>
      </c>
      <c r="Z60" s="12">
        <v>167</v>
      </c>
      <c r="AA60" s="12">
        <v>169</v>
      </c>
      <c r="AB60" s="12">
        <v>134</v>
      </c>
      <c r="AC60" s="12">
        <v>120</v>
      </c>
      <c r="AD60" s="12">
        <v>167</v>
      </c>
      <c r="AE60" s="12">
        <v>169</v>
      </c>
      <c r="AF60" s="13"/>
      <c r="AG60" s="13"/>
      <c r="AH60" s="13"/>
    </row>
    <row r="61" spans="1:34">
      <c r="A61" s="13" t="s">
        <v>87</v>
      </c>
      <c r="B61" s="13">
        <v>220029640</v>
      </c>
      <c r="C61" s="13" t="s">
        <v>88</v>
      </c>
      <c r="D61" s="13" t="s">
        <v>89</v>
      </c>
      <c r="E61" s="13">
        <v>400454000062</v>
      </c>
      <c r="F61" s="13" t="s">
        <v>90</v>
      </c>
      <c r="G61" s="13" t="s">
        <v>90</v>
      </c>
      <c r="H61" s="13" t="s">
        <v>91</v>
      </c>
      <c r="I61" s="13" t="s">
        <v>92</v>
      </c>
      <c r="J61" s="14" t="s">
        <v>93</v>
      </c>
      <c r="K61" s="13"/>
      <c r="L61" s="13">
        <v>0</v>
      </c>
      <c r="M61" s="13" t="s">
        <v>97</v>
      </c>
      <c r="N61" s="13" t="s">
        <v>91</v>
      </c>
      <c r="O61" s="13">
        <v>0</v>
      </c>
      <c r="P61" s="11">
        <v>335</v>
      </c>
      <c r="Q61" s="12">
        <v>50.94</v>
      </c>
      <c r="R61" s="12">
        <v>1332.3879999999999</v>
      </c>
      <c r="S61" s="12">
        <v>0.1</v>
      </c>
      <c r="T61" s="12">
        <v>1.82</v>
      </c>
      <c r="U61" s="12">
        <v>0.18</v>
      </c>
      <c r="V61" s="12">
        <v>0.1</v>
      </c>
      <c r="W61" s="12">
        <v>0.06</v>
      </c>
      <c r="X61" s="12">
        <v>135</v>
      </c>
      <c r="Y61" s="12">
        <v>121</v>
      </c>
      <c r="Z61" s="12">
        <v>169</v>
      </c>
      <c r="AA61" s="12">
        <v>170</v>
      </c>
      <c r="AB61" s="12">
        <v>135</v>
      </c>
      <c r="AC61" s="12">
        <v>121</v>
      </c>
      <c r="AD61" s="12">
        <v>169</v>
      </c>
      <c r="AE61" s="12">
        <v>170</v>
      </c>
      <c r="AF61" s="13"/>
      <c r="AG61" s="13"/>
      <c r="AH61" s="13"/>
    </row>
    <row r="62" spans="1:34">
      <c r="A62" s="13" t="s">
        <v>87</v>
      </c>
      <c r="B62" s="13">
        <v>220029640</v>
      </c>
      <c r="C62" s="13" t="s">
        <v>88</v>
      </c>
      <c r="D62" s="13" t="s">
        <v>89</v>
      </c>
      <c r="E62" s="13">
        <v>400454000062</v>
      </c>
      <c r="F62" s="13" t="s">
        <v>90</v>
      </c>
      <c r="G62" s="13" t="s">
        <v>90</v>
      </c>
      <c r="H62" s="13" t="s">
        <v>91</v>
      </c>
      <c r="I62" s="13" t="s">
        <v>92</v>
      </c>
      <c r="J62" s="14" t="s">
        <v>93</v>
      </c>
      <c r="K62" s="13"/>
      <c r="L62" s="13">
        <v>0</v>
      </c>
      <c r="M62" s="13" t="s">
        <v>97</v>
      </c>
      <c r="N62" s="13" t="s">
        <v>91</v>
      </c>
      <c r="O62" s="13">
        <v>0</v>
      </c>
      <c r="P62" s="11">
        <v>340</v>
      </c>
      <c r="Q62" s="12">
        <v>51.77</v>
      </c>
      <c r="R62" s="12">
        <v>1332.4680000000001</v>
      </c>
      <c r="S62" s="12">
        <v>0.1</v>
      </c>
      <c r="T62" s="12">
        <v>1.78</v>
      </c>
      <c r="U62" s="12">
        <v>0.18</v>
      </c>
      <c r="V62" s="12">
        <v>0.1</v>
      </c>
      <c r="W62" s="12">
        <v>0.06</v>
      </c>
      <c r="X62" s="12">
        <v>137</v>
      </c>
      <c r="Y62" s="12">
        <v>122</v>
      </c>
      <c r="Z62" s="12">
        <v>170</v>
      </c>
      <c r="AA62" s="12">
        <v>171</v>
      </c>
      <c r="AB62" s="12">
        <v>137</v>
      </c>
      <c r="AC62" s="12">
        <v>122</v>
      </c>
      <c r="AD62" s="12">
        <v>170</v>
      </c>
      <c r="AE62" s="12">
        <v>171</v>
      </c>
      <c r="AF62" s="13"/>
      <c r="AG62" s="13"/>
      <c r="AH62" s="13"/>
    </row>
    <row r="63" spans="1:34">
      <c r="A63" s="13" t="s">
        <v>87</v>
      </c>
      <c r="B63" s="13">
        <v>220029640</v>
      </c>
      <c r="C63" s="13" t="s">
        <v>88</v>
      </c>
      <c r="D63" s="13" t="s">
        <v>89</v>
      </c>
      <c r="E63" s="13">
        <v>400454000062</v>
      </c>
      <c r="F63" s="13" t="s">
        <v>90</v>
      </c>
      <c r="G63" s="13" t="s">
        <v>90</v>
      </c>
      <c r="H63" s="13" t="s">
        <v>91</v>
      </c>
      <c r="I63" s="13" t="s">
        <v>92</v>
      </c>
      <c r="J63" s="14" t="s">
        <v>93</v>
      </c>
      <c r="K63" s="13"/>
      <c r="L63" s="13">
        <v>0</v>
      </c>
      <c r="M63" s="13" t="s">
        <v>97</v>
      </c>
      <c r="N63" s="13" t="s">
        <v>91</v>
      </c>
      <c r="O63" s="13">
        <v>0</v>
      </c>
      <c r="P63" s="11">
        <v>345</v>
      </c>
      <c r="Q63" s="12">
        <v>52.62</v>
      </c>
      <c r="R63" s="12">
        <v>1332.549</v>
      </c>
      <c r="S63" s="12">
        <v>0.1</v>
      </c>
      <c r="T63" s="12">
        <v>1.77</v>
      </c>
      <c r="U63" s="12">
        <v>0.18</v>
      </c>
      <c r="V63" s="12">
        <v>0.1</v>
      </c>
      <c r="W63" s="12">
        <v>0.06</v>
      </c>
      <c r="X63" s="12">
        <v>138</v>
      </c>
      <c r="Y63" s="12">
        <v>124</v>
      </c>
      <c r="Z63" s="12">
        <v>171</v>
      </c>
      <c r="AA63" s="12">
        <v>173</v>
      </c>
      <c r="AB63" s="12">
        <v>138</v>
      </c>
      <c r="AC63" s="12">
        <v>124</v>
      </c>
      <c r="AD63" s="12">
        <v>171</v>
      </c>
      <c r="AE63" s="12">
        <v>173</v>
      </c>
      <c r="AF63" s="13"/>
      <c r="AG63" s="13"/>
      <c r="AH63" s="13"/>
    </row>
    <row r="64" spans="1:34">
      <c r="A64" s="13" t="s">
        <v>87</v>
      </c>
      <c r="B64" s="13">
        <v>220029640</v>
      </c>
      <c r="C64" s="13" t="s">
        <v>88</v>
      </c>
      <c r="D64" s="13" t="s">
        <v>89</v>
      </c>
      <c r="E64" s="13">
        <v>400454000062</v>
      </c>
      <c r="F64" s="13" t="s">
        <v>90</v>
      </c>
      <c r="G64" s="13" t="s">
        <v>90</v>
      </c>
      <c r="H64" s="13" t="s">
        <v>91</v>
      </c>
      <c r="I64" s="13" t="s">
        <v>92</v>
      </c>
      <c r="J64" s="14" t="s">
        <v>93</v>
      </c>
      <c r="K64" s="13"/>
      <c r="L64" s="13">
        <v>0</v>
      </c>
      <c r="M64" s="13" t="s">
        <v>97</v>
      </c>
      <c r="N64" s="13" t="s">
        <v>91</v>
      </c>
      <c r="O64" s="13">
        <v>0</v>
      </c>
      <c r="P64" s="11">
        <v>350</v>
      </c>
      <c r="Q64" s="12">
        <v>53.45</v>
      </c>
      <c r="R64" s="12">
        <v>1332.63</v>
      </c>
      <c r="S64" s="12">
        <v>0.1</v>
      </c>
      <c r="T64" s="12">
        <v>1.76</v>
      </c>
      <c r="U64" s="12">
        <v>0.18</v>
      </c>
      <c r="V64" s="12">
        <v>0.1</v>
      </c>
      <c r="W64" s="12">
        <v>0.06</v>
      </c>
      <c r="X64" s="12">
        <v>140</v>
      </c>
      <c r="Y64" s="12">
        <v>125</v>
      </c>
      <c r="Z64" s="12">
        <v>172</v>
      </c>
      <c r="AA64" s="12">
        <v>174</v>
      </c>
      <c r="AB64" s="12">
        <v>140</v>
      </c>
      <c r="AC64" s="12">
        <v>125</v>
      </c>
      <c r="AD64" s="12">
        <v>172</v>
      </c>
      <c r="AE64" s="12">
        <v>174</v>
      </c>
      <c r="AF64" s="13"/>
      <c r="AG64" s="13"/>
      <c r="AH64" s="13"/>
    </row>
    <row r="65" spans="1:34">
      <c r="A65" s="13" t="s">
        <v>87</v>
      </c>
      <c r="B65" s="13">
        <v>220029640</v>
      </c>
      <c r="C65" s="13" t="s">
        <v>88</v>
      </c>
      <c r="D65" s="13" t="s">
        <v>89</v>
      </c>
      <c r="E65" s="13">
        <v>400454000062</v>
      </c>
      <c r="F65" s="13" t="s">
        <v>90</v>
      </c>
      <c r="G65" s="13" t="s">
        <v>90</v>
      </c>
      <c r="H65" s="13" t="s">
        <v>91</v>
      </c>
      <c r="I65" s="13" t="s">
        <v>92</v>
      </c>
      <c r="J65" s="14" t="s">
        <v>93</v>
      </c>
      <c r="K65" s="13"/>
      <c r="L65" s="13">
        <v>0</v>
      </c>
      <c r="M65" s="13" t="s">
        <v>97</v>
      </c>
      <c r="N65" s="13" t="s">
        <v>91</v>
      </c>
      <c r="O65" s="13">
        <v>0</v>
      </c>
      <c r="P65" s="11">
        <v>355</v>
      </c>
      <c r="Q65" s="11">
        <v>54.29</v>
      </c>
      <c r="R65" s="11">
        <v>1332.71</v>
      </c>
      <c r="S65" s="11">
        <v>0.1</v>
      </c>
      <c r="T65" s="11">
        <v>1.75</v>
      </c>
      <c r="U65" s="11">
        <v>0.18</v>
      </c>
      <c r="V65" s="11">
        <v>0.1</v>
      </c>
      <c r="W65" s="11">
        <v>0.06</v>
      </c>
      <c r="X65" s="11">
        <v>142</v>
      </c>
      <c r="Y65" s="11">
        <v>127</v>
      </c>
      <c r="Z65" s="11">
        <v>174</v>
      </c>
      <c r="AA65" s="11">
        <v>175</v>
      </c>
      <c r="AB65" s="11">
        <v>142</v>
      </c>
      <c r="AC65" s="11">
        <v>127</v>
      </c>
      <c r="AD65" s="11">
        <v>174</v>
      </c>
      <c r="AE65" s="11">
        <v>175</v>
      </c>
      <c r="AF65" s="13"/>
      <c r="AG65" s="13"/>
      <c r="AH65" s="13"/>
    </row>
    <row r="66" spans="1:34">
      <c r="A66" s="13" t="s">
        <v>87</v>
      </c>
      <c r="B66" s="13">
        <v>220029640</v>
      </c>
      <c r="C66" s="13" t="s">
        <v>88</v>
      </c>
      <c r="D66" s="13" t="s">
        <v>89</v>
      </c>
      <c r="E66" s="13">
        <v>400454000062</v>
      </c>
      <c r="F66" s="13" t="s">
        <v>90</v>
      </c>
      <c r="G66" s="13" t="s">
        <v>90</v>
      </c>
      <c r="H66" s="13" t="s">
        <v>91</v>
      </c>
      <c r="I66" s="13" t="s">
        <v>92</v>
      </c>
      <c r="J66" s="14" t="s">
        <v>93</v>
      </c>
      <c r="K66" s="13"/>
      <c r="L66" s="13">
        <v>0</v>
      </c>
      <c r="M66" s="13" t="s">
        <v>97</v>
      </c>
      <c r="N66" s="13" t="s">
        <v>91</v>
      </c>
      <c r="O66" s="13">
        <v>0</v>
      </c>
      <c r="P66" s="11">
        <v>360</v>
      </c>
      <c r="Q66" s="11">
        <v>55.14</v>
      </c>
      <c r="R66" s="11">
        <v>1332.79</v>
      </c>
      <c r="S66" s="11">
        <v>0.09</v>
      </c>
      <c r="T66" s="11">
        <v>1.79</v>
      </c>
      <c r="U66" s="11">
        <v>0.18</v>
      </c>
      <c r="V66" s="11">
        <v>0.1</v>
      </c>
      <c r="W66" s="11">
        <v>0.06</v>
      </c>
      <c r="X66" s="11">
        <v>143</v>
      </c>
      <c r="Y66" s="11">
        <v>129</v>
      </c>
      <c r="Z66" s="11">
        <v>176</v>
      </c>
      <c r="AA66" s="11">
        <v>177</v>
      </c>
      <c r="AB66" s="11">
        <v>143</v>
      </c>
      <c r="AC66" s="11">
        <v>129</v>
      </c>
      <c r="AD66" s="11">
        <v>176</v>
      </c>
      <c r="AE66" s="11">
        <v>177</v>
      </c>
      <c r="AF66" s="13"/>
      <c r="AG66" s="13"/>
      <c r="AH66" s="13"/>
    </row>
    <row r="67" spans="1:34">
      <c r="A67" s="13" t="s">
        <v>87</v>
      </c>
      <c r="B67" s="13">
        <v>220029640</v>
      </c>
      <c r="C67" s="13" t="s">
        <v>88</v>
      </c>
      <c r="D67" s="13" t="s">
        <v>89</v>
      </c>
      <c r="E67" s="13">
        <v>400454000062</v>
      </c>
      <c r="F67" s="13" t="s">
        <v>90</v>
      </c>
      <c r="G67" s="13" t="s">
        <v>90</v>
      </c>
      <c r="H67" s="13" t="s">
        <v>91</v>
      </c>
      <c r="I67" s="13" t="s">
        <v>92</v>
      </c>
      <c r="J67" s="14" t="s">
        <v>93</v>
      </c>
      <c r="K67" s="13"/>
      <c r="L67" s="13">
        <v>0</v>
      </c>
      <c r="M67" s="13" t="s">
        <v>97</v>
      </c>
      <c r="N67" s="13" t="s">
        <v>91</v>
      </c>
      <c r="O67" s="13">
        <v>0</v>
      </c>
      <c r="P67" s="11">
        <v>365</v>
      </c>
      <c r="Q67" s="11">
        <v>55.97</v>
      </c>
      <c r="R67" s="11">
        <v>1332.873</v>
      </c>
      <c r="S67" s="11">
        <v>0.1</v>
      </c>
      <c r="T67" s="11">
        <v>1.78</v>
      </c>
      <c r="U67" s="11">
        <v>0.18</v>
      </c>
      <c r="V67" s="11">
        <v>0.1</v>
      </c>
      <c r="W67" s="11">
        <v>0.06</v>
      </c>
      <c r="X67" s="11">
        <v>145</v>
      </c>
      <c r="Y67" s="11">
        <v>130</v>
      </c>
      <c r="Z67" s="11">
        <v>178</v>
      </c>
      <c r="AA67" s="11">
        <v>178</v>
      </c>
      <c r="AB67" s="11">
        <v>145</v>
      </c>
      <c r="AC67" s="11">
        <v>130</v>
      </c>
      <c r="AD67" s="11">
        <v>178</v>
      </c>
      <c r="AE67" s="11">
        <v>178</v>
      </c>
      <c r="AF67" s="13"/>
      <c r="AG67" s="13"/>
      <c r="AH67" s="13"/>
    </row>
    <row r="68" spans="1:34">
      <c r="A68" s="13" t="s">
        <v>87</v>
      </c>
      <c r="B68" s="13">
        <v>220029640</v>
      </c>
      <c r="C68" s="13" t="s">
        <v>88</v>
      </c>
      <c r="D68" s="13" t="s">
        <v>89</v>
      </c>
      <c r="E68" s="13">
        <v>400454000062</v>
      </c>
      <c r="F68" s="13" t="s">
        <v>90</v>
      </c>
      <c r="G68" s="13" t="s">
        <v>90</v>
      </c>
      <c r="H68" s="13" t="s">
        <v>91</v>
      </c>
      <c r="I68" s="13" t="s">
        <v>92</v>
      </c>
      <c r="J68" s="14" t="s">
        <v>93</v>
      </c>
      <c r="K68" s="13"/>
      <c r="L68" s="13">
        <v>0</v>
      </c>
      <c r="M68" s="13" t="s">
        <v>97</v>
      </c>
      <c r="N68" s="13" t="s">
        <v>91</v>
      </c>
      <c r="O68" s="13">
        <v>0</v>
      </c>
      <c r="P68" s="11">
        <v>370</v>
      </c>
      <c r="Q68" s="11">
        <v>56.81</v>
      </c>
      <c r="R68" s="11">
        <v>1332.953</v>
      </c>
      <c r="S68" s="11">
        <v>0.1</v>
      </c>
      <c r="T68" s="11">
        <v>1.77</v>
      </c>
      <c r="U68" s="11">
        <v>0.18</v>
      </c>
      <c r="V68" s="11">
        <v>0.1</v>
      </c>
      <c r="W68" s="11">
        <v>0.06</v>
      </c>
      <c r="X68" s="11">
        <v>147</v>
      </c>
      <c r="Y68" s="11">
        <v>132</v>
      </c>
      <c r="Z68" s="11">
        <v>179</v>
      </c>
      <c r="AA68" s="11">
        <v>180</v>
      </c>
      <c r="AB68" s="11">
        <v>147</v>
      </c>
      <c r="AC68" s="11">
        <v>132</v>
      </c>
      <c r="AD68" s="11">
        <v>179</v>
      </c>
      <c r="AE68" s="11">
        <v>180</v>
      </c>
      <c r="AF68" s="13"/>
      <c r="AG68" s="13"/>
      <c r="AH68" s="13"/>
    </row>
    <row r="69" spans="1:34">
      <c r="A69" s="13" t="s">
        <v>87</v>
      </c>
      <c r="B69" s="13">
        <v>220029640</v>
      </c>
      <c r="C69" s="13" t="s">
        <v>88</v>
      </c>
      <c r="D69" s="13" t="s">
        <v>89</v>
      </c>
      <c r="E69" s="13">
        <v>400454000062</v>
      </c>
      <c r="F69" s="13" t="s">
        <v>90</v>
      </c>
      <c r="G69" s="13" t="s">
        <v>90</v>
      </c>
      <c r="H69" s="13" t="s">
        <v>91</v>
      </c>
      <c r="I69" s="13" t="s">
        <v>92</v>
      </c>
      <c r="J69" s="14" t="s">
        <v>93</v>
      </c>
      <c r="K69" s="13"/>
      <c r="L69" s="13">
        <v>0</v>
      </c>
      <c r="M69" s="13" t="s">
        <v>97</v>
      </c>
      <c r="N69" s="13" t="s">
        <v>91</v>
      </c>
      <c r="O69" s="13">
        <v>0</v>
      </c>
      <c r="P69" s="11">
        <v>375</v>
      </c>
      <c r="Q69" s="11">
        <v>57.67</v>
      </c>
      <c r="R69" s="11">
        <v>1333.0319999999999</v>
      </c>
      <c r="S69" s="11">
        <v>0.09</v>
      </c>
      <c r="T69" s="11">
        <v>1.77</v>
      </c>
      <c r="U69" s="11">
        <v>0.18</v>
      </c>
      <c r="V69" s="11">
        <v>0.1</v>
      </c>
      <c r="W69" s="11">
        <v>0.06</v>
      </c>
      <c r="X69" s="11">
        <v>149</v>
      </c>
      <c r="Y69" s="11">
        <v>134</v>
      </c>
      <c r="Z69" s="11">
        <v>181</v>
      </c>
      <c r="AA69" s="11">
        <v>181</v>
      </c>
      <c r="AB69" s="11">
        <v>149</v>
      </c>
      <c r="AC69" s="11">
        <v>134</v>
      </c>
      <c r="AD69" s="11">
        <v>181</v>
      </c>
      <c r="AE69" s="11">
        <v>181</v>
      </c>
      <c r="AF69" s="13"/>
      <c r="AG69" s="13"/>
      <c r="AH69" s="13"/>
    </row>
    <row r="70" spans="1:34">
      <c r="A70" s="13" t="s">
        <v>87</v>
      </c>
      <c r="B70" s="13">
        <v>220029640</v>
      </c>
      <c r="C70" s="13" t="s">
        <v>88</v>
      </c>
      <c r="D70" s="13" t="s">
        <v>89</v>
      </c>
      <c r="E70" s="13">
        <v>400454000062</v>
      </c>
      <c r="F70" s="13" t="s">
        <v>90</v>
      </c>
      <c r="G70" s="13" t="s">
        <v>90</v>
      </c>
      <c r="H70" s="13" t="s">
        <v>91</v>
      </c>
      <c r="I70" s="13" t="s">
        <v>92</v>
      </c>
      <c r="J70" s="14" t="s">
        <v>93</v>
      </c>
      <c r="K70" s="13"/>
      <c r="L70" s="13">
        <v>0</v>
      </c>
      <c r="M70" s="13" t="s">
        <v>97</v>
      </c>
      <c r="N70" s="13" t="s">
        <v>91</v>
      </c>
      <c r="O70" s="13">
        <v>0</v>
      </c>
      <c r="P70" s="11">
        <v>380</v>
      </c>
      <c r="Q70" s="11">
        <v>58.45</v>
      </c>
      <c r="R70" s="11">
        <v>1333.1130000000001</v>
      </c>
      <c r="S70" s="11">
        <v>0.1</v>
      </c>
      <c r="T70" s="11">
        <v>1.72</v>
      </c>
      <c r="U70" s="11">
        <v>0.18</v>
      </c>
      <c r="V70" s="11">
        <v>0.1</v>
      </c>
      <c r="W70" s="11">
        <v>0.06</v>
      </c>
      <c r="X70" s="11">
        <v>150</v>
      </c>
      <c r="Y70" s="11">
        <v>136</v>
      </c>
      <c r="Z70" s="11">
        <v>183</v>
      </c>
      <c r="AA70" s="11">
        <v>183</v>
      </c>
      <c r="AB70" s="11">
        <v>150</v>
      </c>
      <c r="AC70" s="11">
        <v>136</v>
      </c>
      <c r="AD70" s="11">
        <v>183</v>
      </c>
      <c r="AE70" s="11">
        <v>183</v>
      </c>
      <c r="AF70" s="13"/>
      <c r="AG70" s="13"/>
      <c r="AH70" s="13"/>
    </row>
    <row r="71" spans="1:34">
      <c r="A71" s="13" t="s">
        <v>87</v>
      </c>
      <c r="B71" s="13">
        <v>220029640</v>
      </c>
      <c r="C71" s="13" t="s">
        <v>88</v>
      </c>
      <c r="D71" s="13" t="s">
        <v>89</v>
      </c>
      <c r="E71" s="13">
        <v>400454000062</v>
      </c>
      <c r="F71" s="13" t="s">
        <v>90</v>
      </c>
      <c r="G71" s="13" t="s">
        <v>90</v>
      </c>
      <c r="H71" s="13" t="s">
        <v>91</v>
      </c>
      <c r="I71" s="13" t="s">
        <v>92</v>
      </c>
      <c r="J71" s="14" t="s">
        <v>93</v>
      </c>
      <c r="K71" s="13"/>
      <c r="L71" s="13">
        <v>0</v>
      </c>
      <c r="M71" s="13" t="s">
        <v>97</v>
      </c>
      <c r="N71" s="13" t="s">
        <v>91</v>
      </c>
      <c r="O71" s="13">
        <v>0</v>
      </c>
      <c r="P71" s="11">
        <v>385</v>
      </c>
      <c r="Q71" s="11">
        <v>59.3</v>
      </c>
      <c r="R71" s="11">
        <v>1333.194</v>
      </c>
      <c r="S71" s="11">
        <v>0.1</v>
      </c>
      <c r="T71" s="11">
        <v>1.71</v>
      </c>
      <c r="U71" s="11">
        <v>0.18</v>
      </c>
      <c r="V71" s="11">
        <v>0.1</v>
      </c>
      <c r="W71" s="11">
        <v>0.06</v>
      </c>
      <c r="X71" s="11">
        <v>153</v>
      </c>
      <c r="Y71" s="11">
        <v>137</v>
      </c>
      <c r="Z71" s="11">
        <v>184</v>
      </c>
      <c r="AA71" s="11">
        <v>184</v>
      </c>
      <c r="AB71" s="11">
        <v>153</v>
      </c>
      <c r="AC71" s="11">
        <v>137</v>
      </c>
      <c r="AD71" s="11">
        <v>184</v>
      </c>
      <c r="AE71" s="11">
        <v>184</v>
      </c>
      <c r="AF71" s="13"/>
      <c r="AG71" s="13"/>
      <c r="AH71" s="13"/>
    </row>
    <row r="72" spans="1:34">
      <c r="A72" s="13" t="s">
        <v>87</v>
      </c>
      <c r="B72" s="13">
        <v>220029640</v>
      </c>
      <c r="C72" s="13" t="s">
        <v>88</v>
      </c>
      <c r="D72" s="13" t="s">
        <v>89</v>
      </c>
      <c r="E72" s="13">
        <v>400454000062</v>
      </c>
      <c r="F72" s="13" t="s">
        <v>90</v>
      </c>
      <c r="G72" s="13" t="s">
        <v>90</v>
      </c>
      <c r="H72" s="13" t="s">
        <v>91</v>
      </c>
      <c r="I72" s="13" t="s">
        <v>92</v>
      </c>
      <c r="J72" s="14" t="s">
        <v>93</v>
      </c>
      <c r="K72" s="13"/>
      <c r="L72" s="13">
        <v>0</v>
      </c>
      <c r="M72" s="13" t="s">
        <v>97</v>
      </c>
      <c r="N72" s="13" t="s">
        <v>91</v>
      </c>
      <c r="O72" s="13">
        <v>0</v>
      </c>
      <c r="P72" s="11">
        <v>390</v>
      </c>
      <c r="Q72" s="11">
        <v>60.16</v>
      </c>
      <c r="R72" s="11">
        <v>1333.2739999999999</v>
      </c>
      <c r="S72" s="11">
        <v>0.09</v>
      </c>
      <c r="T72" s="11">
        <v>1.78</v>
      </c>
      <c r="U72" s="11">
        <v>0.18</v>
      </c>
      <c r="V72" s="11">
        <v>0.1</v>
      </c>
      <c r="W72" s="11">
        <v>0.06</v>
      </c>
      <c r="X72" s="11">
        <v>155</v>
      </c>
      <c r="Y72" s="11">
        <v>139</v>
      </c>
      <c r="Z72" s="11">
        <v>186</v>
      </c>
      <c r="AA72" s="11">
        <v>186</v>
      </c>
      <c r="AB72" s="11">
        <v>155</v>
      </c>
      <c r="AC72" s="11">
        <v>139</v>
      </c>
      <c r="AD72" s="11">
        <v>186</v>
      </c>
      <c r="AE72" s="11">
        <v>186</v>
      </c>
      <c r="AF72" s="13"/>
      <c r="AG72" s="13"/>
      <c r="AH72" s="13"/>
    </row>
    <row r="73" spans="1:34">
      <c r="A73" s="13" t="s">
        <v>87</v>
      </c>
      <c r="B73" s="13">
        <v>220029640</v>
      </c>
      <c r="C73" s="13" t="s">
        <v>88</v>
      </c>
      <c r="D73" s="13" t="s">
        <v>89</v>
      </c>
      <c r="E73" s="13">
        <v>400454000062</v>
      </c>
      <c r="F73" s="13" t="s">
        <v>90</v>
      </c>
      <c r="G73" s="13" t="s">
        <v>90</v>
      </c>
      <c r="H73" s="13" t="s">
        <v>91</v>
      </c>
      <c r="I73" s="13" t="s">
        <v>92</v>
      </c>
      <c r="J73" s="14" t="s">
        <v>93</v>
      </c>
      <c r="K73" s="13"/>
      <c r="L73" s="13">
        <v>0</v>
      </c>
      <c r="M73" s="13" t="s">
        <v>97</v>
      </c>
      <c r="N73" s="13" t="s">
        <v>91</v>
      </c>
      <c r="O73" s="13">
        <v>0</v>
      </c>
      <c r="P73" s="11">
        <v>395</v>
      </c>
      <c r="Q73" s="11">
        <v>60.95</v>
      </c>
      <c r="R73" s="11">
        <v>1333.3610000000001</v>
      </c>
      <c r="S73" s="11">
        <v>0.11</v>
      </c>
      <c r="T73" s="11">
        <v>1.7</v>
      </c>
      <c r="U73" s="11">
        <v>0.18</v>
      </c>
      <c r="V73" s="11">
        <v>0.1</v>
      </c>
      <c r="W73" s="11">
        <v>0.06</v>
      </c>
      <c r="X73" s="11">
        <v>157</v>
      </c>
      <c r="Y73" s="11">
        <v>142</v>
      </c>
      <c r="Z73" s="11">
        <v>187</v>
      </c>
      <c r="AA73" s="11">
        <v>188</v>
      </c>
      <c r="AB73" s="11">
        <v>157</v>
      </c>
      <c r="AC73" s="11">
        <v>142</v>
      </c>
      <c r="AD73" s="11">
        <v>187</v>
      </c>
      <c r="AE73" s="11">
        <v>188</v>
      </c>
      <c r="AF73" s="13"/>
      <c r="AG73" s="13"/>
      <c r="AH73" s="13"/>
    </row>
    <row r="74" spans="1:34">
      <c r="A74" s="13" t="s">
        <v>87</v>
      </c>
      <c r="B74" s="13">
        <v>220029640</v>
      </c>
      <c r="C74" s="13" t="s">
        <v>88</v>
      </c>
      <c r="D74" s="13" t="s">
        <v>89</v>
      </c>
      <c r="E74" s="13">
        <v>400454000062</v>
      </c>
      <c r="F74" s="13" t="s">
        <v>90</v>
      </c>
      <c r="G74" s="13" t="s">
        <v>90</v>
      </c>
      <c r="H74" s="13" t="s">
        <v>91</v>
      </c>
      <c r="I74" s="13" t="s">
        <v>92</v>
      </c>
      <c r="J74" s="14" t="s">
        <v>93</v>
      </c>
      <c r="K74" s="13"/>
      <c r="L74" s="13">
        <v>0</v>
      </c>
      <c r="M74" s="13" t="s">
        <v>97</v>
      </c>
      <c r="N74" s="13" t="s">
        <v>91</v>
      </c>
      <c r="O74" s="13">
        <v>0</v>
      </c>
      <c r="P74" s="11">
        <v>400</v>
      </c>
      <c r="Q74" s="11">
        <v>61.75</v>
      </c>
      <c r="R74" s="11">
        <v>1333.443</v>
      </c>
      <c r="S74" s="11">
        <v>0.1</v>
      </c>
      <c r="T74" s="11">
        <v>1.77</v>
      </c>
      <c r="U74" s="11">
        <v>0.18</v>
      </c>
      <c r="V74" s="11">
        <v>0.1</v>
      </c>
      <c r="W74" s="11">
        <v>0.06</v>
      </c>
      <c r="X74" s="11">
        <v>160</v>
      </c>
      <c r="Y74" s="11">
        <v>144</v>
      </c>
      <c r="Z74" s="11">
        <v>189</v>
      </c>
      <c r="AA74" s="11">
        <v>190</v>
      </c>
      <c r="AB74" s="11">
        <v>160</v>
      </c>
      <c r="AC74" s="11">
        <v>144</v>
      </c>
      <c r="AD74" s="11">
        <v>189</v>
      </c>
      <c r="AE74" s="11">
        <v>190</v>
      </c>
      <c r="AF74" s="13"/>
      <c r="AG74" s="13"/>
      <c r="AH74" s="13"/>
    </row>
    <row r="75" spans="1:34">
      <c r="A75" s="13" t="s">
        <v>87</v>
      </c>
      <c r="B75" s="13">
        <v>220029640</v>
      </c>
      <c r="C75" s="13" t="s">
        <v>88</v>
      </c>
      <c r="D75" s="13" t="s">
        <v>89</v>
      </c>
      <c r="E75" s="13">
        <v>400454000062</v>
      </c>
      <c r="F75" s="13" t="s">
        <v>90</v>
      </c>
      <c r="G75" s="13" t="s">
        <v>90</v>
      </c>
      <c r="H75" s="13" t="s">
        <v>91</v>
      </c>
      <c r="I75" s="13" t="s">
        <v>92</v>
      </c>
      <c r="J75" s="14" t="s">
        <v>93</v>
      </c>
      <c r="K75" s="13"/>
      <c r="L75" s="13">
        <v>0</v>
      </c>
      <c r="M75" s="13" t="s">
        <v>97</v>
      </c>
      <c r="N75" s="13" t="s">
        <v>91</v>
      </c>
      <c r="O75" s="13">
        <v>0</v>
      </c>
      <c r="P75" s="11">
        <v>405</v>
      </c>
      <c r="Q75" s="11">
        <v>62.57</v>
      </c>
      <c r="R75" s="11">
        <v>1333.528</v>
      </c>
      <c r="S75" s="11">
        <v>0.1</v>
      </c>
      <c r="T75" s="11">
        <v>1.72</v>
      </c>
      <c r="U75" s="11">
        <v>0.18</v>
      </c>
      <c r="V75" s="11">
        <v>0.1</v>
      </c>
      <c r="W75" s="11">
        <v>0.06</v>
      </c>
      <c r="X75" s="11">
        <v>162</v>
      </c>
      <c r="Y75" s="11">
        <v>146</v>
      </c>
      <c r="Z75" s="11">
        <v>191</v>
      </c>
      <c r="AA75" s="11">
        <v>191</v>
      </c>
      <c r="AB75" s="11">
        <v>162</v>
      </c>
      <c r="AC75" s="11">
        <v>146</v>
      </c>
      <c r="AD75" s="11">
        <v>191</v>
      </c>
      <c r="AE75" s="11">
        <v>191</v>
      </c>
      <c r="AF75" s="13"/>
      <c r="AG75" s="13"/>
      <c r="AH75" s="13"/>
    </row>
    <row r="76" spans="1:34">
      <c r="A76" s="13" t="s">
        <v>87</v>
      </c>
      <c r="B76" s="13">
        <v>220029640</v>
      </c>
      <c r="C76" s="13" t="s">
        <v>88</v>
      </c>
      <c r="D76" s="13" t="s">
        <v>89</v>
      </c>
      <c r="E76" s="13">
        <v>400454000062</v>
      </c>
      <c r="F76" s="13" t="s">
        <v>90</v>
      </c>
      <c r="G76" s="13" t="s">
        <v>90</v>
      </c>
      <c r="H76" s="13" t="s">
        <v>91</v>
      </c>
      <c r="I76" s="13" t="s">
        <v>92</v>
      </c>
      <c r="J76" s="14" t="s">
        <v>93</v>
      </c>
      <c r="K76" s="13"/>
      <c r="L76" s="13">
        <v>0</v>
      </c>
      <c r="M76" s="13" t="s">
        <v>97</v>
      </c>
      <c r="N76" s="13" t="s">
        <v>91</v>
      </c>
      <c r="O76" s="13">
        <v>0</v>
      </c>
      <c r="P76" s="11">
        <v>410</v>
      </c>
      <c r="Q76" s="11">
        <v>63.41</v>
      </c>
      <c r="R76" s="11">
        <v>1333.617</v>
      </c>
      <c r="S76" s="11">
        <v>0.11</v>
      </c>
      <c r="T76" s="11">
        <v>1.81</v>
      </c>
      <c r="U76" s="11">
        <v>0.18</v>
      </c>
      <c r="V76" s="11">
        <v>0.1</v>
      </c>
      <c r="W76" s="11">
        <v>0.06</v>
      </c>
      <c r="X76" s="11">
        <v>165</v>
      </c>
      <c r="Y76" s="11">
        <v>149</v>
      </c>
      <c r="Z76" s="11">
        <v>193</v>
      </c>
      <c r="AA76" s="11">
        <v>194</v>
      </c>
      <c r="AB76" s="11">
        <v>165</v>
      </c>
      <c r="AC76" s="11">
        <v>149</v>
      </c>
      <c r="AD76" s="11">
        <v>193</v>
      </c>
      <c r="AE76" s="11">
        <v>194</v>
      </c>
      <c r="AF76" s="13"/>
      <c r="AG76" s="13"/>
      <c r="AH76" s="13"/>
    </row>
    <row r="77" spans="1:34">
      <c r="A77" s="13" t="s">
        <v>87</v>
      </c>
      <c r="B77" s="13">
        <v>220029640</v>
      </c>
      <c r="C77" s="13" t="s">
        <v>88</v>
      </c>
      <c r="D77" s="13" t="s">
        <v>89</v>
      </c>
      <c r="E77" s="13">
        <v>400454000062</v>
      </c>
      <c r="F77" s="13" t="s">
        <v>90</v>
      </c>
      <c r="G77" s="13" t="s">
        <v>90</v>
      </c>
      <c r="H77" s="13" t="s">
        <v>91</v>
      </c>
      <c r="I77" s="13" t="s">
        <v>92</v>
      </c>
      <c r="J77" s="14" t="s">
        <v>93</v>
      </c>
      <c r="K77" s="13"/>
      <c r="L77" s="13">
        <v>0</v>
      </c>
      <c r="M77" s="13" t="s">
        <v>97</v>
      </c>
      <c r="N77" s="13" t="s">
        <v>91</v>
      </c>
      <c r="O77" s="13">
        <v>0</v>
      </c>
      <c r="P77" s="13">
        <v>415</v>
      </c>
      <c r="Q77" s="13">
        <v>64.27</v>
      </c>
      <c r="R77" s="13">
        <v>1333.7049999999999</v>
      </c>
      <c r="S77" s="13">
        <v>0.1</v>
      </c>
      <c r="T77" s="13">
        <v>1.82</v>
      </c>
      <c r="U77" s="13">
        <v>0.18</v>
      </c>
      <c r="V77" s="13">
        <v>0.1</v>
      </c>
      <c r="W77" s="13">
        <v>0.06</v>
      </c>
      <c r="X77" s="13">
        <v>168</v>
      </c>
      <c r="Y77" s="13">
        <v>151</v>
      </c>
      <c r="Z77" s="13">
        <v>196</v>
      </c>
      <c r="AA77" s="13">
        <v>196</v>
      </c>
      <c r="AB77" s="13">
        <v>168</v>
      </c>
      <c r="AC77" s="13">
        <v>151</v>
      </c>
      <c r="AD77" s="13">
        <v>196</v>
      </c>
      <c r="AE77" s="13">
        <v>196</v>
      </c>
      <c r="AF77" s="13"/>
      <c r="AG77" s="13"/>
      <c r="AH77" s="13"/>
    </row>
    <row r="78" spans="1:34">
      <c r="A78" s="13" t="s">
        <v>87</v>
      </c>
      <c r="B78" s="13">
        <v>220029640</v>
      </c>
      <c r="C78" s="13" t="s">
        <v>88</v>
      </c>
      <c r="D78" s="13" t="s">
        <v>89</v>
      </c>
      <c r="E78" s="13">
        <v>400454000062</v>
      </c>
      <c r="F78" s="13" t="s">
        <v>90</v>
      </c>
      <c r="G78" s="13" t="s">
        <v>90</v>
      </c>
      <c r="H78" s="13" t="s">
        <v>91</v>
      </c>
      <c r="I78" s="13" t="s">
        <v>92</v>
      </c>
      <c r="J78" s="14" t="s">
        <v>93</v>
      </c>
      <c r="K78" s="13"/>
      <c r="L78" s="13">
        <v>0</v>
      </c>
      <c r="M78" s="13" t="s">
        <v>97</v>
      </c>
      <c r="N78" s="13" t="s">
        <v>91</v>
      </c>
      <c r="O78" s="13">
        <v>0</v>
      </c>
      <c r="P78" s="13">
        <v>420</v>
      </c>
      <c r="Q78" s="13">
        <v>65.099999999999994</v>
      </c>
      <c r="R78" s="13">
        <v>1333.7919999999999</v>
      </c>
      <c r="S78" s="13">
        <v>0.1</v>
      </c>
      <c r="T78" s="13">
        <v>1.79</v>
      </c>
      <c r="U78" s="13">
        <v>0.18</v>
      </c>
      <c r="V78" s="13">
        <v>0.1</v>
      </c>
      <c r="W78" s="13">
        <v>0.06</v>
      </c>
      <c r="X78" s="13">
        <v>172</v>
      </c>
      <c r="Y78" s="13">
        <v>154</v>
      </c>
      <c r="Z78" s="13">
        <v>198</v>
      </c>
      <c r="AA78" s="13">
        <v>198</v>
      </c>
      <c r="AB78" s="13">
        <v>172</v>
      </c>
      <c r="AC78" s="13">
        <v>154</v>
      </c>
      <c r="AD78" s="13">
        <v>198</v>
      </c>
      <c r="AE78" s="13">
        <v>198</v>
      </c>
      <c r="AF78" s="13"/>
      <c r="AG78" s="13"/>
      <c r="AH78" s="13"/>
    </row>
    <row r="79" spans="1:34">
      <c r="A79" s="13" t="s">
        <v>87</v>
      </c>
      <c r="B79" s="13">
        <v>220029640</v>
      </c>
      <c r="C79" s="13" t="s">
        <v>88</v>
      </c>
      <c r="D79" s="13" t="s">
        <v>89</v>
      </c>
      <c r="E79" s="13">
        <v>400454000062</v>
      </c>
      <c r="F79" s="13" t="s">
        <v>90</v>
      </c>
      <c r="G79" s="13" t="s">
        <v>90</v>
      </c>
      <c r="H79" s="13" t="s">
        <v>91</v>
      </c>
      <c r="I79" s="13" t="s">
        <v>92</v>
      </c>
      <c r="J79" s="14" t="s">
        <v>93</v>
      </c>
      <c r="K79" s="13"/>
      <c r="L79" s="13">
        <v>0</v>
      </c>
      <c r="M79" s="13" t="s">
        <v>97</v>
      </c>
      <c r="N79" s="13" t="s">
        <v>91</v>
      </c>
      <c r="O79" s="13">
        <v>0</v>
      </c>
      <c r="P79" s="13">
        <v>425</v>
      </c>
      <c r="Q79" s="13">
        <v>65.89</v>
      </c>
      <c r="R79" s="13">
        <v>1333.8820000000001</v>
      </c>
      <c r="S79" s="13">
        <v>0.11</v>
      </c>
      <c r="T79" s="13">
        <v>1.72</v>
      </c>
      <c r="U79" s="13">
        <v>0.18</v>
      </c>
      <c r="V79" s="13">
        <v>0.1</v>
      </c>
      <c r="W79" s="13">
        <v>0.06</v>
      </c>
      <c r="X79" s="13">
        <v>175</v>
      </c>
      <c r="Y79" s="13">
        <v>157</v>
      </c>
      <c r="Z79" s="13">
        <v>200</v>
      </c>
      <c r="AA79" s="13">
        <v>200</v>
      </c>
      <c r="AB79" s="13">
        <v>175</v>
      </c>
      <c r="AC79" s="13">
        <v>157</v>
      </c>
      <c r="AD79" s="13">
        <v>200</v>
      </c>
      <c r="AE79" s="13">
        <v>200</v>
      </c>
      <c r="AF79" s="13"/>
      <c r="AG79" s="13"/>
      <c r="AH79" s="13"/>
    </row>
    <row r="80" spans="1:34">
      <c r="A80" s="13" t="s">
        <v>87</v>
      </c>
      <c r="B80" s="13">
        <v>220029640</v>
      </c>
      <c r="C80" s="13" t="s">
        <v>88</v>
      </c>
      <c r="D80" s="13" t="s">
        <v>89</v>
      </c>
      <c r="E80" s="13">
        <v>400454000062</v>
      </c>
      <c r="F80" s="13" t="s">
        <v>90</v>
      </c>
      <c r="G80" s="13" t="s">
        <v>90</v>
      </c>
      <c r="H80" s="13" t="s">
        <v>91</v>
      </c>
      <c r="I80" s="13" t="s">
        <v>92</v>
      </c>
      <c r="J80" s="14" t="s">
        <v>93</v>
      </c>
      <c r="K80" s="13"/>
      <c r="L80" s="13">
        <v>0</v>
      </c>
      <c r="M80" s="13" t="s">
        <v>97</v>
      </c>
      <c r="N80" s="13" t="s">
        <v>91</v>
      </c>
      <c r="O80" s="13">
        <v>0</v>
      </c>
      <c r="P80" s="13">
        <v>430</v>
      </c>
      <c r="Q80" s="13">
        <v>66.75</v>
      </c>
      <c r="R80" s="13">
        <v>1333.9680000000001</v>
      </c>
      <c r="S80" s="13">
        <v>0.1</v>
      </c>
      <c r="T80" s="13">
        <v>1.7</v>
      </c>
      <c r="U80" s="13">
        <v>0.18</v>
      </c>
      <c r="V80" s="13">
        <v>0.1</v>
      </c>
      <c r="W80" s="13">
        <v>0.06</v>
      </c>
      <c r="X80" s="13">
        <v>179</v>
      </c>
      <c r="Y80" s="13">
        <v>159</v>
      </c>
      <c r="Z80" s="13">
        <v>202</v>
      </c>
      <c r="AA80" s="13">
        <v>203</v>
      </c>
      <c r="AB80" s="13">
        <v>179</v>
      </c>
      <c r="AC80" s="13">
        <v>159</v>
      </c>
      <c r="AD80" s="13">
        <v>202</v>
      </c>
      <c r="AE80" s="13">
        <v>203</v>
      </c>
      <c r="AF80" s="13"/>
      <c r="AG80" s="13"/>
      <c r="AH80" s="13"/>
    </row>
    <row r="81" spans="1:34">
      <c r="A81" s="13" t="s">
        <v>87</v>
      </c>
      <c r="B81" s="13">
        <v>220029640</v>
      </c>
      <c r="C81" s="13" t="s">
        <v>88</v>
      </c>
      <c r="D81" s="13" t="s">
        <v>89</v>
      </c>
      <c r="E81" s="13">
        <v>400454000062</v>
      </c>
      <c r="F81" s="13" t="s">
        <v>90</v>
      </c>
      <c r="G81" s="13" t="s">
        <v>90</v>
      </c>
      <c r="H81" s="13" t="s">
        <v>91</v>
      </c>
      <c r="I81" s="13" t="s">
        <v>92</v>
      </c>
      <c r="J81" s="14" t="s">
        <v>93</v>
      </c>
      <c r="K81" s="13"/>
      <c r="L81" s="13">
        <v>0</v>
      </c>
      <c r="M81" s="13" t="s">
        <v>97</v>
      </c>
      <c r="N81" s="13" t="s">
        <v>91</v>
      </c>
      <c r="O81" s="13">
        <v>0</v>
      </c>
      <c r="P81" s="13">
        <v>435</v>
      </c>
      <c r="Q81" s="13">
        <v>67.569999999999993</v>
      </c>
      <c r="R81" s="13">
        <v>1334.059</v>
      </c>
      <c r="S81" s="13">
        <v>0.11</v>
      </c>
      <c r="T81" s="13">
        <v>1.69</v>
      </c>
      <c r="U81" s="13">
        <v>0.18</v>
      </c>
      <c r="V81" s="13">
        <v>0.1</v>
      </c>
      <c r="W81" s="13">
        <v>0.06</v>
      </c>
      <c r="X81" s="13">
        <v>182</v>
      </c>
      <c r="Y81" s="13">
        <v>163</v>
      </c>
      <c r="Z81" s="13">
        <v>205</v>
      </c>
      <c r="AA81" s="13">
        <v>205</v>
      </c>
      <c r="AB81" s="13">
        <v>182</v>
      </c>
      <c r="AC81" s="13">
        <v>163</v>
      </c>
      <c r="AD81" s="13">
        <v>205</v>
      </c>
      <c r="AE81" s="13">
        <v>205</v>
      </c>
      <c r="AF81" s="13"/>
      <c r="AG81" s="13"/>
      <c r="AH81" s="13"/>
    </row>
    <row r="82" spans="1:34">
      <c r="A82" s="13" t="s">
        <v>87</v>
      </c>
      <c r="B82" s="13">
        <v>220029640</v>
      </c>
      <c r="C82" s="13" t="s">
        <v>88</v>
      </c>
      <c r="D82" s="13" t="s">
        <v>89</v>
      </c>
      <c r="E82" s="13">
        <v>400454000062</v>
      </c>
      <c r="F82" s="13" t="s">
        <v>90</v>
      </c>
      <c r="G82" s="13" t="s">
        <v>90</v>
      </c>
      <c r="H82" s="13" t="s">
        <v>91</v>
      </c>
      <c r="I82" s="13" t="s">
        <v>92</v>
      </c>
      <c r="J82" s="14" t="s">
        <v>93</v>
      </c>
      <c r="K82" s="13"/>
      <c r="L82" s="13">
        <v>0</v>
      </c>
      <c r="M82" s="13" t="s">
        <v>97</v>
      </c>
      <c r="N82" s="13" t="s">
        <v>91</v>
      </c>
      <c r="O82" s="13">
        <v>0</v>
      </c>
      <c r="P82" s="13">
        <v>440</v>
      </c>
      <c r="Q82" s="13">
        <v>68.42</v>
      </c>
      <c r="R82" s="13">
        <v>1334.1510000000001</v>
      </c>
      <c r="S82" s="13">
        <v>0.11</v>
      </c>
      <c r="T82" s="13">
        <v>1.69</v>
      </c>
      <c r="U82" s="13">
        <v>0.18</v>
      </c>
      <c r="V82" s="13">
        <v>0.1</v>
      </c>
      <c r="W82" s="13">
        <v>0.06</v>
      </c>
      <c r="X82" s="13">
        <v>186</v>
      </c>
      <c r="Y82" s="13">
        <v>166</v>
      </c>
      <c r="Z82" s="13">
        <v>208</v>
      </c>
      <c r="AA82" s="13">
        <v>208</v>
      </c>
      <c r="AB82" s="13">
        <v>186</v>
      </c>
      <c r="AC82" s="13">
        <v>166</v>
      </c>
      <c r="AD82" s="13">
        <v>208</v>
      </c>
      <c r="AE82" s="13">
        <v>208</v>
      </c>
      <c r="AF82" s="13"/>
      <c r="AG82" s="13"/>
      <c r="AH82" s="13"/>
    </row>
    <row r="83" spans="1:34">
      <c r="A83" s="13" t="s">
        <v>87</v>
      </c>
      <c r="B83" s="13">
        <v>220029640</v>
      </c>
      <c r="C83" s="13" t="s">
        <v>88</v>
      </c>
      <c r="D83" s="13" t="s">
        <v>89</v>
      </c>
      <c r="E83" s="13">
        <v>400454000062</v>
      </c>
      <c r="F83" s="13" t="s">
        <v>90</v>
      </c>
      <c r="G83" s="13" t="s">
        <v>90</v>
      </c>
      <c r="H83" s="13" t="s">
        <v>91</v>
      </c>
      <c r="I83" s="13" t="s">
        <v>92</v>
      </c>
      <c r="J83" s="14" t="s">
        <v>93</v>
      </c>
      <c r="K83" s="13"/>
      <c r="L83" s="13">
        <v>0</v>
      </c>
      <c r="M83" s="13" t="s">
        <v>97</v>
      </c>
      <c r="N83" s="13" t="s">
        <v>91</v>
      </c>
      <c r="O83" s="13">
        <v>0</v>
      </c>
      <c r="P83" s="13">
        <v>445</v>
      </c>
      <c r="Q83" s="13">
        <v>69.28</v>
      </c>
      <c r="R83" s="13">
        <v>1334.242</v>
      </c>
      <c r="S83" s="13">
        <v>0.11</v>
      </c>
      <c r="T83" s="13">
        <v>1.77</v>
      </c>
      <c r="U83" s="13">
        <v>0.18</v>
      </c>
      <c r="V83" s="13">
        <v>0.1</v>
      </c>
      <c r="W83" s="13">
        <v>0.06</v>
      </c>
      <c r="X83" s="13">
        <v>191</v>
      </c>
      <c r="Y83" s="13">
        <v>169</v>
      </c>
      <c r="Z83" s="13">
        <v>211</v>
      </c>
      <c r="AA83" s="13">
        <v>211</v>
      </c>
      <c r="AB83" s="13">
        <v>191</v>
      </c>
      <c r="AC83" s="13">
        <v>169</v>
      </c>
      <c r="AD83" s="13">
        <v>211</v>
      </c>
      <c r="AE83" s="13">
        <v>211</v>
      </c>
      <c r="AF83" s="13"/>
      <c r="AG83" s="13"/>
      <c r="AH83" s="13"/>
    </row>
    <row r="84" spans="1:34">
      <c r="A84" s="13" t="s">
        <v>87</v>
      </c>
      <c r="B84" s="13">
        <v>220029640</v>
      </c>
      <c r="C84" s="13" t="s">
        <v>88</v>
      </c>
      <c r="D84" s="13" t="s">
        <v>89</v>
      </c>
      <c r="E84" s="13">
        <v>400454000062</v>
      </c>
      <c r="F84" s="13" t="s">
        <v>90</v>
      </c>
      <c r="G84" s="13" t="s">
        <v>90</v>
      </c>
      <c r="H84" s="13" t="s">
        <v>91</v>
      </c>
      <c r="I84" s="13" t="s">
        <v>92</v>
      </c>
      <c r="J84" s="14" t="s">
        <v>93</v>
      </c>
      <c r="K84" s="13"/>
      <c r="L84" s="13">
        <v>0</v>
      </c>
      <c r="M84" s="13" t="s">
        <v>97</v>
      </c>
      <c r="N84" s="13" t="s">
        <v>91</v>
      </c>
      <c r="O84" s="13">
        <v>0</v>
      </c>
      <c r="P84" s="13">
        <v>450</v>
      </c>
      <c r="Q84" s="13">
        <v>70.11</v>
      </c>
      <c r="R84" s="13">
        <v>1334.3309999999999</v>
      </c>
      <c r="S84" s="13">
        <v>0.11</v>
      </c>
      <c r="T84" s="13">
        <v>1.67</v>
      </c>
      <c r="U84" s="13">
        <v>0.18</v>
      </c>
      <c r="V84" s="13">
        <v>0.1</v>
      </c>
      <c r="W84" s="13">
        <v>0.06</v>
      </c>
      <c r="X84" s="13">
        <v>195</v>
      </c>
      <c r="Y84" s="13">
        <v>173</v>
      </c>
      <c r="Z84" s="13">
        <v>214</v>
      </c>
      <c r="AA84" s="13">
        <v>213</v>
      </c>
      <c r="AB84" s="13">
        <v>195</v>
      </c>
      <c r="AC84" s="13">
        <v>173</v>
      </c>
      <c r="AD84" s="13">
        <v>214</v>
      </c>
      <c r="AE84" s="13">
        <v>213</v>
      </c>
      <c r="AF84" s="13"/>
      <c r="AG84" s="13"/>
      <c r="AH84" s="13"/>
    </row>
    <row r="85" spans="1:34">
      <c r="A85" s="13"/>
      <c r="B85" s="13"/>
      <c r="C85" s="13"/>
      <c r="D85" s="13"/>
      <c r="E85" s="13"/>
      <c r="F85" s="13"/>
      <c r="G85" s="13"/>
      <c r="H85" s="13"/>
      <c r="I85" s="13"/>
      <c r="J85" s="14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>
      <c r="M86" s="20"/>
      <c r="N86" s="20"/>
      <c r="O86" s="2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>
      <c r="M87" s="20"/>
      <c r="N87" s="20"/>
      <c r="O87" s="2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>
      <c r="M88" s="20"/>
      <c r="N88" s="20"/>
      <c r="O88" s="2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>
      <c r="M89" s="20"/>
      <c r="N89" s="20"/>
      <c r="O89" s="2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>
      <c r="M90" s="20"/>
      <c r="N90" s="20"/>
      <c r="O90" s="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>
      <c r="M91" s="20"/>
      <c r="N91" s="20"/>
      <c r="O91" s="2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M93" s="20"/>
      <c r="N93" s="20"/>
      <c r="O93" s="20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3:34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3:34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3:34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3:34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3:34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3:34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3:34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3:34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3:34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3:34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3:34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3:34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3:34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3:34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3:34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3:34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3:31">
      <c r="M113" s="20"/>
      <c r="N113" s="20"/>
      <c r="O113" s="20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3:31">
      <c r="M114" s="20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3:31">
      <c r="M115" s="20"/>
      <c r="N115" s="20"/>
      <c r="O115" s="2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3:31">
      <c r="M116" s="20"/>
      <c r="N116" s="20"/>
      <c r="O116" s="2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3:31">
      <c r="M117" s="20"/>
      <c r="N117" s="20"/>
      <c r="O117" s="2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3:31">
      <c r="M118" s="20"/>
      <c r="N118" s="20"/>
      <c r="O118" s="20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3:31">
      <c r="M119" s="20"/>
      <c r="N119" s="20"/>
      <c r="O119" s="2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3:31"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3:31"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3:31"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3:31"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3:31"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3:31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3:31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3:31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3:31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6:31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6:31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6:31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6:31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6:31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6:31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6:31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6:31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6:31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6:31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6:31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6:31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6:31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6:31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6:31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6:31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6:31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6:31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6:31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6:31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6:31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6:31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6:31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6:31"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6:31"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6:31"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6:31"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6:31"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6:31"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6:31"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6:31"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6:31"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6:31"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6:31"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6:31"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6:31"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6:31"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6:31"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6:31"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6:31"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6:31"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6:31"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6:31"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6:31"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6:31"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6:31"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6:31"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6:31"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6:31"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6:31"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6:31"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6:31"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6:31"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6:31"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6:31"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6:31"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6:31"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6:31"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6:31"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6:31"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6:31"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6:31"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6:31"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6:31"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6:31"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6:31"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6:31"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6:31"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6:31"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6:31"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6:31"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6:31"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6:31"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6:31"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6:31"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6:31"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6:31"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6:31"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6:31"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6:31"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6:31"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6:31"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6:31"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6:31"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6:31"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6:31"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6:31"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6:31"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6:31"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6:31"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6:31"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6:31"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6:31"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6:31"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6:31"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6:31"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6:31"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6:31"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6:31"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6:31"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6:31"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6:31"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6:31"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6:31"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6:31"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6:31"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6:31"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6:31"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6:31"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6:31"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6:31"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6:31"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6:31"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6:31"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6:31"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6:31"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6:31"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6:31"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6:31"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6:31"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6:31"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6:31"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6:31"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6:31"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6:31"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6:31"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6:31"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6:31"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6:31"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6:31"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6:31"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6:31"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6:31"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6:31"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6:31"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6:31"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6:31"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6:31"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6:31"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6:31"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6:31"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6:31"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6:31"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6:31"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6:31"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6:31"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6:31"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6:31"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6:31"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6:31"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6:31"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6:31"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6:31"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6:31"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6:31"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6:31"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6:31"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6:31"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6:31"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6:31"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6:31"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6:31"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6:31"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6:31"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6:31"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6:31"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6:31"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6:31"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6:31"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6:31"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6:31"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6:31"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6:31"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4"/>
  <sheetViews>
    <sheetView zoomScale="55" zoomScaleNormal="55" workbookViewId="0">
      <selection activeCell="A2" sqref="A2:XFD1048576"/>
    </sheetView>
  </sheetViews>
  <sheetFormatPr defaultRowHeight="15.6"/>
  <cols>
    <col min="1" max="34" width="12.09765625" style="1" customWidth="1"/>
  </cols>
  <sheetData>
    <row r="1" spans="1:34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</row>
    <row r="2" spans="1:34">
      <c r="A2" s="13" t="s">
        <v>87</v>
      </c>
      <c r="B2" s="13">
        <v>220029640</v>
      </c>
      <c r="C2" s="13" t="s">
        <v>88</v>
      </c>
      <c r="D2" s="13" t="s">
        <v>89</v>
      </c>
      <c r="E2" s="13">
        <v>400454000062</v>
      </c>
      <c r="F2" s="13" t="s">
        <v>90</v>
      </c>
      <c r="G2" s="13" t="s">
        <v>90</v>
      </c>
      <c r="H2" s="13" t="s">
        <v>91</v>
      </c>
      <c r="I2" s="13" t="s">
        <v>92</v>
      </c>
      <c r="J2" s="14" t="s">
        <v>93</v>
      </c>
      <c r="K2" s="13"/>
      <c r="L2" s="13">
        <v>0</v>
      </c>
      <c r="M2" s="13" t="s">
        <v>98</v>
      </c>
      <c r="N2" s="13" t="s">
        <v>91</v>
      </c>
      <c r="O2" s="13">
        <v>0</v>
      </c>
      <c r="P2" s="11">
        <v>30</v>
      </c>
      <c r="Q2" s="12">
        <v>70.77</v>
      </c>
      <c r="R2" s="12">
        <v>1275.393</v>
      </c>
      <c r="S2" s="12">
        <v>0.1</v>
      </c>
      <c r="T2" s="12">
        <v>2.83</v>
      </c>
      <c r="U2" s="12">
        <v>0.11</v>
      </c>
      <c r="V2" s="12">
        <v>0.09</v>
      </c>
      <c r="W2" s="12">
        <v>7.0000000000000007E-2</v>
      </c>
      <c r="X2" s="12">
        <v>399</v>
      </c>
      <c r="Y2" s="12">
        <v>399</v>
      </c>
      <c r="Z2" s="12">
        <v>399</v>
      </c>
      <c r="AA2" s="12">
        <v>399</v>
      </c>
      <c r="AB2" s="12">
        <v>399</v>
      </c>
      <c r="AC2" s="12">
        <v>399</v>
      </c>
      <c r="AD2" s="12">
        <v>399</v>
      </c>
      <c r="AE2" s="12">
        <v>399</v>
      </c>
      <c r="AF2" s="13"/>
      <c r="AG2" s="13"/>
      <c r="AH2" s="13"/>
    </row>
    <row r="3" spans="1:34">
      <c r="A3" s="13" t="s">
        <v>87</v>
      </c>
      <c r="B3" s="13">
        <v>220029640</v>
      </c>
      <c r="C3" s="13" t="s">
        <v>88</v>
      </c>
      <c r="D3" s="13" t="s">
        <v>89</v>
      </c>
      <c r="E3" s="13">
        <v>400454000062</v>
      </c>
      <c r="F3" s="13" t="s">
        <v>90</v>
      </c>
      <c r="G3" s="13" t="s">
        <v>90</v>
      </c>
      <c r="H3" s="13" t="s">
        <v>91</v>
      </c>
      <c r="I3" s="13" t="s">
        <v>92</v>
      </c>
      <c r="J3" s="14" t="s">
        <v>93</v>
      </c>
      <c r="K3" s="13"/>
      <c r="L3" s="13">
        <v>0</v>
      </c>
      <c r="M3" s="13" t="s">
        <v>98</v>
      </c>
      <c r="N3" s="13" t="s">
        <v>91</v>
      </c>
      <c r="O3" s="13">
        <v>0</v>
      </c>
      <c r="P3" s="11">
        <v>35</v>
      </c>
      <c r="Q3" s="12">
        <v>69.81</v>
      </c>
      <c r="R3" s="12">
        <v>1275.306</v>
      </c>
      <c r="S3" s="12">
        <v>0.09</v>
      </c>
      <c r="T3" s="12">
        <v>3.08</v>
      </c>
      <c r="U3" s="12">
        <v>0.11</v>
      </c>
      <c r="V3" s="12">
        <v>0.09</v>
      </c>
      <c r="W3" s="12">
        <v>7.0000000000000007E-2</v>
      </c>
      <c r="X3" s="12">
        <v>399</v>
      </c>
      <c r="Y3" s="12">
        <v>399</v>
      </c>
      <c r="Z3" s="12">
        <v>399</v>
      </c>
      <c r="AA3" s="12">
        <v>399</v>
      </c>
      <c r="AB3" s="12">
        <v>399</v>
      </c>
      <c r="AC3" s="12">
        <v>399</v>
      </c>
      <c r="AD3" s="12">
        <v>399</v>
      </c>
      <c r="AE3" s="12">
        <v>399</v>
      </c>
      <c r="AF3" s="13"/>
      <c r="AG3" s="13"/>
      <c r="AH3" s="13"/>
    </row>
    <row r="4" spans="1:34">
      <c r="A4" s="13" t="s">
        <v>87</v>
      </c>
      <c r="B4" s="13">
        <v>220029640</v>
      </c>
      <c r="C4" s="13" t="s">
        <v>88</v>
      </c>
      <c r="D4" s="13" t="s">
        <v>89</v>
      </c>
      <c r="E4" s="13">
        <v>400454000062</v>
      </c>
      <c r="F4" s="13" t="s">
        <v>90</v>
      </c>
      <c r="G4" s="13" t="s">
        <v>90</v>
      </c>
      <c r="H4" s="13" t="s">
        <v>91</v>
      </c>
      <c r="I4" s="13" t="s">
        <v>92</v>
      </c>
      <c r="J4" s="14" t="s">
        <v>93</v>
      </c>
      <c r="K4" s="13"/>
      <c r="L4" s="13">
        <v>0</v>
      </c>
      <c r="M4" s="13" t="s">
        <v>98</v>
      </c>
      <c r="N4" s="13" t="s">
        <v>91</v>
      </c>
      <c r="O4" s="13">
        <v>0</v>
      </c>
      <c r="P4" s="11">
        <v>40</v>
      </c>
      <c r="Q4" s="12">
        <v>69</v>
      </c>
      <c r="R4" s="12">
        <v>1275.2190000000001</v>
      </c>
      <c r="S4" s="12">
        <v>0.11</v>
      </c>
      <c r="T4" s="12">
        <v>3.26</v>
      </c>
      <c r="U4" s="12">
        <v>0.11</v>
      </c>
      <c r="V4" s="12">
        <v>0.09</v>
      </c>
      <c r="W4" s="12">
        <v>7.0000000000000007E-2</v>
      </c>
      <c r="X4" s="12">
        <v>399</v>
      </c>
      <c r="Y4" s="12">
        <v>399</v>
      </c>
      <c r="Z4" s="12">
        <v>399</v>
      </c>
      <c r="AA4" s="12">
        <v>399</v>
      </c>
      <c r="AB4" s="12">
        <v>399</v>
      </c>
      <c r="AC4" s="12">
        <v>399</v>
      </c>
      <c r="AD4" s="12">
        <v>399</v>
      </c>
      <c r="AE4" s="12">
        <v>399</v>
      </c>
      <c r="AF4" s="13"/>
      <c r="AG4" s="13"/>
      <c r="AH4" s="13"/>
    </row>
    <row r="5" spans="1:34">
      <c r="A5" s="13" t="s">
        <v>87</v>
      </c>
      <c r="B5" s="13">
        <v>220029640</v>
      </c>
      <c r="C5" s="13" t="s">
        <v>88</v>
      </c>
      <c r="D5" s="13" t="s">
        <v>89</v>
      </c>
      <c r="E5" s="13">
        <v>400454000062</v>
      </c>
      <c r="F5" s="13" t="s">
        <v>90</v>
      </c>
      <c r="G5" s="13" t="s">
        <v>90</v>
      </c>
      <c r="H5" s="13" t="s">
        <v>91</v>
      </c>
      <c r="I5" s="13" t="s">
        <v>92</v>
      </c>
      <c r="J5" s="14" t="s">
        <v>93</v>
      </c>
      <c r="K5" s="13"/>
      <c r="L5" s="13">
        <v>0</v>
      </c>
      <c r="M5" s="13" t="s">
        <v>98</v>
      </c>
      <c r="N5" s="13" t="s">
        <v>91</v>
      </c>
      <c r="O5" s="13">
        <v>0</v>
      </c>
      <c r="P5" s="11">
        <v>45</v>
      </c>
      <c r="Q5" s="12">
        <v>68.02</v>
      </c>
      <c r="R5" s="12">
        <v>1275.1310000000001</v>
      </c>
      <c r="S5" s="12">
        <v>0.09</v>
      </c>
      <c r="T5" s="12">
        <v>3.47</v>
      </c>
      <c r="U5" s="12">
        <v>0.11</v>
      </c>
      <c r="V5" s="12">
        <v>0.09</v>
      </c>
      <c r="W5" s="12">
        <v>7.0000000000000007E-2</v>
      </c>
      <c r="X5" s="12">
        <v>399</v>
      </c>
      <c r="Y5" s="12">
        <v>399</v>
      </c>
      <c r="Z5" s="12">
        <v>399</v>
      </c>
      <c r="AA5" s="12">
        <v>399</v>
      </c>
      <c r="AB5" s="12">
        <v>399</v>
      </c>
      <c r="AC5" s="12">
        <v>399</v>
      </c>
      <c r="AD5" s="12">
        <v>399</v>
      </c>
      <c r="AE5" s="12">
        <v>399</v>
      </c>
      <c r="AF5" s="13"/>
      <c r="AG5" s="13"/>
      <c r="AH5" s="13"/>
    </row>
    <row r="6" spans="1:34">
      <c r="A6" s="13" t="s">
        <v>87</v>
      </c>
      <c r="B6" s="13">
        <v>220029640</v>
      </c>
      <c r="C6" s="13" t="s">
        <v>88</v>
      </c>
      <c r="D6" s="13" t="s">
        <v>89</v>
      </c>
      <c r="E6" s="13">
        <v>400454000062</v>
      </c>
      <c r="F6" s="13" t="s">
        <v>90</v>
      </c>
      <c r="G6" s="13" t="s">
        <v>90</v>
      </c>
      <c r="H6" s="13" t="s">
        <v>91</v>
      </c>
      <c r="I6" s="13" t="s">
        <v>92</v>
      </c>
      <c r="J6" s="14" t="s">
        <v>93</v>
      </c>
      <c r="K6" s="13"/>
      <c r="L6" s="13">
        <v>0</v>
      </c>
      <c r="M6" s="13" t="s">
        <v>98</v>
      </c>
      <c r="N6" s="13" t="s">
        <v>91</v>
      </c>
      <c r="O6" s="13">
        <v>0</v>
      </c>
      <c r="P6" s="11">
        <v>50</v>
      </c>
      <c r="Q6" s="12">
        <v>67.13</v>
      </c>
      <c r="R6" s="12">
        <v>1275.0419999999999</v>
      </c>
      <c r="S6" s="12">
        <v>0.1</v>
      </c>
      <c r="T6" s="12">
        <v>3.65</v>
      </c>
      <c r="U6" s="12">
        <v>0.11</v>
      </c>
      <c r="V6" s="12">
        <v>0.09</v>
      </c>
      <c r="W6" s="12">
        <v>7.0000000000000007E-2</v>
      </c>
      <c r="X6" s="12">
        <v>399</v>
      </c>
      <c r="Y6" s="12">
        <v>399</v>
      </c>
      <c r="Z6" s="12">
        <v>399</v>
      </c>
      <c r="AA6" s="12">
        <v>399</v>
      </c>
      <c r="AB6" s="12">
        <v>399</v>
      </c>
      <c r="AC6" s="12">
        <v>399</v>
      </c>
      <c r="AD6" s="12">
        <v>399</v>
      </c>
      <c r="AE6" s="12">
        <v>399</v>
      </c>
      <c r="AF6" s="13"/>
      <c r="AG6" s="13"/>
      <c r="AH6" s="13"/>
    </row>
    <row r="7" spans="1:34">
      <c r="A7" s="13" t="s">
        <v>87</v>
      </c>
      <c r="B7" s="13">
        <v>220029640</v>
      </c>
      <c r="C7" s="13" t="s">
        <v>88</v>
      </c>
      <c r="D7" s="13" t="s">
        <v>89</v>
      </c>
      <c r="E7" s="13">
        <v>400454000062</v>
      </c>
      <c r="F7" s="13" t="s">
        <v>90</v>
      </c>
      <c r="G7" s="13" t="s">
        <v>90</v>
      </c>
      <c r="H7" s="13" t="s">
        <v>91</v>
      </c>
      <c r="I7" s="13" t="s">
        <v>92</v>
      </c>
      <c r="J7" s="14" t="s">
        <v>93</v>
      </c>
      <c r="K7" s="13"/>
      <c r="L7" s="13">
        <v>0</v>
      </c>
      <c r="M7" s="13" t="s">
        <v>98</v>
      </c>
      <c r="N7" s="13" t="s">
        <v>91</v>
      </c>
      <c r="O7" s="13">
        <v>0</v>
      </c>
      <c r="P7" s="11">
        <v>55</v>
      </c>
      <c r="Q7" s="12">
        <v>66.209999999999994</v>
      </c>
      <c r="R7" s="12">
        <v>1274.952</v>
      </c>
      <c r="S7" s="12">
        <v>0.1</v>
      </c>
      <c r="T7" s="12">
        <v>3.77</v>
      </c>
      <c r="U7" s="12">
        <v>0.11</v>
      </c>
      <c r="V7" s="12">
        <v>0.09</v>
      </c>
      <c r="W7" s="12">
        <v>7.0000000000000007E-2</v>
      </c>
      <c r="X7" s="12">
        <v>399</v>
      </c>
      <c r="Y7" s="12">
        <v>399</v>
      </c>
      <c r="Z7" s="12">
        <v>399</v>
      </c>
      <c r="AA7" s="12">
        <v>399</v>
      </c>
      <c r="AB7" s="12">
        <v>399</v>
      </c>
      <c r="AC7" s="12">
        <v>399</v>
      </c>
      <c r="AD7" s="12">
        <v>399</v>
      </c>
      <c r="AE7" s="12">
        <v>399</v>
      </c>
      <c r="AF7" s="13"/>
      <c r="AG7" s="13"/>
      <c r="AH7" s="13"/>
    </row>
    <row r="8" spans="1:34">
      <c r="A8" s="13" t="s">
        <v>87</v>
      </c>
      <c r="B8" s="13">
        <v>220029640</v>
      </c>
      <c r="C8" s="13" t="s">
        <v>88</v>
      </c>
      <c r="D8" s="13" t="s">
        <v>89</v>
      </c>
      <c r="E8" s="13">
        <v>400454000062</v>
      </c>
      <c r="F8" s="13" t="s">
        <v>90</v>
      </c>
      <c r="G8" s="13" t="s">
        <v>90</v>
      </c>
      <c r="H8" s="13" t="s">
        <v>91</v>
      </c>
      <c r="I8" s="13" t="s">
        <v>92</v>
      </c>
      <c r="J8" s="14" t="s">
        <v>93</v>
      </c>
      <c r="K8" s="13"/>
      <c r="L8" s="13">
        <v>0</v>
      </c>
      <c r="M8" s="13" t="s">
        <v>98</v>
      </c>
      <c r="N8" s="13" t="s">
        <v>91</v>
      </c>
      <c r="O8" s="13">
        <v>0</v>
      </c>
      <c r="P8" s="11">
        <v>60</v>
      </c>
      <c r="Q8" s="12">
        <v>65.36</v>
      </c>
      <c r="R8" s="12">
        <v>1274.8630000000001</v>
      </c>
      <c r="S8" s="12">
        <v>0.1</v>
      </c>
      <c r="T8" s="12">
        <v>3.85</v>
      </c>
      <c r="U8" s="12">
        <v>0.11</v>
      </c>
      <c r="V8" s="12">
        <v>0.09</v>
      </c>
      <c r="W8" s="12">
        <v>7.0000000000000007E-2</v>
      </c>
      <c r="X8" s="12">
        <v>399</v>
      </c>
      <c r="Y8" s="12">
        <v>399</v>
      </c>
      <c r="Z8" s="12">
        <v>399</v>
      </c>
      <c r="AA8" s="12">
        <v>399</v>
      </c>
      <c r="AB8" s="12">
        <v>399</v>
      </c>
      <c r="AC8" s="12">
        <v>399</v>
      </c>
      <c r="AD8" s="12">
        <v>399</v>
      </c>
      <c r="AE8" s="12">
        <v>399</v>
      </c>
      <c r="AF8" s="13"/>
      <c r="AG8" s="13"/>
      <c r="AH8" s="13"/>
    </row>
    <row r="9" spans="1:34">
      <c r="A9" s="13" t="s">
        <v>87</v>
      </c>
      <c r="B9" s="13">
        <v>220029640</v>
      </c>
      <c r="C9" s="13" t="s">
        <v>88</v>
      </c>
      <c r="D9" s="13" t="s">
        <v>89</v>
      </c>
      <c r="E9" s="13">
        <v>400454000062</v>
      </c>
      <c r="F9" s="13" t="s">
        <v>90</v>
      </c>
      <c r="G9" s="13" t="s">
        <v>90</v>
      </c>
      <c r="H9" s="13" t="s">
        <v>91</v>
      </c>
      <c r="I9" s="13" t="s">
        <v>92</v>
      </c>
      <c r="J9" s="14" t="s">
        <v>93</v>
      </c>
      <c r="K9" s="13"/>
      <c r="L9" s="13">
        <v>0</v>
      </c>
      <c r="M9" s="13" t="s">
        <v>98</v>
      </c>
      <c r="N9" s="13" t="s">
        <v>91</v>
      </c>
      <c r="O9" s="13">
        <v>0</v>
      </c>
      <c r="P9" s="11">
        <v>65</v>
      </c>
      <c r="Q9" s="12">
        <v>64.48</v>
      </c>
      <c r="R9" s="12">
        <v>1274.777</v>
      </c>
      <c r="S9" s="12">
        <v>0.1</v>
      </c>
      <c r="T9" s="12">
        <v>3.98</v>
      </c>
      <c r="U9" s="12">
        <v>0.11</v>
      </c>
      <c r="V9" s="12">
        <v>0.09</v>
      </c>
      <c r="W9" s="12">
        <v>7.0000000000000007E-2</v>
      </c>
      <c r="X9" s="12">
        <v>399</v>
      </c>
      <c r="Y9" s="12">
        <v>399</v>
      </c>
      <c r="Z9" s="12">
        <v>399</v>
      </c>
      <c r="AA9" s="12">
        <v>399</v>
      </c>
      <c r="AB9" s="12">
        <v>399</v>
      </c>
      <c r="AC9" s="12">
        <v>399</v>
      </c>
      <c r="AD9" s="12">
        <v>399</v>
      </c>
      <c r="AE9" s="12">
        <v>399</v>
      </c>
      <c r="AF9" s="13"/>
      <c r="AG9" s="13"/>
      <c r="AH9" s="13"/>
    </row>
    <row r="10" spans="1:34">
      <c r="A10" s="13" t="s">
        <v>87</v>
      </c>
      <c r="B10" s="13">
        <v>220029640</v>
      </c>
      <c r="C10" s="13" t="s">
        <v>88</v>
      </c>
      <c r="D10" s="13" t="s">
        <v>89</v>
      </c>
      <c r="E10" s="13">
        <v>400454000062</v>
      </c>
      <c r="F10" s="13" t="s">
        <v>90</v>
      </c>
      <c r="G10" s="13" t="s">
        <v>90</v>
      </c>
      <c r="H10" s="13" t="s">
        <v>91</v>
      </c>
      <c r="I10" s="13" t="s">
        <v>92</v>
      </c>
      <c r="J10" s="14" t="s">
        <v>93</v>
      </c>
      <c r="K10" s="13"/>
      <c r="L10" s="13">
        <v>0</v>
      </c>
      <c r="M10" s="13" t="s">
        <v>98</v>
      </c>
      <c r="N10" s="13" t="s">
        <v>91</v>
      </c>
      <c r="O10" s="13">
        <v>0</v>
      </c>
      <c r="P10" s="11">
        <v>70</v>
      </c>
      <c r="Q10" s="12">
        <v>63.61</v>
      </c>
      <c r="R10" s="12">
        <v>1274.6890000000001</v>
      </c>
      <c r="S10" s="12">
        <v>0.1</v>
      </c>
      <c r="T10" s="12">
        <v>4.1399999999999997</v>
      </c>
      <c r="U10" s="12">
        <v>0.11</v>
      </c>
      <c r="V10" s="12">
        <v>0.09</v>
      </c>
      <c r="W10" s="12">
        <v>7.0000000000000007E-2</v>
      </c>
      <c r="X10" s="12">
        <v>399</v>
      </c>
      <c r="Y10" s="12">
        <v>399</v>
      </c>
      <c r="Z10" s="12">
        <v>399</v>
      </c>
      <c r="AA10" s="12">
        <v>399</v>
      </c>
      <c r="AB10" s="12">
        <v>399</v>
      </c>
      <c r="AC10" s="12">
        <v>399</v>
      </c>
      <c r="AD10" s="12">
        <v>399</v>
      </c>
      <c r="AE10" s="12">
        <v>399</v>
      </c>
      <c r="AF10" s="13"/>
      <c r="AG10" s="13"/>
      <c r="AH10" s="13"/>
    </row>
    <row r="11" spans="1:34">
      <c r="A11" s="13" t="s">
        <v>87</v>
      </c>
      <c r="B11" s="13">
        <v>220029640</v>
      </c>
      <c r="C11" s="13" t="s">
        <v>88</v>
      </c>
      <c r="D11" s="13" t="s">
        <v>89</v>
      </c>
      <c r="E11" s="13">
        <v>400454000062</v>
      </c>
      <c r="F11" s="13" t="s">
        <v>90</v>
      </c>
      <c r="G11" s="13" t="s">
        <v>90</v>
      </c>
      <c r="H11" s="13" t="s">
        <v>91</v>
      </c>
      <c r="I11" s="13" t="s">
        <v>92</v>
      </c>
      <c r="J11" s="14" t="s">
        <v>93</v>
      </c>
      <c r="K11" s="13"/>
      <c r="L11" s="13">
        <v>0</v>
      </c>
      <c r="M11" s="13" t="s">
        <v>98</v>
      </c>
      <c r="N11" s="13" t="s">
        <v>91</v>
      </c>
      <c r="O11" s="13">
        <v>0</v>
      </c>
      <c r="P11" s="11">
        <v>75</v>
      </c>
      <c r="Q11" s="12">
        <v>62.67</v>
      </c>
      <c r="R11" s="12">
        <v>1274.604</v>
      </c>
      <c r="S11" s="12">
        <v>0.09</v>
      </c>
      <c r="T11" s="12">
        <v>4.3600000000000003</v>
      </c>
      <c r="U11" s="12">
        <v>0.11</v>
      </c>
      <c r="V11" s="12">
        <v>0.09</v>
      </c>
      <c r="W11" s="12">
        <v>7.0000000000000007E-2</v>
      </c>
      <c r="X11" s="12">
        <v>399</v>
      </c>
      <c r="Y11" s="12">
        <v>399</v>
      </c>
      <c r="Z11" s="12">
        <v>399</v>
      </c>
      <c r="AA11" s="12">
        <v>399</v>
      </c>
      <c r="AB11" s="12">
        <v>399</v>
      </c>
      <c r="AC11" s="12">
        <v>399</v>
      </c>
      <c r="AD11" s="12">
        <v>399</v>
      </c>
      <c r="AE11" s="12">
        <v>399</v>
      </c>
      <c r="AF11" s="13"/>
      <c r="AG11" s="13"/>
      <c r="AH11" s="13"/>
    </row>
    <row r="12" spans="1:34">
      <c r="A12" s="13" t="s">
        <v>87</v>
      </c>
      <c r="B12" s="13">
        <v>220029640</v>
      </c>
      <c r="C12" s="13" t="s">
        <v>88</v>
      </c>
      <c r="D12" s="13" t="s">
        <v>89</v>
      </c>
      <c r="E12" s="13">
        <v>400454000062</v>
      </c>
      <c r="F12" s="13" t="s">
        <v>90</v>
      </c>
      <c r="G12" s="13" t="s">
        <v>90</v>
      </c>
      <c r="H12" s="13" t="s">
        <v>91</v>
      </c>
      <c r="I12" s="13" t="s">
        <v>92</v>
      </c>
      <c r="J12" s="14" t="s">
        <v>93</v>
      </c>
      <c r="K12" s="13"/>
      <c r="L12" s="13">
        <v>0</v>
      </c>
      <c r="M12" s="13" t="s">
        <v>98</v>
      </c>
      <c r="N12" s="13" t="s">
        <v>91</v>
      </c>
      <c r="O12" s="13">
        <v>0</v>
      </c>
      <c r="P12" s="11">
        <v>80</v>
      </c>
      <c r="Q12" s="12">
        <v>61.85</v>
      </c>
      <c r="R12" s="12">
        <v>1274.5160000000001</v>
      </c>
      <c r="S12" s="12">
        <v>0.11</v>
      </c>
      <c r="T12" s="12">
        <v>4.57</v>
      </c>
      <c r="U12" s="12">
        <v>0.11</v>
      </c>
      <c r="V12" s="12">
        <v>0.09</v>
      </c>
      <c r="W12" s="12">
        <v>7.0000000000000007E-2</v>
      </c>
      <c r="X12" s="12">
        <v>399</v>
      </c>
      <c r="Y12" s="12">
        <v>399</v>
      </c>
      <c r="Z12" s="12">
        <v>399</v>
      </c>
      <c r="AA12" s="12">
        <v>399</v>
      </c>
      <c r="AB12" s="12">
        <v>399</v>
      </c>
      <c r="AC12" s="12">
        <v>399</v>
      </c>
      <c r="AD12" s="12">
        <v>399</v>
      </c>
      <c r="AE12" s="12">
        <v>399</v>
      </c>
      <c r="AF12" s="13"/>
      <c r="AG12" s="13"/>
      <c r="AH12" s="13"/>
    </row>
    <row r="13" spans="1:34">
      <c r="A13" s="13" t="s">
        <v>87</v>
      </c>
      <c r="B13" s="13">
        <v>220029640</v>
      </c>
      <c r="C13" s="13" t="s">
        <v>88</v>
      </c>
      <c r="D13" s="13" t="s">
        <v>89</v>
      </c>
      <c r="E13" s="13">
        <v>400454000062</v>
      </c>
      <c r="F13" s="13" t="s">
        <v>90</v>
      </c>
      <c r="G13" s="13" t="s">
        <v>90</v>
      </c>
      <c r="H13" s="13" t="s">
        <v>91</v>
      </c>
      <c r="I13" s="13" t="s">
        <v>92</v>
      </c>
      <c r="J13" s="14" t="s">
        <v>93</v>
      </c>
      <c r="K13" s="13"/>
      <c r="L13" s="13">
        <v>0</v>
      </c>
      <c r="M13" s="13" t="s">
        <v>98</v>
      </c>
      <c r="N13" s="13" t="s">
        <v>91</v>
      </c>
      <c r="O13" s="13">
        <v>0</v>
      </c>
      <c r="P13" s="11">
        <v>85</v>
      </c>
      <c r="Q13" s="12">
        <v>60.99</v>
      </c>
      <c r="R13" s="12">
        <v>1274.4269999999999</v>
      </c>
      <c r="S13" s="12">
        <v>0.1</v>
      </c>
      <c r="T13" s="12">
        <v>4.62</v>
      </c>
      <c r="U13" s="12">
        <v>0.11</v>
      </c>
      <c r="V13" s="12">
        <v>0.09</v>
      </c>
      <c r="W13" s="12">
        <v>7.0000000000000007E-2</v>
      </c>
      <c r="X13" s="12">
        <v>399</v>
      </c>
      <c r="Y13" s="12">
        <v>399</v>
      </c>
      <c r="Z13" s="12">
        <v>399</v>
      </c>
      <c r="AA13" s="12">
        <v>399</v>
      </c>
      <c r="AB13" s="12">
        <v>399</v>
      </c>
      <c r="AC13" s="12">
        <v>399</v>
      </c>
      <c r="AD13" s="12">
        <v>399</v>
      </c>
      <c r="AE13" s="12">
        <v>399</v>
      </c>
      <c r="AF13" s="13"/>
      <c r="AG13" s="13"/>
      <c r="AH13" s="13"/>
    </row>
    <row r="14" spans="1:34">
      <c r="A14" s="13" t="s">
        <v>87</v>
      </c>
      <c r="B14" s="13">
        <v>220029640</v>
      </c>
      <c r="C14" s="13" t="s">
        <v>88</v>
      </c>
      <c r="D14" s="13" t="s">
        <v>89</v>
      </c>
      <c r="E14" s="13">
        <v>400454000062</v>
      </c>
      <c r="F14" s="13" t="s">
        <v>90</v>
      </c>
      <c r="G14" s="13" t="s">
        <v>90</v>
      </c>
      <c r="H14" s="13" t="s">
        <v>91</v>
      </c>
      <c r="I14" s="13" t="s">
        <v>92</v>
      </c>
      <c r="J14" s="14" t="s">
        <v>93</v>
      </c>
      <c r="K14" s="13"/>
      <c r="L14" s="13">
        <v>0</v>
      </c>
      <c r="M14" s="13" t="s">
        <v>98</v>
      </c>
      <c r="N14" s="13" t="s">
        <v>91</v>
      </c>
      <c r="O14" s="13">
        <v>0</v>
      </c>
      <c r="P14" s="11">
        <v>90</v>
      </c>
      <c r="Q14" s="12">
        <v>60.11</v>
      </c>
      <c r="R14" s="12">
        <v>1274.3409999999999</v>
      </c>
      <c r="S14" s="12">
        <v>0.1</v>
      </c>
      <c r="T14" s="12">
        <v>4.75</v>
      </c>
      <c r="U14" s="12">
        <v>0.11</v>
      </c>
      <c r="V14" s="12">
        <v>0.09</v>
      </c>
      <c r="W14" s="12">
        <v>7.0000000000000007E-2</v>
      </c>
      <c r="X14" s="12">
        <v>399</v>
      </c>
      <c r="Y14" s="12">
        <v>399</v>
      </c>
      <c r="Z14" s="12">
        <v>399</v>
      </c>
      <c r="AA14" s="12">
        <v>399</v>
      </c>
      <c r="AB14" s="12">
        <v>399</v>
      </c>
      <c r="AC14" s="12">
        <v>399</v>
      </c>
      <c r="AD14" s="12">
        <v>399</v>
      </c>
      <c r="AE14" s="12">
        <v>399</v>
      </c>
      <c r="AF14" s="13"/>
      <c r="AG14" s="13"/>
      <c r="AH14" s="13"/>
    </row>
    <row r="15" spans="1:34">
      <c r="A15" s="13" t="s">
        <v>87</v>
      </c>
      <c r="B15" s="13">
        <v>220029640</v>
      </c>
      <c r="C15" s="13" t="s">
        <v>88</v>
      </c>
      <c r="D15" s="13" t="s">
        <v>89</v>
      </c>
      <c r="E15" s="13">
        <v>400454000062</v>
      </c>
      <c r="F15" s="13" t="s">
        <v>90</v>
      </c>
      <c r="G15" s="13" t="s">
        <v>90</v>
      </c>
      <c r="H15" s="13" t="s">
        <v>91</v>
      </c>
      <c r="I15" s="13" t="s">
        <v>92</v>
      </c>
      <c r="J15" s="14" t="s">
        <v>93</v>
      </c>
      <c r="K15" s="13"/>
      <c r="L15" s="13">
        <v>0</v>
      </c>
      <c r="M15" s="13" t="s">
        <v>98</v>
      </c>
      <c r="N15" s="13" t="s">
        <v>91</v>
      </c>
      <c r="O15" s="13">
        <v>0</v>
      </c>
      <c r="P15" s="11">
        <v>95</v>
      </c>
      <c r="Q15" s="12">
        <v>59.21</v>
      </c>
      <c r="R15" s="12">
        <v>1274.2560000000001</v>
      </c>
      <c r="S15" s="12">
        <v>0.09</v>
      </c>
      <c r="T15" s="12">
        <v>4.78</v>
      </c>
      <c r="U15" s="12">
        <v>0.11</v>
      </c>
      <c r="V15" s="12">
        <v>0.09</v>
      </c>
      <c r="W15" s="12">
        <v>7.0000000000000007E-2</v>
      </c>
      <c r="X15" s="12">
        <v>399</v>
      </c>
      <c r="Y15" s="12">
        <v>399</v>
      </c>
      <c r="Z15" s="12">
        <v>399</v>
      </c>
      <c r="AA15" s="12">
        <v>399</v>
      </c>
      <c r="AB15" s="12">
        <v>399</v>
      </c>
      <c r="AC15" s="12">
        <v>399</v>
      </c>
      <c r="AD15" s="12">
        <v>399</v>
      </c>
      <c r="AE15" s="12">
        <v>399</v>
      </c>
      <c r="AF15" s="13"/>
      <c r="AG15" s="13"/>
      <c r="AH15" s="13"/>
    </row>
    <row r="16" spans="1:34">
      <c r="A16" s="13" t="s">
        <v>87</v>
      </c>
      <c r="B16" s="13">
        <v>220029640</v>
      </c>
      <c r="C16" s="13" t="s">
        <v>88</v>
      </c>
      <c r="D16" s="13" t="s">
        <v>89</v>
      </c>
      <c r="E16" s="13">
        <v>400454000062</v>
      </c>
      <c r="F16" s="13" t="s">
        <v>90</v>
      </c>
      <c r="G16" s="13" t="s">
        <v>90</v>
      </c>
      <c r="H16" s="13" t="s">
        <v>91</v>
      </c>
      <c r="I16" s="13" t="s">
        <v>92</v>
      </c>
      <c r="J16" s="14" t="s">
        <v>93</v>
      </c>
      <c r="K16" s="13"/>
      <c r="L16" s="13">
        <v>0</v>
      </c>
      <c r="M16" s="13" t="s">
        <v>98</v>
      </c>
      <c r="N16" s="13" t="s">
        <v>91</v>
      </c>
      <c r="O16" s="13">
        <v>0</v>
      </c>
      <c r="P16" s="11">
        <v>100</v>
      </c>
      <c r="Q16" s="12">
        <v>58.36</v>
      </c>
      <c r="R16" s="12">
        <v>1274.172</v>
      </c>
      <c r="S16" s="12">
        <v>0.1</v>
      </c>
      <c r="T16" s="12">
        <v>4.9400000000000004</v>
      </c>
      <c r="U16" s="12">
        <v>0.11</v>
      </c>
      <c r="V16" s="12">
        <v>0.09</v>
      </c>
      <c r="W16" s="12">
        <v>7.0000000000000007E-2</v>
      </c>
      <c r="X16" s="12">
        <v>399</v>
      </c>
      <c r="Y16" s="12">
        <v>399</v>
      </c>
      <c r="Z16" s="12">
        <v>399</v>
      </c>
      <c r="AA16" s="12">
        <v>399</v>
      </c>
      <c r="AB16" s="12">
        <v>399</v>
      </c>
      <c r="AC16" s="12">
        <v>399</v>
      </c>
      <c r="AD16" s="12">
        <v>399</v>
      </c>
      <c r="AE16" s="12">
        <v>399</v>
      </c>
      <c r="AF16" s="13"/>
      <c r="AG16" s="13"/>
      <c r="AH16" s="13"/>
    </row>
    <row r="17" spans="1:34">
      <c r="A17" s="13" t="s">
        <v>87</v>
      </c>
      <c r="B17" s="13">
        <v>220029640</v>
      </c>
      <c r="C17" s="13" t="s">
        <v>88</v>
      </c>
      <c r="D17" s="13" t="s">
        <v>89</v>
      </c>
      <c r="E17" s="13">
        <v>400454000062</v>
      </c>
      <c r="F17" s="13" t="s">
        <v>90</v>
      </c>
      <c r="G17" s="13" t="s">
        <v>90</v>
      </c>
      <c r="H17" s="13" t="s">
        <v>91</v>
      </c>
      <c r="I17" s="13" t="s">
        <v>92</v>
      </c>
      <c r="J17" s="14" t="s">
        <v>93</v>
      </c>
      <c r="K17" s="13"/>
      <c r="L17" s="13">
        <v>0</v>
      </c>
      <c r="M17" s="13" t="s">
        <v>98</v>
      </c>
      <c r="N17" s="13" t="s">
        <v>91</v>
      </c>
      <c r="O17" s="13">
        <v>0</v>
      </c>
      <c r="P17" s="11">
        <v>105</v>
      </c>
      <c r="Q17" s="12">
        <v>57.54</v>
      </c>
      <c r="R17" s="12">
        <v>1274.085</v>
      </c>
      <c r="S17" s="12">
        <v>0.11</v>
      </c>
      <c r="T17" s="12">
        <v>5.0599999999999996</v>
      </c>
      <c r="U17" s="12">
        <v>0.11</v>
      </c>
      <c r="V17" s="12">
        <v>0.09</v>
      </c>
      <c r="W17" s="12">
        <v>7.0000000000000007E-2</v>
      </c>
      <c r="X17" s="12">
        <v>399</v>
      </c>
      <c r="Y17" s="12">
        <v>399</v>
      </c>
      <c r="Z17" s="12">
        <v>399</v>
      </c>
      <c r="AA17" s="12">
        <v>399</v>
      </c>
      <c r="AB17" s="12">
        <v>399</v>
      </c>
      <c r="AC17" s="12">
        <v>399</v>
      </c>
      <c r="AD17" s="12">
        <v>399</v>
      </c>
      <c r="AE17" s="12">
        <v>399</v>
      </c>
      <c r="AF17" s="13"/>
      <c r="AG17" s="13"/>
      <c r="AH17" s="13"/>
    </row>
    <row r="18" spans="1:34">
      <c r="A18" s="13" t="s">
        <v>87</v>
      </c>
      <c r="B18" s="13">
        <v>220029640</v>
      </c>
      <c r="C18" s="13" t="s">
        <v>88</v>
      </c>
      <c r="D18" s="13" t="s">
        <v>89</v>
      </c>
      <c r="E18" s="13">
        <v>400454000062</v>
      </c>
      <c r="F18" s="13" t="s">
        <v>90</v>
      </c>
      <c r="G18" s="13" t="s">
        <v>90</v>
      </c>
      <c r="H18" s="13" t="s">
        <v>91</v>
      </c>
      <c r="I18" s="13" t="s">
        <v>92</v>
      </c>
      <c r="J18" s="14" t="s">
        <v>93</v>
      </c>
      <c r="K18" s="13"/>
      <c r="L18" s="13">
        <v>0</v>
      </c>
      <c r="M18" s="13" t="s">
        <v>98</v>
      </c>
      <c r="N18" s="13" t="s">
        <v>91</v>
      </c>
      <c r="O18" s="13">
        <v>0</v>
      </c>
      <c r="P18" s="11">
        <v>110</v>
      </c>
      <c r="Q18" s="12">
        <v>56.68</v>
      </c>
      <c r="R18" s="12">
        <v>1274.0029999999999</v>
      </c>
      <c r="S18" s="12">
        <v>0.1</v>
      </c>
      <c r="T18" s="12">
        <v>5.14</v>
      </c>
      <c r="U18" s="12">
        <v>0.11</v>
      </c>
      <c r="V18" s="12">
        <v>0.09</v>
      </c>
      <c r="W18" s="12">
        <v>7.0000000000000007E-2</v>
      </c>
      <c r="X18" s="12">
        <v>399</v>
      </c>
      <c r="Y18" s="12">
        <v>399</v>
      </c>
      <c r="Z18" s="12">
        <v>399</v>
      </c>
      <c r="AA18" s="12">
        <v>399</v>
      </c>
      <c r="AB18" s="12">
        <v>399</v>
      </c>
      <c r="AC18" s="12">
        <v>399</v>
      </c>
      <c r="AD18" s="12">
        <v>399</v>
      </c>
      <c r="AE18" s="12">
        <v>399</v>
      </c>
      <c r="AF18" s="13"/>
      <c r="AG18" s="13"/>
      <c r="AH18" s="13"/>
    </row>
    <row r="19" spans="1:34">
      <c r="A19" s="13" t="s">
        <v>87</v>
      </c>
      <c r="B19" s="13">
        <v>220029640</v>
      </c>
      <c r="C19" s="13" t="s">
        <v>88</v>
      </c>
      <c r="D19" s="13" t="s">
        <v>89</v>
      </c>
      <c r="E19" s="13">
        <v>400454000062</v>
      </c>
      <c r="F19" s="13" t="s">
        <v>90</v>
      </c>
      <c r="G19" s="13" t="s">
        <v>90</v>
      </c>
      <c r="H19" s="13" t="s">
        <v>91</v>
      </c>
      <c r="I19" s="13" t="s">
        <v>92</v>
      </c>
      <c r="J19" s="14" t="s">
        <v>93</v>
      </c>
      <c r="K19" s="13"/>
      <c r="L19" s="13">
        <v>0</v>
      </c>
      <c r="M19" s="13" t="s">
        <v>98</v>
      </c>
      <c r="N19" s="13" t="s">
        <v>91</v>
      </c>
      <c r="O19" s="13">
        <v>0</v>
      </c>
      <c r="P19" s="11">
        <v>115</v>
      </c>
      <c r="Q19" s="12">
        <v>55.84</v>
      </c>
      <c r="R19" s="12">
        <v>1273.925</v>
      </c>
      <c r="S19" s="12">
        <v>0.09</v>
      </c>
      <c r="T19" s="12">
        <v>5.28</v>
      </c>
      <c r="U19" s="12">
        <v>0.11</v>
      </c>
      <c r="V19" s="12">
        <v>0.09</v>
      </c>
      <c r="W19" s="12">
        <v>7.0000000000000007E-2</v>
      </c>
      <c r="X19" s="12">
        <v>399</v>
      </c>
      <c r="Y19" s="12">
        <v>399</v>
      </c>
      <c r="Z19" s="12">
        <v>399</v>
      </c>
      <c r="AA19" s="12">
        <v>399</v>
      </c>
      <c r="AB19" s="12">
        <v>399</v>
      </c>
      <c r="AC19" s="12">
        <v>399</v>
      </c>
      <c r="AD19" s="12">
        <v>399</v>
      </c>
      <c r="AE19" s="12">
        <v>399</v>
      </c>
      <c r="AF19" s="13"/>
      <c r="AG19" s="13"/>
      <c r="AH19" s="13"/>
    </row>
    <row r="20" spans="1:34">
      <c r="A20" s="13" t="s">
        <v>87</v>
      </c>
      <c r="B20" s="13">
        <v>220029640</v>
      </c>
      <c r="C20" s="13" t="s">
        <v>88</v>
      </c>
      <c r="D20" s="13" t="s">
        <v>89</v>
      </c>
      <c r="E20" s="13">
        <v>400454000062</v>
      </c>
      <c r="F20" s="13" t="s">
        <v>90</v>
      </c>
      <c r="G20" s="13" t="s">
        <v>90</v>
      </c>
      <c r="H20" s="13" t="s">
        <v>91</v>
      </c>
      <c r="I20" s="13" t="s">
        <v>92</v>
      </c>
      <c r="J20" s="14" t="s">
        <v>93</v>
      </c>
      <c r="K20" s="13"/>
      <c r="L20" s="13">
        <v>0</v>
      </c>
      <c r="M20" s="13" t="s">
        <v>98</v>
      </c>
      <c r="N20" s="13" t="s">
        <v>91</v>
      </c>
      <c r="O20" s="13">
        <v>0</v>
      </c>
      <c r="P20" s="11">
        <v>120</v>
      </c>
      <c r="Q20" s="12">
        <v>55.01</v>
      </c>
      <c r="R20" s="12">
        <v>1273.848</v>
      </c>
      <c r="S20" s="12">
        <v>0.09</v>
      </c>
      <c r="T20" s="12">
        <v>5.43</v>
      </c>
      <c r="U20" s="12">
        <v>0.11</v>
      </c>
      <c r="V20" s="12">
        <v>0.09</v>
      </c>
      <c r="W20" s="12">
        <v>7.0000000000000007E-2</v>
      </c>
      <c r="X20" s="12">
        <v>399</v>
      </c>
      <c r="Y20" s="12">
        <v>399</v>
      </c>
      <c r="Z20" s="12">
        <v>399</v>
      </c>
      <c r="AA20" s="12">
        <v>399</v>
      </c>
      <c r="AB20" s="12">
        <v>399</v>
      </c>
      <c r="AC20" s="12">
        <v>399</v>
      </c>
      <c r="AD20" s="12">
        <v>399</v>
      </c>
      <c r="AE20" s="12">
        <v>399</v>
      </c>
      <c r="AF20" s="13"/>
      <c r="AG20" s="13"/>
      <c r="AH20" s="13"/>
    </row>
    <row r="21" spans="1:34">
      <c r="A21" s="13" t="s">
        <v>87</v>
      </c>
      <c r="B21" s="13">
        <v>220029640</v>
      </c>
      <c r="C21" s="13" t="s">
        <v>88</v>
      </c>
      <c r="D21" s="13" t="s">
        <v>89</v>
      </c>
      <c r="E21" s="13">
        <v>400454000062</v>
      </c>
      <c r="F21" s="13" t="s">
        <v>90</v>
      </c>
      <c r="G21" s="13" t="s">
        <v>90</v>
      </c>
      <c r="H21" s="13" t="s">
        <v>91</v>
      </c>
      <c r="I21" s="13" t="s">
        <v>92</v>
      </c>
      <c r="J21" s="14" t="s">
        <v>93</v>
      </c>
      <c r="K21" s="13"/>
      <c r="L21" s="13">
        <v>0</v>
      </c>
      <c r="M21" s="13" t="s">
        <v>98</v>
      </c>
      <c r="N21" s="13" t="s">
        <v>91</v>
      </c>
      <c r="O21" s="13">
        <v>0</v>
      </c>
      <c r="P21" s="11">
        <v>125</v>
      </c>
      <c r="Q21" s="12">
        <v>54.16</v>
      </c>
      <c r="R21" s="12">
        <v>1273.769</v>
      </c>
      <c r="S21" s="12">
        <v>0.09</v>
      </c>
      <c r="T21" s="12">
        <v>5.48</v>
      </c>
      <c r="U21" s="12">
        <v>0.11</v>
      </c>
      <c r="V21" s="12">
        <v>0.09</v>
      </c>
      <c r="W21" s="12">
        <v>7.0000000000000007E-2</v>
      </c>
      <c r="X21" s="12">
        <v>399</v>
      </c>
      <c r="Y21" s="12">
        <v>399</v>
      </c>
      <c r="Z21" s="12">
        <v>399</v>
      </c>
      <c r="AA21" s="12">
        <v>399</v>
      </c>
      <c r="AB21" s="12">
        <v>399</v>
      </c>
      <c r="AC21" s="12">
        <v>399</v>
      </c>
      <c r="AD21" s="12">
        <v>399</v>
      </c>
      <c r="AE21" s="12">
        <v>399</v>
      </c>
      <c r="AF21" s="13"/>
      <c r="AG21" s="13"/>
      <c r="AH21" s="13"/>
    </row>
    <row r="22" spans="1:34">
      <c r="A22" s="13" t="s">
        <v>87</v>
      </c>
      <c r="B22" s="13">
        <v>220029640</v>
      </c>
      <c r="C22" s="13" t="s">
        <v>88</v>
      </c>
      <c r="D22" s="13" t="s">
        <v>89</v>
      </c>
      <c r="E22" s="13">
        <v>400454000062</v>
      </c>
      <c r="F22" s="13" t="s">
        <v>90</v>
      </c>
      <c r="G22" s="13" t="s">
        <v>90</v>
      </c>
      <c r="H22" s="13" t="s">
        <v>91</v>
      </c>
      <c r="I22" s="13" t="s">
        <v>92</v>
      </c>
      <c r="J22" s="14" t="s">
        <v>93</v>
      </c>
      <c r="K22" s="13"/>
      <c r="L22" s="13">
        <v>0</v>
      </c>
      <c r="M22" s="13" t="s">
        <v>98</v>
      </c>
      <c r="N22" s="13" t="s">
        <v>91</v>
      </c>
      <c r="O22" s="13">
        <v>0</v>
      </c>
      <c r="P22" s="11">
        <v>130</v>
      </c>
      <c r="Q22" s="12">
        <v>53.32</v>
      </c>
      <c r="R22" s="12">
        <v>1273.69</v>
      </c>
      <c r="S22" s="12">
        <v>0.09</v>
      </c>
      <c r="T22" s="12">
        <v>5.62</v>
      </c>
      <c r="U22" s="12">
        <v>0.11</v>
      </c>
      <c r="V22" s="12">
        <v>0.09</v>
      </c>
      <c r="W22" s="12">
        <v>7.0000000000000007E-2</v>
      </c>
      <c r="X22" s="12">
        <v>399</v>
      </c>
      <c r="Y22" s="12">
        <v>399</v>
      </c>
      <c r="Z22" s="12">
        <v>399</v>
      </c>
      <c r="AA22" s="12">
        <v>399</v>
      </c>
      <c r="AB22" s="12">
        <v>399</v>
      </c>
      <c r="AC22" s="12">
        <v>399</v>
      </c>
      <c r="AD22" s="12">
        <v>399</v>
      </c>
      <c r="AE22" s="12">
        <v>399</v>
      </c>
      <c r="AF22" s="13"/>
      <c r="AG22" s="13"/>
      <c r="AH22" s="13"/>
    </row>
    <row r="23" spans="1:34">
      <c r="A23" s="13" t="s">
        <v>87</v>
      </c>
      <c r="B23" s="13">
        <v>220029640</v>
      </c>
      <c r="C23" s="13" t="s">
        <v>88</v>
      </c>
      <c r="D23" s="13" t="s">
        <v>89</v>
      </c>
      <c r="E23" s="13">
        <v>400454000062</v>
      </c>
      <c r="F23" s="13" t="s">
        <v>90</v>
      </c>
      <c r="G23" s="13" t="s">
        <v>90</v>
      </c>
      <c r="H23" s="13" t="s">
        <v>91</v>
      </c>
      <c r="I23" s="13" t="s">
        <v>92</v>
      </c>
      <c r="J23" s="14" t="s">
        <v>93</v>
      </c>
      <c r="K23" s="13"/>
      <c r="L23" s="13">
        <v>0</v>
      </c>
      <c r="M23" s="13" t="s">
        <v>98</v>
      </c>
      <c r="N23" s="13" t="s">
        <v>91</v>
      </c>
      <c r="O23" s="13">
        <v>0</v>
      </c>
      <c r="P23" s="11">
        <v>135</v>
      </c>
      <c r="Q23" s="12">
        <v>52.46</v>
      </c>
      <c r="R23" s="12">
        <v>1273.6110000000001</v>
      </c>
      <c r="S23" s="12">
        <v>0.09</v>
      </c>
      <c r="T23" s="12">
        <v>5.76</v>
      </c>
      <c r="U23" s="12">
        <v>0.11</v>
      </c>
      <c r="V23" s="12">
        <v>0.09</v>
      </c>
      <c r="W23" s="12">
        <v>7.0000000000000007E-2</v>
      </c>
      <c r="X23" s="12">
        <v>399</v>
      </c>
      <c r="Y23" s="12">
        <v>399</v>
      </c>
      <c r="Z23" s="12">
        <v>399</v>
      </c>
      <c r="AA23" s="12">
        <v>399</v>
      </c>
      <c r="AB23" s="12">
        <v>399</v>
      </c>
      <c r="AC23" s="12">
        <v>399</v>
      </c>
      <c r="AD23" s="12">
        <v>399</v>
      </c>
      <c r="AE23" s="12">
        <v>399</v>
      </c>
      <c r="AF23" s="13"/>
      <c r="AG23" s="13"/>
      <c r="AH23" s="13"/>
    </row>
    <row r="24" spans="1:34">
      <c r="A24" s="13" t="s">
        <v>87</v>
      </c>
      <c r="B24" s="13">
        <v>220029640</v>
      </c>
      <c r="C24" s="13" t="s">
        <v>88</v>
      </c>
      <c r="D24" s="13" t="s">
        <v>89</v>
      </c>
      <c r="E24" s="13">
        <v>400454000062</v>
      </c>
      <c r="F24" s="13" t="s">
        <v>90</v>
      </c>
      <c r="G24" s="13" t="s">
        <v>90</v>
      </c>
      <c r="H24" s="13" t="s">
        <v>91</v>
      </c>
      <c r="I24" s="13" t="s">
        <v>92</v>
      </c>
      <c r="J24" s="14" t="s">
        <v>93</v>
      </c>
      <c r="K24" s="13"/>
      <c r="L24" s="13">
        <v>0</v>
      </c>
      <c r="M24" s="13" t="s">
        <v>98</v>
      </c>
      <c r="N24" s="13" t="s">
        <v>91</v>
      </c>
      <c r="O24" s="13">
        <v>0</v>
      </c>
      <c r="P24" s="11">
        <v>140</v>
      </c>
      <c r="Q24" s="12">
        <v>51.61</v>
      </c>
      <c r="R24" s="12">
        <v>1273.5340000000001</v>
      </c>
      <c r="S24" s="12">
        <v>0.09</v>
      </c>
      <c r="T24" s="12">
        <v>5.79</v>
      </c>
      <c r="U24" s="12">
        <v>0.11</v>
      </c>
      <c r="V24" s="12">
        <v>0.09</v>
      </c>
      <c r="W24" s="12">
        <v>7.0000000000000007E-2</v>
      </c>
      <c r="X24" s="12">
        <v>399</v>
      </c>
      <c r="Y24" s="12">
        <v>399</v>
      </c>
      <c r="Z24" s="12">
        <v>399</v>
      </c>
      <c r="AA24" s="12">
        <v>399</v>
      </c>
      <c r="AB24" s="12">
        <v>399</v>
      </c>
      <c r="AC24" s="12">
        <v>399</v>
      </c>
      <c r="AD24" s="12">
        <v>399</v>
      </c>
      <c r="AE24" s="12">
        <v>399</v>
      </c>
      <c r="AF24" s="13"/>
      <c r="AG24" s="13"/>
      <c r="AH24" s="13"/>
    </row>
    <row r="25" spans="1:34">
      <c r="A25" s="13" t="s">
        <v>87</v>
      </c>
      <c r="B25" s="13">
        <v>220029640</v>
      </c>
      <c r="C25" s="13" t="s">
        <v>88</v>
      </c>
      <c r="D25" s="13" t="s">
        <v>89</v>
      </c>
      <c r="E25" s="13">
        <v>400454000062</v>
      </c>
      <c r="F25" s="13" t="s">
        <v>90</v>
      </c>
      <c r="G25" s="13" t="s">
        <v>90</v>
      </c>
      <c r="H25" s="13" t="s">
        <v>91</v>
      </c>
      <c r="I25" s="13" t="s">
        <v>92</v>
      </c>
      <c r="J25" s="14" t="s">
        <v>93</v>
      </c>
      <c r="K25" s="13"/>
      <c r="L25" s="13">
        <v>0</v>
      </c>
      <c r="M25" s="13" t="s">
        <v>98</v>
      </c>
      <c r="N25" s="13" t="s">
        <v>91</v>
      </c>
      <c r="O25" s="13">
        <v>0</v>
      </c>
      <c r="P25" s="11">
        <v>145</v>
      </c>
      <c r="Q25" s="12">
        <v>50.75</v>
      </c>
      <c r="R25" s="12">
        <v>1273.4549999999999</v>
      </c>
      <c r="S25" s="12">
        <v>0.09</v>
      </c>
      <c r="T25" s="12">
        <v>5.77</v>
      </c>
      <c r="U25" s="12">
        <v>0.11</v>
      </c>
      <c r="V25" s="12">
        <v>0.09</v>
      </c>
      <c r="W25" s="12">
        <v>7.0000000000000007E-2</v>
      </c>
      <c r="X25" s="12">
        <v>399</v>
      </c>
      <c r="Y25" s="12">
        <v>399</v>
      </c>
      <c r="Z25" s="12">
        <v>399</v>
      </c>
      <c r="AA25" s="12">
        <v>399</v>
      </c>
      <c r="AB25" s="12">
        <v>399</v>
      </c>
      <c r="AC25" s="12">
        <v>399</v>
      </c>
      <c r="AD25" s="12">
        <v>399</v>
      </c>
      <c r="AE25" s="12">
        <v>399</v>
      </c>
      <c r="AF25" s="13"/>
      <c r="AG25" s="13"/>
      <c r="AH25" s="13"/>
    </row>
    <row r="26" spans="1:34">
      <c r="A26" s="13" t="s">
        <v>87</v>
      </c>
      <c r="B26" s="13">
        <v>220029640</v>
      </c>
      <c r="C26" s="13" t="s">
        <v>88</v>
      </c>
      <c r="D26" s="13" t="s">
        <v>89</v>
      </c>
      <c r="E26" s="13">
        <v>400454000062</v>
      </c>
      <c r="F26" s="13" t="s">
        <v>90</v>
      </c>
      <c r="G26" s="13" t="s">
        <v>90</v>
      </c>
      <c r="H26" s="13" t="s">
        <v>91</v>
      </c>
      <c r="I26" s="13" t="s">
        <v>92</v>
      </c>
      <c r="J26" s="14" t="s">
        <v>93</v>
      </c>
      <c r="K26" s="13"/>
      <c r="L26" s="13">
        <v>0</v>
      </c>
      <c r="M26" s="13" t="s">
        <v>98</v>
      </c>
      <c r="N26" s="13" t="s">
        <v>91</v>
      </c>
      <c r="O26" s="13">
        <v>0</v>
      </c>
      <c r="P26" s="11">
        <v>150</v>
      </c>
      <c r="Q26" s="12">
        <v>49.93</v>
      </c>
      <c r="R26" s="12">
        <v>1273.377</v>
      </c>
      <c r="S26" s="12">
        <v>0.1</v>
      </c>
      <c r="T26" s="12">
        <v>5.86</v>
      </c>
      <c r="U26" s="12">
        <v>0.11</v>
      </c>
      <c r="V26" s="12">
        <v>0.09</v>
      </c>
      <c r="W26" s="12">
        <v>7.0000000000000007E-2</v>
      </c>
      <c r="X26" s="12">
        <v>399</v>
      </c>
      <c r="Y26" s="12">
        <v>399</v>
      </c>
      <c r="Z26" s="12">
        <v>399</v>
      </c>
      <c r="AA26" s="12">
        <v>399</v>
      </c>
      <c r="AB26" s="12">
        <v>399</v>
      </c>
      <c r="AC26" s="12">
        <v>399</v>
      </c>
      <c r="AD26" s="12">
        <v>399</v>
      </c>
      <c r="AE26" s="12">
        <v>399</v>
      </c>
      <c r="AF26" s="13"/>
      <c r="AG26" s="13"/>
      <c r="AH26" s="13"/>
    </row>
    <row r="27" spans="1:34">
      <c r="A27" s="13" t="s">
        <v>87</v>
      </c>
      <c r="B27" s="13">
        <v>220029640</v>
      </c>
      <c r="C27" s="13" t="s">
        <v>88</v>
      </c>
      <c r="D27" s="13" t="s">
        <v>89</v>
      </c>
      <c r="E27" s="13">
        <v>400454000062</v>
      </c>
      <c r="F27" s="13" t="s">
        <v>90</v>
      </c>
      <c r="G27" s="13" t="s">
        <v>90</v>
      </c>
      <c r="H27" s="13" t="s">
        <v>91</v>
      </c>
      <c r="I27" s="13" t="s">
        <v>92</v>
      </c>
      <c r="J27" s="14" t="s">
        <v>93</v>
      </c>
      <c r="K27" s="13"/>
      <c r="L27" s="13">
        <v>0</v>
      </c>
      <c r="M27" s="13" t="s">
        <v>98</v>
      </c>
      <c r="N27" s="13" t="s">
        <v>91</v>
      </c>
      <c r="O27" s="13">
        <v>0</v>
      </c>
      <c r="P27" s="11">
        <v>155</v>
      </c>
      <c r="Q27" s="12">
        <v>49.2</v>
      </c>
      <c r="R27" s="12">
        <v>1273.296</v>
      </c>
      <c r="S27" s="12">
        <v>0.11</v>
      </c>
      <c r="T27" s="12">
        <v>5.92</v>
      </c>
      <c r="U27" s="12">
        <v>0.11</v>
      </c>
      <c r="V27" s="12">
        <v>0.09</v>
      </c>
      <c r="W27" s="12">
        <v>7.0000000000000007E-2</v>
      </c>
      <c r="X27" s="12">
        <v>399</v>
      </c>
      <c r="Y27" s="12">
        <v>399</v>
      </c>
      <c r="Z27" s="12">
        <v>399</v>
      </c>
      <c r="AA27" s="12">
        <v>399</v>
      </c>
      <c r="AB27" s="12">
        <v>399</v>
      </c>
      <c r="AC27" s="12">
        <v>399</v>
      </c>
      <c r="AD27" s="12">
        <v>399</v>
      </c>
      <c r="AE27" s="12">
        <v>399</v>
      </c>
      <c r="AF27" s="13"/>
      <c r="AG27" s="13"/>
      <c r="AH27" s="13"/>
    </row>
    <row r="28" spans="1:34">
      <c r="A28" s="13" t="s">
        <v>87</v>
      </c>
      <c r="B28" s="13">
        <v>220029640</v>
      </c>
      <c r="C28" s="13" t="s">
        <v>88</v>
      </c>
      <c r="D28" s="13" t="s">
        <v>89</v>
      </c>
      <c r="E28" s="13">
        <v>400454000062</v>
      </c>
      <c r="F28" s="13" t="s">
        <v>90</v>
      </c>
      <c r="G28" s="13" t="s">
        <v>90</v>
      </c>
      <c r="H28" s="13" t="s">
        <v>91</v>
      </c>
      <c r="I28" s="13" t="s">
        <v>92</v>
      </c>
      <c r="J28" s="14" t="s">
        <v>93</v>
      </c>
      <c r="K28" s="13"/>
      <c r="L28" s="13">
        <v>0</v>
      </c>
      <c r="M28" s="13" t="s">
        <v>98</v>
      </c>
      <c r="N28" s="13" t="s">
        <v>91</v>
      </c>
      <c r="O28" s="13">
        <v>0</v>
      </c>
      <c r="P28" s="11">
        <v>160</v>
      </c>
      <c r="Q28" s="12">
        <v>48.12</v>
      </c>
      <c r="R28" s="12">
        <v>1273.2159999999999</v>
      </c>
      <c r="S28" s="12">
        <v>7.0000000000000007E-2</v>
      </c>
      <c r="T28" s="12">
        <v>6.11</v>
      </c>
      <c r="U28" s="12">
        <v>0.11</v>
      </c>
      <c r="V28" s="12">
        <v>0.09</v>
      </c>
      <c r="W28" s="12">
        <v>7.0000000000000007E-2</v>
      </c>
      <c r="X28" s="12">
        <v>399</v>
      </c>
      <c r="Y28" s="12">
        <v>399</v>
      </c>
      <c r="Z28" s="12">
        <v>399</v>
      </c>
      <c r="AA28" s="12">
        <v>399</v>
      </c>
      <c r="AB28" s="12">
        <v>399</v>
      </c>
      <c r="AC28" s="12">
        <v>399</v>
      </c>
      <c r="AD28" s="12">
        <v>399</v>
      </c>
      <c r="AE28" s="12">
        <v>399</v>
      </c>
      <c r="AF28" s="13"/>
      <c r="AG28" s="13"/>
      <c r="AH28" s="13"/>
    </row>
    <row r="29" spans="1:34">
      <c r="A29" s="13" t="s">
        <v>87</v>
      </c>
      <c r="B29" s="13">
        <v>220029640</v>
      </c>
      <c r="C29" s="13" t="s">
        <v>88</v>
      </c>
      <c r="D29" s="13" t="s">
        <v>89</v>
      </c>
      <c r="E29" s="13">
        <v>400454000062</v>
      </c>
      <c r="F29" s="13" t="s">
        <v>90</v>
      </c>
      <c r="G29" s="13" t="s">
        <v>90</v>
      </c>
      <c r="H29" s="13" t="s">
        <v>91</v>
      </c>
      <c r="I29" s="13" t="s">
        <v>92</v>
      </c>
      <c r="J29" s="14" t="s">
        <v>93</v>
      </c>
      <c r="K29" s="13"/>
      <c r="L29" s="13">
        <v>0</v>
      </c>
      <c r="M29" s="13" t="s">
        <v>98</v>
      </c>
      <c r="N29" s="13" t="s">
        <v>91</v>
      </c>
      <c r="O29" s="13">
        <v>0</v>
      </c>
      <c r="P29" s="11">
        <v>165</v>
      </c>
      <c r="Q29" s="12">
        <v>47.27</v>
      </c>
      <c r="R29" s="12">
        <v>1273.126</v>
      </c>
      <c r="S29" s="12">
        <v>0.11</v>
      </c>
      <c r="T29" s="12">
        <v>6.29</v>
      </c>
      <c r="U29" s="12">
        <v>0.11</v>
      </c>
      <c r="V29" s="12">
        <v>0.09</v>
      </c>
      <c r="W29" s="12">
        <v>7.0000000000000007E-2</v>
      </c>
      <c r="X29" s="12">
        <v>399</v>
      </c>
      <c r="Y29" s="12">
        <v>399</v>
      </c>
      <c r="Z29" s="12">
        <v>399</v>
      </c>
      <c r="AA29" s="12">
        <v>399</v>
      </c>
      <c r="AB29" s="12">
        <v>399</v>
      </c>
      <c r="AC29" s="12">
        <v>399</v>
      </c>
      <c r="AD29" s="12">
        <v>399</v>
      </c>
      <c r="AE29" s="12">
        <v>399</v>
      </c>
      <c r="AF29" s="13"/>
      <c r="AG29" s="13"/>
      <c r="AH29" s="13"/>
    </row>
    <row r="30" spans="1:34">
      <c r="A30" s="13" t="s">
        <v>87</v>
      </c>
      <c r="B30" s="13">
        <v>220029640</v>
      </c>
      <c r="C30" s="13" t="s">
        <v>88</v>
      </c>
      <c r="D30" s="13" t="s">
        <v>89</v>
      </c>
      <c r="E30" s="13">
        <v>400454000062</v>
      </c>
      <c r="F30" s="13" t="s">
        <v>90</v>
      </c>
      <c r="G30" s="13" t="s">
        <v>90</v>
      </c>
      <c r="H30" s="13" t="s">
        <v>91</v>
      </c>
      <c r="I30" s="13" t="s">
        <v>92</v>
      </c>
      <c r="J30" s="14" t="s">
        <v>93</v>
      </c>
      <c r="K30" s="13"/>
      <c r="L30" s="13">
        <v>0</v>
      </c>
      <c r="M30" s="13" t="s">
        <v>98</v>
      </c>
      <c r="N30" s="13" t="s">
        <v>91</v>
      </c>
      <c r="O30" s="13">
        <v>0</v>
      </c>
      <c r="P30" s="11">
        <v>170</v>
      </c>
      <c r="Q30" s="12">
        <v>46.4</v>
      </c>
      <c r="R30" s="12">
        <v>1273.0450000000001</v>
      </c>
      <c r="S30" s="12">
        <v>0.09</v>
      </c>
      <c r="T30" s="12">
        <v>6.45</v>
      </c>
      <c r="U30" s="12">
        <v>0.11</v>
      </c>
      <c r="V30" s="12">
        <v>0.09</v>
      </c>
      <c r="W30" s="12">
        <v>7.0000000000000007E-2</v>
      </c>
      <c r="X30" s="12">
        <v>399</v>
      </c>
      <c r="Y30" s="12">
        <v>399</v>
      </c>
      <c r="Z30" s="12">
        <v>399</v>
      </c>
      <c r="AA30" s="12">
        <v>399</v>
      </c>
      <c r="AB30" s="12">
        <v>399</v>
      </c>
      <c r="AC30" s="12">
        <v>399</v>
      </c>
      <c r="AD30" s="12">
        <v>399</v>
      </c>
      <c r="AE30" s="12">
        <v>399</v>
      </c>
      <c r="AF30" s="13"/>
      <c r="AG30" s="13"/>
      <c r="AH30" s="13"/>
    </row>
    <row r="31" spans="1:34">
      <c r="A31" s="13" t="s">
        <v>87</v>
      </c>
      <c r="B31" s="13">
        <v>220029640</v>
      </c>
      <c r="C31" s="13" t="s">
        <v>88</v>
      </c>
      <c r="D31" s="13" t="s">
        <v>89</v>
      </c>
      <c r="E31" s="13">
        <v>400454000062</v>
      </c>
      <c r="F31" s="13" t="s">
        <v>90</v>
      </c>
      <c r="G31" s="13" t="s">
        <v>90</v>
      </c>
      <c r="H31" s="13" t="s">
        <v>91</v>
      </c>
      <c r="I31" s="13" t="s">
        <v>92</v>
      </c>
      <c r="J31" s="14" t="s">
        <v>93</v>
      </c>
      <c r="K31" s="13"/>
      <c r="L31" s="13">
        <v>0</v>
      </c>
      <c r="M31" s="13" t="s">
        <v>98</v>
      </c>
      <c r="N31" s="13" t="s">
        <v>91</v>
      </c>
      <c r="O31" s="13">
        <v>0</v>
      </c>
      <c r="P31" s="11">
        <v>175</v>
      </c>
      <c r="Q31" s="12">
        <v>45.59</v>
      </c>
      <c r="R31" s="12">
        <v>1272.9639999999999</v>
      </c>
      <c r="S31" s="12">
        <v>0.1</v>
      </c>
      <c r="T31" s="12">
        <v>6.54</v>
      </c>
      <c r="U31" s="12">
        <v>0.11</v>
      </c>
      <c r="V31" s="12">
        <v>0.09</v>
      </c>
      <c r="W31" s="12">
        <v>7.0000000000000007E-2</v>
      </c>
      <c r="X31" s="12">
        <v>399</v>
      </c>
      <c r="Y31" s="12">
        <v>399</v>
      </c>
      <c r="Z31" s="12">
        <v>399</v>
      </c>
      <c r="AA31" s="12">
        <v>399</v>
      </c>
      <c r="AB31" s="12">
        <v>399</v>
      </c>
      <c r="AC31" s="12">
        <v>399</v>
      </c>
      <c r="AD31" s="12">
        <v>399</v>
      </c>
      <c r="AE31" s="12">
        <v>399</v>
      </c>
      <c r="AF31" s="13"/>
      <c r="AG31" s="13"/>
      <c r="AH31" s="13"/>
    </row>
    <row r="32" spans="1:34">
      <c r="A32" s="13" t="s">
        <v>87</v>
      </c>
      <c r="B32" s="13">
        <v>220029640</v>
      </c>
      <c r="C32" s="13" t="s">
        <v>88</v>
      </c>
      <c r="D32" s="13" t="s">
        <v>89</v>
      </c>
      <c r="E32" s="13">
        <v>400454000062</v>
      </c>
      <c r="F32" s="13" t="s">
        <v>90</v>
      </c>
      <c r="G32" s="13" t="s">
        <v>90</v>
      </c>
      <c r="H32" s="13" t="s">
        <v>91</v>
      </c>
      <c r="I32" s="13" t="s">
        <v>92</v>
      </c>
      <c r="J32" s="14" t="s">
        <v>93</v>
      </c>
      <c r="K32" s="13"/>
      <c r="L32" s="13">
        <v>0</v>
      </c>
      <c r="M32" s="13" t="s">
        <v>98</v>
      </c>
      <c r="N32" s="13" t="s">
        <v>91</v>
      </c>
      <c r="O32" s="13">
        <v>0</v>
      </c>
      <c r="P32" s="11">
        <v>180</v>
      </c>
      <c r="Q32" s="12">
        <v>44.75</v>
      </c>
      <c r="R32" s="12">
        <v>1272.884</v>
      </c>
      <c r="S32" s="12">
        <v>0.1</v>
      </c>
      <c r="T32" s="12">
        <v>6.61</v>
      </c>
      <c r="U32" s="12">
        <v>0.11</v>
      </c>
      <c r="V32" s="12">
        <v>0.09</v>
      </c>
      <c r="W32" s="12">
        <v>7.0000000000000007E-2</v>
      </c>
      <c r="X32" s="12">
        <v>399</v>
      </c>
      <c r="Y32" s="12">
        <v>399</v>
      </c>
      <c r="Z32" s="12">
        <v>399</v>
      </c>
      <c r="AA32" s="12">
        <v>399</v>
      </c>
      <c r="AB32" s="12">
        <v>399</v>
      </c>
      <c r="AC32" s="12">
        <v>399</v>
      </c>
      <c r="AD32" s="12">
        <v>399</v>
      </c>
      <c r="AE32" s="12">
        <v>399</v>
      </c>
      <c r="AF32" s="13"/>
      <c r="AG32" s="13"/>
      <c r="AH32" s="13"/>
    </row>
    <row r="33" spans="1:34">
      <c r="A33" s="13" t="s">
        <v>87</v>
      </c>
      <c r="B33" s="13">
        <v>220029640</v>
      </c>
      <c r="C33" s="13" t="s">
        <v>88</v>
      </c>
      <c r="D33" s="13" t="s">
        <v>89</v>
      </c>
      <c r="E33" s="13">
        <v>400454000062</v>
      </c>
      <c r="F33" s="13" t="s">
        <v>90</v>
      </c>
      <c r="G33" s="13" t="s">
        <v>90</v>
      </c>
      <c r="H33" s="13" t="s">
        <v>91</v>
      </c>
      <c r="I33" s="13" t="s">
        <v>92</v>
      </c>
      <c r="J33" s="14" t="s">
        <v>93</v>
      </c>
      <c r="K33" s="13"/>
      <c r="L33" s="13">
        <v>0</v>
      </c>
      <c r="M33" s="13" t="s">
        <v>98</v>
      </c>
      <c r="N33" s="13" t="s">
        <v>91</v>
      </c>
      <c r="O33" s="13">
        <v>0</v>
      </c>
      <c r="P33" s="11">
        <v>185</v>
      </c>
      <c r="Q33" s="12">
        <v>43.89</v>
      </c>
      <c r="R33" s="12">
        <v>1272.8040000000001</v>
      </c>
      <c r="S33" s="12">
        <v>0.09</v>
      </c>
      <c r="T33" s="12">
        <v>6.66</v>
      </c>
      <c r="U33" s="12">
        <v>0.11</v>
      </c>
      <c r="V33" s="12">
        <v>0.09</v>
      </c>
      <c r="W33" s="12">
        <v>7.0000000000000007E-2</v>
      </c>
      <c r="X33" s="12">
        <v>399</v>
      </c>
      <c r="Y33" s="12">
        <v>399</v>
      </c>
      <c r="Z33" s="12">
        <v>399</v>
      </c>
      <c r="AA33" s="12">
        <v>399</v>
      </c>
      <c r="AB33" s="12">
        <v>399</v>
      </c>
      <c r="AC33" s="12">
        <v>399</v>
      </c>
      <c r="AD33" s="12">
        <v>399</v>
      </c>
      <c r="AE33" s="12">
        <v>399</v>
      </c>
      <c r="AF33" s="13"/>
      <c r="AG33" s="13"/>
      <c r="AH33" s="13"/>
    </row>
    <row r="34" spans="1:34">
      <c r="A34" s="13" t="s">
        <v>87</v>
      </c>
      <c r="B34" s="13">
        <v>220029640</v>
      </c>
      <c r="C34" s="13" t="s">
        <v>88</v>
      </c>
      <c r="D34" s="13" t="s">
        <v>89</v>
      </c>
      <c r="E34" s="13">
        <v>400454000062</v>
      </c>
      <c r="F34" s="13" t="s">
        <v>90</v>
      </c>
      <c r="G34" s="13" t="s">
        <v>90</v>
      </c>
      <c r="H34" s="13" t="s">
        <v>91</v>
      </c>
      <c r="I34" s="13" t="s">
        <v>92</v>
      </c>
      <c r="J34" s="14" t="s">
        <v>93</v>
      </c>
      <c r="K34" s="13"/>
      <c r="L34" s="13">
        <v>0</v>
      </c>
      <c r="M34" s="13" t="s">
        <v>98</v>
      </c>
      <c r="N34" s="13" t="s">
        <v>91</v>
      </c>
      <c r="O34" s="13">
        <v>0</v>
      </c>
      <c r="P34" s="11">
        <v>190</v>
      </c>
      <c r="Q34" s="12">
        <v>43.07</v>
      </c>
      <c r="R34" s="12">
        <v>1272.7270000000001</v>
      </c>
      <c r="S34" s="12">
        <v>0.09</v>
      </c>
      <c r="T34" s="12">
        <v>6.79</v>
      </c>
      <c r="U34" s="12">
        <v>0.11</v>
      </c>
      <c r="V34" s="12">
        <v>0.09</v>
      </c>
      <c r="W34" s="12">
        <v>7.0000000000000007E-2</v>
      </c>
      <c r="X34" s="12">
        <v>399</v>
      </c>
      <c r="Y34" s="12">
        <v>399</v>
      </c>
      <c r="Z34" s="12">
        <v>399</v>
      </c>
      <c r="AA34" s="12">
        <v>399</v>
      </c>
      <c r="AB34" s="12">
        <v>399</v>
      </c>
      <c r="AC34" s="12">
        <v>399</v>
      </c>
      <c r="AD34" s="12">
        <v>399</v>
      </c>
      <c r="AE34" s="12">
        <v>399</v>
      </c>
      <c r="AF34" s="13"/>
      <c r="AG34" s="13"/>
      <c r="AH34" s="13"/>
    </row>
    <row r="35" spans="1:34">
      <c r="A35" s="13" t="s">
        <v>87</v>
      </c>
      <c r="B35" s="13">
        <v>220029640</v>
      </c>
      <c r="C35" s="13" t="s">
        <v>88</v>
      </c>
      <c r="D35" s="13" t="s">
        <v>89</v>
      </c>
      <c r="E35" s="13">
        <v>400454000062</v>
      </c>
      <c r="F35" s="13" t="s">
        <v>90</v>
      </c>
      <c r="G35" s="13" t="s">
        <v>90</v>
      </c>
      <c r="H35" s="13" t="s">
        <v>91</v>
      </c>
      <c r="I35" s="13" t="s">
        <v>92</v>
      </c>
      <c r="J35" s="14" t="s">
        <v>93</v>
      </c>
      <c r="K35" s="13"/>
      <c r="L35" s="13">
        <v>0</v>
      </c>
      <c r="M35" s="13" t="s">
        <v>98</v>
      </c>
      <c r="N35" s="13" t="s">
        <v>91</v>
      </c>
      <c r="O35" s="13">
        <v>0</v>
      </c>
      <c r="P35" s="11">
        <v>195</v>
      </c>
      <c r="Q35" s="12">
        <v>42.24</v>
      </c>
      <c r="R35" s="12">
        <v>1272.644</v>
      </c>
      <c r="S35" s="12">
        <v>0.1</v>
      </c>
      <c r="T35" s="12">
        <v>6.83</v>
      </c>
      <c r="U35" s="12">
        <v>0.11</v>
      </c>
      <c r="V35" s="12">
        <v>0.09</v>
      </c>
      <c r="W35" s="12">
        <v>7.0000000000000007E-2</v>
      </c>
      <c r="X35" s="12">
        <v>399</v>
      </c>
      <c r="Y35" s="12">
        <v>399</v>
      </c>
      <c r="Z35" s="12">
        <v>399</v>
      </c>
      <c r="AA35" s="12">
        <v>399</v>
      </c>
      <c r="AB35" s="12">
        <v>399</v>
      </c>
      <c r="AC35" s="12">
        <v>399</v>
      </c>
      <c r="AD35" s="12">
        <v>399</v>
      </c>
      <c r="AE35" s="12">
        <v>399</v>
      </c>
      <c r="AF35" s="13"/>
      <c r="AG35" s="13"/>
      <c r="AH35" s="13"/>
    </row>
    <row r="36" spans="1:34">
      <c r="A36" s="13" t="s">
        <v>87</v>
      </c>
      <c r="B36" s="13">
        <v>220029640</v>
      </c>
      <c r="C36" s="13" t="s">
        <v>88</v>
      </c>
      <c r="D36" s="13" t="s">
        <v>89</v>
      </c>
      <c r="E36" s="13">
        <v>400454000062</v>
      </c>
      <c r="F36" s="13" t="s">
        <v>90</v>
      </c>
      <c r="G36" s="13" t="s">
        <v>90</v>
      </c>
      <c r="H36" s="13" t="s">
        <v>91</v>
      </c>
      <c r="I36" s="13" t="s">
        <v>92</v>
      </c>
      <c r="J36" s="14" t="s">
        <v>93</v>
      </c>
      <c r="K36" s="13"/>
      <c r="L36" s="13">
        <v>0</v>
      </c>
      <c r="M36" s="13" t="s">
        <v>98</v>
      </c>
      <c r="N36" s="13" t="s">
        <v>91</v>
      </c>
      <c r="O36" s="13">
        <v>0</v>
      </c>
      <c r="P36" s="11">
        <v>200</v>
      </c>
      <c r="Q36" s="12">
        <v>41.42</v>
      </c>
      <c r="R36" s="12">
        <v>1272.566</v>
      </c>
      <c r="S36" s="12">
        <v>0.1</v>
      </c>
      <c r="T36" s="12">
        <v>6.84</v>
      </c>
      <c r="U36" s="12">
        <v>0.11</v>
      </c>
      <c r="V36" s="12">
        <v>0.09</v>
      </c>
      <c r="W36" s="12">
        <v>7.0000000000000007E-2</v>
      </c>
      <c r="X36" s="12">
        <v>399</v>
      </c>
      <c r="Y36" s="12">
        <v>399</v>
      </c>
      <c r="Z36" s="12">
        <v>399</v>
      </c>
      <c r="AA36" s="12">
        <v>399</v>
      </c>
      <c r="AB36" s="12">
        <v>399</v>
      </c>
      <c r="AC36" s="12">
        <v>399</v>
      </c>
      <c r="AD36" s="12">
        <v>399</v>
      </c>
      <c r="AE36" s="12">
        <v>399</v>
      </c>
      <c r="AF36" s="13"/>
      <c r="AG36" s="13"/>
      <c r="AH36" s="13"/>
    </row>
    <row r="37" spans="1:34">
      <c r="A37" s="13" t="s">
        <v>87</v>
      </c>
      <c r="B37" s="13">
        <v>220029640</v>
      </c>
      <c r="C37" s="13" t="s">
        <v>88</v>
      </c>
      <c r="D37" s="13" t="s">
        <v>89</v>
      </c>
      <c r="E37" s="13">
        <v>400454000062</v>
      </c>
      <c r="F37" s="13" t="s">
        <v>90</v>
      </c>
      <c r="G37" s="13" t="s">
        <v>90</v>
      </c>
      <c r="H37" s="13" t="s">
        <v>91</v>
      </c>
      <c r="I37" s="13" t="s">
        <v>92</v>
      </c>
      <c r="J37" s="14" t="s">
        <v>93</v>
      </c>
      <c r="K37" s="13"/>
      <c r="L37" s="13">
        <v>0</v>
      </c>
      <c r="M37" s="13" t="s">
        <v>98</v>
      </c>
      <c r="N37" s="13" t="s">
        <v>91</v>
      </c>
      <c r="O37" s="13">
        <v>0</v>
      </c>
      <c r="P37" s="11">
        <v>205</v>
      </c>
      <c r="Q37" s="12">
        <v>40.64</v>
      </c>
      <c r="R37" s="12">
        <v>1272.489</v>
      </c>
      <c r="S37" s="12">
        <v>0.1</v>
      </c>
      <c r="T37" s="12">
        <v>6.93</v>
      </c>
      <c r="U37" s="12">
        <v>0.11</v>
      </c>
      <c r="V37" s="12">
        <v>0.09</v>
      </c>
      <c r="W37" s="12">
        <v>7.0000000000000007E-2</v>
      </c>
      <c r="X37" s="12">
        <v>399</v>
      </c>
      <c r="Y37" s="12">
        <v>399</v>
      </c>
      <c r="Z37" s="12">
        <v>399</v>
      </c>
      <c r="AA37" s="12">
        <v>399</v>
      </c>
      <c r="AB37" s="12">
        <v>399</v>
      </c>
      <c r="AC37" s="12">
        <v>399</v>
      </c>
      <c r="AD37" s="12">
        <v>399</v>
      </c>
      <c r="AE37" s="12">
        <v>399</v>
      </c>
      <c r="AF37" s="13"/>
      <c r="AG37" s="13"/>
      <c r="AH37" s="13"/>
    </row>
    <row r="38" spans="1:34">
      <c r="A38" s="13" t="s">
        <v>87</v>
      </c>
      <c r="B38" s="13">
        <v>220029640</v>
      </c>
      <c r="C38" s="13" t="s">
        <v>88</v>
      </c>
      <c r="D38" s="13" t="s">
        <v>89</v>
      </c>
      <c r="E38" s="13">
        <v>400454000062</v>
      </c>
      <c r="F38" s="13" t="s">
        <v>90</v>
      </c>
      <c r="G38" s="13" t="s">
        <v>90</v>
      </c>
      <c r="H38" s="13" t="s">
        <v>91</v>
      </c>
      <c r="I38" s="13" t="s">
        <v>92</v>
      </c>
      <c r="J38" s="14" t="s">
        <v>93</v>
      </c>
      <c r="K38" s="13"/>
      <c r="L38" s="13">
        <v>0</v>
      </c>
      <c r="M38" s="13" t="s">
        <v>98</v>
      </c>
      <c r="N38" s="13" t="s">
        <v>91</v>
      </c>
      <c r="O38" s="13">
        <v>0</v>
      </c>
      <c r="P38" s="11">
        <v>210</v>
      </c>
      <c r="Q38" s="12">
        <v>39.72</v>
      </c>
      <c r="R38" s="12">
        <v>1272.412</v>
      </c>
      <c r="S38" s="12">
        <v>0.08</v>
      </c>
      <c r="T38" s="12">
        <v>6.99</v>
      </c>
      <c r="U38" s="12">
        <v>0.11</v>
      </c>
      <c r="V38" s="12">
        <v>0.09</v>
      </c>
      <c r="W38" s="12">
        <v>7.0000000000000007E-2</v>
      </c>
      <c r="X38" s="12">
        <v>399</v>
      </c>
      <c r="Y38" s="12">
        <v>399</v>
      </c>
      <c r="Z38" s="12">
        <v>399</v>
      </c>
      <c r="AA38" s="12">
        <v>399</v>
      </c>
      <c r="AB38" s="12">
        <v>399</v>
      </c>
      <c r="AC38" s="12">
        <v>399</v>
      </c>
      <c r="AD38" s="12">
        <v>399</v>
      </c>
      <c r="AE38" s="12">
        <v>399</v>
      </c>
      <c r="AF38" s="13"/>
      <c r="AG38" s="13"/>
      <c r="AH38" s="13"/>
    </row>
    <row r="39" spans="1:34">
      <c r="A39" s="13" t="s">
        <v>87</v>
      </c>
      <c r="B39" s="13">
        <v>220029640</v>
      </c>
      <c r="C39" s="13" t="s">
        <v>88</v>
      </c>
      <c r="D39" s="13" t="s">
        <v>89</v>
      </c>
      <c r="E39" s="13">
        <v>400454000062</v>
      </c>
      <c r="F39" s="13" t="s">
        <v>90</v>
      </c>
      <c r="G39" s="13" t="s">
        <v>90</v>
      </c>
      <c r="H39" s="13" t="s">
        <v>91</v>
      </c>
      <c r="I39" s="13" t="s">
        <v>92</v>
      </c>
      <c r="J39" s="14" t="s">
        <v>93</v>
      </c>
      <c r="K39" s="13"/>
      <c r="L39" s="13">
        <v>0</v>
      </c>
      <c r="M39" s="13" t="s">
        <v>98</v>
      </c>
      <c r="N39" s="13" t="s">
        <v>91</v>
      </c>
      <c r="O39" s="13">
        <v>0</v>
      </c>
      <c r="P39" s="11">
        <v>215</v>
      </c>
      <c r="Q39" s="12">
        <v>38.81</v>
      </c>
      <c r="R39" s="12">
        <v>1272.33</v>
      </c>
      <c r="S39" s="12">
        <v>0.09</v>
      </c>
      <c r="T39" s="12">
        <v>7.14</v>
      </c>
      <c r="U39" s="12">
        <v>0.11</v>
      </c>
      <c r="V39" s="12">
        <v>0.09</v>
      </c>
      <c r="W39" s="12">
        <v>7.0000000000000007E-2</v>
      </c>
      <c r="X39" s="12">
        <v>399</v>
      </c>
      <c r="Y39" s="12">
        <v>399</v>
      </c>
      <c r="Z39" s="12">
        <v>399</v>
      </c>
      <c r="AA39" s="12">
        <v>399</v>
      </c>
      <c r="AB39" s="12">
        <v>399</v>
      </c>
      <c r="AC39" s="12">
        <v>399</v>
      </c>
      <c r="AD39" s="12">
        <v>399</v>
      </c>
      <c r="AE39" s="12">
        <v>399</v>
      </c>
      <c r="AF39" s="13"/>
      <c r="AG39" s="13"/>
      <c r="AH39" s="13"/>
    </row>
    <row r="40" spans="1:34">
      <c r="A40" s="13" t="s">
        <v>87</v>
      </c>
      <c r="B40" s="13">
        <v>220029640</v>
      </c>
      <c r="C40" s="13" t="s">
        <v>88</v>
      </c>
      <c r="D40" s="13" t="s">
        <v>89</v>
      </c>
      <c r="E40" s="13">
        <v>400454000062</v>
      </c>
      <c r="F40" s="13" t="s">
        <v>90</v>
      </c>
      <c r="G40" s="13" t="s">
        <v>90</v>
      </c>
      <c r="H40" s="13" t="s">
        <v>91</v>
      </c>
      <c r="I40" s="13" t="s">
        <v>92</v>
      </c>
      <c r="J40" s="14" t="s">
        <v>93</v>
      </c>
      <c r="K40" s="13"/>
      <c r="L40" s="13">
        <v>0</v>
      </c>
      <c r="M40" s="13" t="s">
        <v>98</v>
      </c>
      <c r="N40" s="13" t="s">
        <v>91</v>
      </c>
      <c r="O40" s="13">
        <v>0</v>
      </c>
      <c r="P40" s="11">
        <v>220</v>
      </c>
      <c r="Q40" s="12">
        <v>37.950000000000003</v>
      </c>
      <c r="R40" s="12">
        <v>1272.248</v>
      </c>
      <c r="S40" s="12">
        <v>0.1</v>
      </c>
      <c r="T40" s="12">
        <v>7.26</v>
      </c>
      <c r="U40" s="12">
        <v>0.11</v>
      </c>
      <c r="V40" s="12">
        <v>0.09</v>
      </c>
      <c r="W40" s="12">
        <v>7.0000000000000007E-2</v>
      </c>
      <c r="X40" s="12">
        <v>399</v>
      </c>
      <c r="Y40" s="12">
        <v>399</v>
      </c>
      <c r="Z40" s="12">
        <v>399</v>
      </c>
      <c r="AA40" s="12">
        <v>399</v>
      </c>
      <c r="AB40" s="12">
        <v>399</v>
      </c>
      <c r="AC40" s="12">
        <v>399</v>
      </c>
      <c r="AD40" s="12">
        <v>399</v>
      </c>
      <c r="AE40" s="12">
        <v>399</v>
      </c>
      <c r="AF40" s="13"/>
      <c r="AG40" s="13"/>
      <c r="AH40" s="13"/>
    </row>
    <row r="41" spans="1:34">
      <c r="A41" s="13" t="s">
        <v>87</v>
      </c>
      <c r="B41" s="13">
        <v>220029640</v>
      </c>
      <c r="C41" s="13" t="s">
        <v>88</v>
      </c>
      <c r="D41" s="13" t="s">
        <v>89</v>
      </c>
      <c r="E41" s="13">
        <v>400454000062</v>
      </c>
      <c r="F41" s="13" t="s">
        <v>90</v>
      </c>
      <c r="G41" s="13" t="s">
        <v>90</v>
      </c>
      <c r="H41" s="13" t="s">
        <v>91</v>
      </c>
      <c r="I41" s="13" t="s">
        <v>92</v>
      </c>
      <c r="J41" s="14" t="s">
        <v>93</v>
      </c>
      <c r="K41" s="13"/>
      <c r="L41" s="13">
        <v>0</v>
      </c>
      <c r="M41" s="13" t="s">
        <v>98</v>
      </c>
      <c r="N41" s="13" t="s">
        <v>91</v>
      </c>
      <c r="O41" s="13">
        <v>0</v>
      </c>
      <c r="P41" s="11">
        <v>225</v>
      </c>
      <c r="Q41" s="12">
        <v>37.119999999999997</v>
      </c>
      <c r="R41" s="12">
        <v>1272.162</v>
      </c>
      <c r="S41" s="12">
        <v>0.1</v>
      </c>
      <c r="T41" s="12">
        <v>7.31</v>
      </c>
      <c r="U41" s="12">
        <v>0.11</v>
      </c>
      <c r="V41" s="12">
        <v>0.09</v>
      </c>
      <c r="W41" s="12">
        <v>7.0000000000000007E-2</v>
      </c>
      <c r="X41" s="12">
        <v>399</v>
      </c>
      <c r="Y41" s="12">
        <v>399</v>
      </c>
      <c r="Z41" s="12">
        <v>399</v>
      </c>
      <c r="AA41" s="12">
        <v>399</v>
      </c>
      <c r="AB41" s="12">
        <v>399</v>
      </c>
      <c r="AC41" s="12">
        <v>399</v>
      </c>
      <c r="AD41" s="12">
        <v>399</v>
      </c>
      <c r="AE41" s="12">
        <v>399</v>
      </c>
      <c r="AF41" s="13"/>
      <c r="AG41" s="13"/>
      <c r="AH41" s="13"/>
    </row>
    <row r="42" spans="1:34">
      <c r="A42" s="13" t="s">
        <v>87</v>
      </c>
      <c r="B42" s="13">
        <v>220029640</v>
      </c>
      <c r="C42" s="13" t="s">
        <v>88</v>
      </c>
      <c r="D42" s="13" t="s">
        <v>89</v>
      </c>
      <c r="E42" s="13">
        <v>400454000062</v>
      </c>
      <c r="F42" s="13" t="s">
        <v>90</v>
      </c>
      <c r="G42" s="13" t="s">
        <v>90</v>
      </c>
      <c r="H42" s="13" t="s">
        <v>91</v>
      </c>
      <c r="I42" s="13" t="s">
        <v>92</v>
      </c>
      <c r="J42" s="14" t="s">
        <v>93</v>
      </c>
      <c r="K42" s="13"/>
      <c r="L42" s="13">
        <v>0</v>
      </c>
      <c r="M42" s="13" t="s">
        <v>98</v>
      </c>
      <c r="N42" s="13" t="s">
        <v>91</v>
      </c>
      <c r="O42" s="13">
        <v>0</v>
      </c>
      <c r="P42" s="11">
        <v>230</v>
      </c>
      <c r="Q42" s="12">
        <v>36.28</v>
      </c>
      <c r="R42" s="12">
        <v>1272.0840000000001</v>
      </c>
      <c r="S42" s="12">
        <v>0.09</v>
      </c>
      <c r="T42" s="12">
        <v>7.47</v>
      </c>
      <c r="U42" s="12">
        <v>0.11</v>
      </c>
      <c r="V42" s="12">
        <v>0.09</v>
      </c>
      <c r="W42" s="12">
        <v>7.0000000000000007E-2</v>
      </c>
      <c r="X42" s="12">
        <v>399</v>
      </c>
      <c r="Y42" s="12">
        <v>399</v>
      </c>
      <c r="Z42" s="12">
        <v>399</v>
      </c>
      <c r="AA42" s="12">
        <v>399</v>
      </c>
      <c r="AB42" s="12">
        <v>399</v>
      </c>
      <c r="AC42" s="12">
        <v>399</v>
      </c>
      <c r="AD42" s="12">
        <v>399</v>
      </c>
      <c r="AE42" s="12">
        <v>399</v>
      </c>
      <c r="AF42" s="13"/>
      <c r="AG42" s="13"/>
      <c r="AH42" s="13"/>
    </row>
    <row r="43" spans="1:34">
      <c r="A43" s="13" t="s">
        <v>87</v>
      </c>
      <c r="B43" s="13">
        <v>220029640</v>
      </c>
      <c r="C43" s="13" t="s">
        <v>88</v>
      </c>
      <c r="D43" s="13" t="s">
        <v>89</v>
      </c>
      <c r="E43" s="13">
        <v>400454000062</v>
      </c>
      <c r="F43" s="13" t="s">
        <v>90</v>
      </c>
      <c r="G43" s="13" t="s">
        <v>90</v>
      </c>
      <c r="H43" s="13" t="s">
        <v>91</v>
      </c>
      <c r="I43" s="13" t="s">
        <v>92</v>
      </c>
      <c r="J43" s="14" t="s">
        <v>93</v>
      </c>
      <c r="K43" s="13"/>
      <c r="L43" s="13">
        <v>0</v>
      </c>
      <c r="M43" s="13" t="s">
        <v>98</v>
      </c>
      <c r="N43" s="13" t="s">
        <v>91</v>
      </c>
      <c r="O43" s="13">
        <v>0</v>
      </c>
      <c r="P43" s="11">
        <v>235</v>
      </c>
      <c r="Q43" s="12">
        <v>35.450000000000003</v>
      </c>
      <c r="R43" s="12">
        <v>1272.0029999999999</v>
      </c>
      <c r="S43" s="12">
        <v>0.1</v>
      </c>
      <c r="T43" s="12">
        <v>7.5</v>
      </c>
      <c r="U43" s="12">
        <v>0.11</v>
      </c>
      <c r="V43" s="12">
        <v>0.09</v>
      </c>
      <c r="W43" s="12">
        <v>7.0000000000000007E-2</v>
      </c>
      <c r="X43" s="12">
        <v>399</v>
      </c>
      <c r="Y43" s="12">
        <v>399</v>
      </c>
      <c r="Z43" s="12">
        <v>399</v>
      </c>
      <c r="AA43" s="12">
        <v>399</v>
      </c>
      <c r="AB43" s="12">
        <v>399</v>
      </c>
      <c r="AC43" s="12">
        <v>399</v>
      </c>
      <c r="AD43" s="12">
        <v>399</v>
      </c>
      <c r="AE43" s="12">
        <v>399</v>
      </c>
      <c r="AF43" s="13"/>
      <c r="AG43" s="13"/>
      <c r="AH43" s="13"/>
    </row>
    <row r="44" spans="1:34">
      <c r="A44" s="13" t="s">
        <v>87</v>
      </c>
      <c r="B44" s="13">
        <v>220029640</v>
      </c>
      <c r="C44" s="13" t="s">
        <v>88</v>
      </c>
      <c r="D44" s="13" t="s">
        <v>89</v>
      </c>
      <c r="E44" s="13">
        <v>400454000062</v>
      </c>
      <c r="F44" s="13" t="s">
        <v>90</v>
      </c>
      <c r="G44" s="13" t="s">
        <v>90</v>
      </c>
      <c r="H44" s="13" t="s">
        <v>91</v>
      </c>
      <c r="I44" s="13" t="s">
        <v>92</v>
      </c>
      <c r="J44" s="14" t="s">
        <v>93</v>
      </c>
      <c r="K44" s="13"/>
      <c r="L44" s="13">
        <v>0</v>
      </c>
      <c r="M44" s="13" t="s">
        <v>98</v>
      </c>
      <c r="N44" s="13" t="s">
        <v>91</v>
      </c>
      <c r="O44" s="13">
        <v>0</v>
      </c>
      <c r="P44" s="11">
        <v>240</v>
      </c>
      <c r="Q44" s="12">
        <v>34.619999999999997</v>
      </c>
      <c r="R44" s="12">
        <v>1271.9269999999999</v>
      </c>
      <c r="S44" s="12">
        <v>0.09</v>
      </c>
      <c r="T44" s="12">
        <v>7.52</v>
      </c>
      <c r="U44" s="12">
        <v>0.11</v>
      </c>
      <c r="V44" s="12">
        <v>0.09</v>
      </c>
      <c r="W44" s="12">
        <v>7.0000000000000007E-2</v>
      </c>
      <c r="X44" s="12">
        <v>399</v>
      </c>
      <c r="Y44" s="12">
        <v>399</v>
      </c>
      <c r="Z44" s="12">
        <v>399</v>
      </c>
      <c r="AA44" s="12">
        <v>399</v>
      </c>
      <c r="AB44" s="12">
        <v>399</v>
      </c>
      <c r="AC44" s="12">
        <v>399</v>
      </c>
      <c r="AD44" s="12">
        <v>399</v>
      </c>
      <c r="AE44" s="12">
        <v>399</v>
      </c>
      <c r="AF44" s="13"/>
      <c r="AG44" s="13"/>
      <c r="AH44" s="13"/>
    </row>
    <row r="45" spans="1:34">
      <c r="A45" s="13" t="s">
        <v>87</v>
      </c>
      <c r="B45" s="13">
        <v>220029640</v>
      </c>
      <c r="C45" s="13" t="s">
        <v>88</v>
      </c>
      <c r="D45" s="13" t="s">
        <v>89</v>
      </c>
      <c r="E45" s="13">
        <v>400454000062</v>
      </c>
      <c r="F45" s="13" t="s">
        <v>90</v>
      </c>
      <c r="G45" s="13" t="s">
        <v>90</v>
      </c>
      <c r="H45" s="13" t="s">
        <v>91</v>
      </c>
      <c r="I45" s="13" t="s">
        <v>92</v>
      </c>
      <c r="J45" s="14" t="s">
        <v>93</v>
      </c>
      <c r="K45" s="13"/>
      <c r="L45" s="13">
        <v>0</v>
      </c>
      <c r="M45" s="13" t="s">
        <v>98</v>
      </c>
      <c r="N45" s="13" t="s">
        <v>91</v>
      </c>
      <c r="O45" s="13">
        <v>0</v>
      </c>
      <c r="P45" s="11">
        <v>245</v>
      </c>
      <c r="Q45" s="12">
        <v>33.79</v>
      </c>
      <c r="R45" s="12">
        <v>1271.8489999999999</v>
      </c>
      <c r="S45" s="12">
        <v>0.09</v>
      </c>
      <c r="T45" s="12">
        <v>7.59</v>
      </c>
      <c r="U45" s="12">
        <v>0.11</v>
      </c>
      <c r="V45" s="12">
        <v>0.09</v>
      </c>
      <c r="W45" s="12">
        <v>7.0000000000000007E-2</v>
      </c>
      <c r="X45" s="12">
        <v>399</v>
      </c>
      <c r="Y45" s="12">
        <v>399</v>
      </c>
      <c r="Z45" s="12">
        <v>399</v>
      </c>
      <c r="AA45" s="12">
        <v>399</v>
      </c>
      <c r="AB45" s="12">
        <v>399</v>
      </c>
      <c r="AC45" s="12">
        <v>399</v>
      </c>
      <c r="AD45" s="12">
        <v>399</v>
      </c>
      <c r="AE45" s="12">
        <v>399</v>
      </c>
      <c r="AF45" s="13"/>
      <c r="AG45" s="13"/>
      <c r="AH45" s="13"/>
    </row>
    <row r="46" spans="1:34">
      <c r="A46" s="13" t="s">
        <v>87</v>
      </c>
      <c r="B46" s="13">
        <v>220029640</v>
      </c>
      <c r="C46" s="13" t="s">
        <v>88</v>
      </c>
      <c r="D46" s="13" t="s">
        <v>89</v>
      </c>
      <c r="E46" s="13">
        <v>400454000062</v>
      </c>
      <c r="F46" s="13" t="s">
        <v>90</v>
      </c>
      <c r="G46" s="13" t="s">
        <v>90</v>
      </c>
      <c r="H46" s="13" t="s">
        <v>91</v>
      </c>
      <c r="I46" s="13" t="s">
        <v>92</v>
      </c>
      <c r="J46" s="14" t="s">
        <v>93</v>
      </c>
      <c r="K46" s="13"/>
      <c r="L46" s="13">
        <v>0</v>
      </c>
      <c r="M46" s="13" t="s">
        <v>98</v>
      </c>
      <c r="N46" s="13" t="s">
        <v>91</v>
      </c>
      <c r="O46" s="13">
        <v>0</v>
      </c>
      <c r="P46" s="11">
        <v>250</v>
      </c>
      <c r="Q46" s="12">
        <v>32.950000000000003</v>
      </c>
      <c r="R46" s="12">
        <v>1271.77</v>
      </c>
      <c r="S46" s="12">
        <v>0.09</v>
      </c>
      <c r="T46" s="12">
        <v>7.65</v>
      </c>
      <c r="U46" s="12">
        <v>0.11</v>
      </c>
      <c r="V46" s="12">
        <v>0.09</v>
      </c>
      <c r="W46" s="12">
        <v>7.0000000000000007E-2</v>
      </c>
      <c r="X46" s="12">
        <v>399</v>
      </c>
      <c r="Y46" s="12">
        <v>399</v>
      </c>
      <c r="Z46" s="12">
        <v>399</v>
      </c>
      <c r="AA46" s="12">
        <v>399</v>
      </c>
      <c r="AB46" s="12">
        <v>399</v>
      </c>
      <c r="AC46" s="12">
        <v>399</v>
      </c>
      <c r="AD46" s="12">
        <v>399</v>
      </c>
      <c r="AE46" s="12">
        <v>399</v>
      </c>
      <c r="AF46" s="13"/>
      <c r="AG46" s="13"/>
      <c r="AH46" s="13"/>
    </row>
    <row r="47" spans="1:34">
      <c r="A47" s="13" t="s">
        <v>87</v>
      </c>
      <c r="B47" s="13">
        <v>220029640</v>
      </c>
      <c r="C47" s="13" t="s">
        <v>88</v>
      </c>
      <c r="D47" s="13" t="s">
        <v>89</v>
      </c>
      <c r="E47" s="13">
        <v>400454000062</v>
      </c>
      <c r="F47" s="13" t="s">
        <v>90</v>
      </c>
      <c r="G47" s="13" t="s">
        <v>90</v>
      </c>
      <c r="H47" s="13" t="s">
        <v>91</v>
      </c>
      <c r="I47" s="13" t="s">
        <v>92</v>
      </c>
      <c r="J47" s="14" t="s">
        <v>93</v>
      </c>
      <c r="K47" s="13"/>
      <c r="L47" s="13">
        <v>0</v>
      </c>
      <c r="M47" s="13" t="s">
        <v>98</v>
      </c>
      <c r="N47" s="13" t="s">
        <v>91</v>
      </c>
      <c r="O47" s="13">
        <v>0</v>
      </c>
      <c r="P47" s="11">
        <v>255</v>
      </c>
      <c r="Q47" s="12">
        <v>32.11</v>
      </c>
      <c r="R47" s="12">
        <v>1271.6890000000001</v>
      </c>
      <c r="S47" s="12">
        <v>0.1</v>
      </c>
      <c r="T47" s="12">
        <v>7.71</v>
      </c>
      <c r="U47" s="12">
        <v>0.11</v>
      </c>
      <c r="V47" s="12">
        <v>0.09</v>
      </c>
      <c r="W47" s="12">
        <v>7.0000000000000007E-2</v>
      </c>
      <c r="X47" s="12">
        <v>399</v>
      </c>
      <c r="Y47" s="12">
        <v>399</v>
      </c>
      <c r="Z47" s="12">
        <v>399</v>
      </c>
      <c r="AA47" s="12">
        <v>399</v>
      </c>
      <c r="AB47" s="12">
        <v>399</v>
      </c>
      <c r="AC47" s="12">
        <v>399</v>
      </c>
      <c r="AD47" s="12">
        <v>399</v>
      </c>
      <c r="AE47" s="12">
        <v>399</v>
      </c>
      <c r="AF47" s="13"/>
      <c r="AG47" s="13"/>
      <c r="AH47" s="13"/>
    </row>
    <row r="48" spans="1:34">
      <c r="A48" s="13" t="s">
        <v>87</v>
      </c>
      <c r="B48" s="13">
        <v>220029640</v>
      </c>
      <c r="C48" s="13" t="s">
        <v>88</v>
      </c>
      <c r="D48" s="13" t="s">
        <v>89</v>
      </c>
      <c r="E48" s="13">
        <v>400454000062</v>
      </c>
      <c r="F48" s="13" t="s">
        <v>90</v>
      </c>
      <c r="G48" s="13" t="s">
        <v>90</v>
      </c>
      <c r="H48" s="13" t="s">
        <v>91</v>
      </c>
      <c r="I48" s="13" t="s">
        <v>92</v>
      </c>
      <c r="J48" s="14" t="s">
        <v>93</v>
      </c>
      <c r="K48" s="13"/>
      <c r="L48" s="13">
        <v>0</v>
      </c>
      <c r="M48" s="13" t="s">
        <v>98</v>
      </c>
      <c r="N48" s="13" t="s">
        <v>91</v>
      </c>
      <c r="O48" s="13">
        <v>0</v>
      </c>
      <c r="P48" s="11">
        <v>260</v>
      </c>
      <c r="Q48" s="12">
        <v>31.29</v>
      </c>
      <c r="R48" s="12">
        <v>1271.6120000000001</v>
      </c>
      <c r="S48" s="12">
        <v>0.09</v>
      </c>
      <c r="T48" s="12">
        <v>7.77</v>
      </c>
      <c r="U48" s="12">
        <v>0.11</v>
      </c>
      <c r="V48" s="12">
        <v>0.09</v>
      </c>
      <c r="W48" s="12">
        <v>7.0000000000000007E-2</v>
      </c>
      <c r="X48" s="12">
        <v>399</v>
      </c>
      <c r="Y48" s="12">
        <v>399</v>
      </c>
      <c r="Z48" s="12">
        <v>399</v>
      </c>
      <c r="AA48" s="12">
        <v>399</v>
      </c>
      <c r="AB48" s="12">
        <v>399</v>
      </c>
      <c r="AC48" s="12">
        <v>399</v>
      </c>
      <c r="AD48" s="12">
        <v>399</v>
      </c>
      <c r="AE48" s="12">
        <v>399</v>
      </c>
      <c r="AF48" s="13"/>
      <c r="AG48" s="13"/>
      <c r="AH48" s="13"/>
    </row>
    <row r="49" spans="1:34">
      <c r="A49" s="13" t="s">
        <v>87</v>
      </c>
      <c r="B49" s="13">
        <v>220029640</v>
      </c>
      <c r="C49" s="13" t="s">
        <v>88</v>
      </c>
      <c r="D49" s="13" t="s">
        <v>89</v>
      </c>
      <c r="E49" s="13">
        <v>400454000062</v>
      </c>
      <c r="F49" s="13" t="s">
        <v>90</v>
      </c>
      <c r="G49" s="13" t="s">
        <v>90</v>
      </c>
      <c r="H49" s="13" t="s">
        <v>91</v>
      </c>
      <c r="I49" s="13" t="s">
        <v>92</v>
      </c>
      <c r="J49" s="14" t="s">
        <v>93</v>
      </c>
      <c r="K49" s="13"/>
      <c r="L49" s="13">
        <v>0</v>
      </c>
      <c r="M49" s="13" t="s">
        <v>98</v>
      </c>
      <c r="N49" s="13" t="s">
        <v>91</v>
      </c>
      <c r="O49" s="13">
        <v>0</v>
      </c>
      <c r="P49" s="11">
        <v>265</v>
      </c>
      <c r="Q49" s="12">
        <v>30.43</v>
      </c>
      <c r="R49" s="12">
        <v>1271.5340000000001</v>
      </c>
      <c r="S49" s="12">
        <v>0.09</v>
      </c>
      <c r="T49" s="12">
        <v>7.85</v>
      </c>
      <c r="U49" s="12">
        <v>0.11</v>
      </c>
      <c r="V49" s="12">
        <v>0.09</v>
      </c>
      <c r="W49" s="12">
        <v>7.0000000000000007E-2</v>
      </c>
      <c r="X49" s="12">
        <v>399</v>
      </c>
      <c r="Y49" s="12">
        <v>399</v>
      </c>
      <c r="Z49" s="12">
        <v>399</v>
      </c>
      <c r="AA49" s="12">
        <v>399</v>
      </c>
      <c r="AB49" s="12">
        <v>399</v>
      </c>
      <c r="AC49" s="12">
        <v>399</v>
      </c>
      <c r="AD49" s="12">
        <v>399</v>
      </c>
      <c r="AE49" s="12">
        <v>399</v>
      </c>
      <c r="AF49" s="13"/>
      <c r="AG49" s="13"/>
      <c r="AH49" s="13"/>
    </row>
    <row r="50" spans="1:34">
      <c r="A50" s="13" t="s">
        <v>87</v>
      </c>
      <c r="B50" s="13">
        <v>220029640</v>
      </c>
      <c r="C50" s="13" t="s">
        <v>88</v>
      </c>
      <c r="D50" s="13" t="s">
        <v>89</v>
      </c>
      <c r="E50" s="13">
        <v>400454000062</v>
      </c>
      <c r="F50" s="13" t="s">
        <v>90</v>
      </c>
      <c r="G50" s="13" t="s">
        <v>90</v>
      </c>
      <c r="H50" s="13" t="s">
        <v>91</v>
      </c>
      <c r="I50" s="13" t="s">
        <v>92</v>
      </c>
      <c r="J50" s="14" t="s">
        <v>93</v>
      </c>
      <c r="K50" s="13"/>
      <c r="L50" s="13">
        <v>0</v>
      </c>
      <c r="M50" s="13" t="s">
        <v>98</v>
      </c>
      <c r="N50" s="13" t="s">
        <v>91</v>
      </c>
      <c r="O50" s="13">
        <v>0</v>
      </c>
      <c r="P50" s="11">
        <v>270</v>
      </c>
      <c r="Q50" s="12">
        <v>29.59</v>
      </c>
      <c r="R50" s="12">
        <v>1271.4559999999999</v>
      </c>
      <c r="S50" s="12">
        <v>0.09</v>
      </c>
      <c r="T50" s="12">
        <v>7.91</v>
      </c>
      <c r="U50" s="12">
        <v>0.11</v>
      </c>
      <c r="V50" s="12">
        <v>0.09</v>
      </c>
      <c r="W50" s="12">
        <v>7.0000000000000007E-2</v>
      </c>
      <c r="X50" s="12">
        <v>399</v>
      </c>
      <c r="Y50" s="12">
        <v>399</v>
      </c>
      <c r="Z50" s="12">
        <v>399</v>
      </c>
      <c r="AA50" s="12">
        <v>399</v>
      </c>
      <c r="AB50" s="12">
        <v>399</v>
      </c>
      <c r="AC50" s="12">
        <v>399</v>
      </c>
      <c r="AD50" s="12">
        <v>399</v>
      </c>
      <c r="AE50" s="12">
        <v>399</v>
      </c>
      <c r="AF50" s="13"/>
      <c r="AG50" s="13"/>
      <c r="AH50" s="13"/>
    </row>
    <row r="51" spans="1:34">
      <c r="A51" s="13" t="s">
        <v>87</v>
      </c>
      <c r="B51" s="13">
        <v>220029640</v>
      </c>
      <c r="C51" s="13" t="s">
        <v>88</v>
      </c>
      <c r="D51" s="13" t="s">
        <v>89</v>
      </c>
      <c r="E51" s="13">
        <v>400454000062</v>
      </c>
      <c r="F51" s="13" t="s">
        <v>90</v>
      </c>
      <c r="G51" s="13" t="s">
        <v>90</v>
      </c>
      <c r="H51" s="13" t="s">
        <v>91</v>
      </c>
      <c r="I51" s="13" t="s">
        <v>92</v>
      </c>
      <c r="J51" s="14" t="s">
        <v>93</v>
      </c>
      <c r="K51" s="13"/>
      <c r="L51" s="13">
        <v>0</v>
      </c>
      <c r="M51" s="13" t="s">
        <v>98</v>
      </c>
      <c r="N51" s="13" t="s">
        <v>91</v>
      </c>
      <c r="O51" s="13">
        <v>0</v>
      </c>
      <c r="P51" s="11">
        <v>275</v>
      </c>
      <c r="Q51" s="12">
        <v>28.74</v>
      </c>
      <c r="R51" s="12">
        <v>1271.374</v>
      </c>
      <c r="S51" s="12">
        <v>0.1</v>
      </c>
      <c r="T51" s="12">
        <v>7.92</v>
      </c>
      <c r="U51" s="12">
        <v>0.11</v>
      </c>
      <c r="V51" s="12">
        <v>0.09</v>
      </c>
      <c r="W51" s="12">
        <v>7.0000000000000007E-2</v>
      </c>
      <c r="X51" s="12">
        <v>399</v>
      </c>
      <c r="Y51" s="12">
        <v>399</v>
      </c>
      <c r="Z51" s="12">
        <v>399</v>
      </c>
      <c r="AA51" s="12">
        <v>399</v>
      </c>
      <c r="AB51" s="12">
        <v>399</v>
      </c>
      <c r="AC51" s="12">
        <v>399</v>
      </c>
      <c r="AD51" s="12">
        <v>399</v>
      </c>
      <c r="AE51" s="12">
        <v>399</v>
      </c>
      <c r="AF51" s="13"/>
      <c r="AG51" s="13"/>
      <c r="AH51" s="13"/>
    </row>
    <row r="52" spans="1:34">
      <c r="A52" s="13" t="s">
        <v>87</v>
      </c>
      <c r="B52" s="13">
        <v>220029640</v>
      </c>
      <c r="C52" s="13" t="s">
        <v>88</v>
      </c>
      <c r="D52" s="13" t="s">
        <v>89</v>
      </c>
      <c r="E52" s="13">
        <v>400454000062</v>
      </c>
      <c r="F52" s="13" t="s">
        <v>90</v>
      </c>
      <c r="G52" s="13" t="s">
        <v>90</v>
      </c>
      <c r="H52" s="13" t="s">
        <v>91</v>
      </c>
      <c r="I52" s="13" t="s">
        <v>92</v>
      </c>
      <c r="J52" s="14" t="s">
        <v>93</v>
      </c>
      <c r="K52" s="13"/>
      <c r="L52" s="13">
        <v>0</v>
      </c>
      <c r="M52" s="13" t="s">
        <v>98</v>
      </c>
      <c r="N52" s="13" t="s">
        <v>91</v>
      </c>
      <c r="O52" s="13">
        <v>0</v>
      </c>
      <c r="P52" s="11">
        <v>280</v>
      </c>
      <c r="Q52" s="12">
        <v>27.91</v>
      </c>
      <c r="R52" s="12">
        <v>1271.297</v>
      </c>
      <c r="S52" s="12">
        <v>0.09</v>
      </c>
      <c r="T52" s="12">
        <v>7.95</v>
      </c>
      <c r="U52" s="12">
        <v>0.11</v>
      </c>
      <c r="V52" s="12">
        <v>0.09</v>
      </c>
      <c r="W52" s="12">
        <v>7.0000000000000007E-2</v>
      </c>
      <c r="X52" s="12">
        <v>399</v>
      </c>
      <c r="Y52" s="12">
        <v>399</v>
      </c>
      <c r="Z52" s="12">
        <v>399</v>
      </c>
      <c r="AA52" s="12">
        <v>399</v>
      </c>
      <c r="AB52" s="12">
        <v>399</v>
      </c>
      <c r="AC52" s="12">
        <v>399</v>
      </c>
      <c r="AD52" s="12">
        <v>399</v>
      </c>
      <c r="AE52" s="12">
        <v>399</v>
      </c>
      <c r="AF52" s="13"/>
      <c r="AG52" s="13"/>
      <c r="AH52" s="13"/>
    </row>
    <row r="53" spans="1:34">
      <c r="A53" s="13" t="s">
        <v>87</v>
      </c>
      <c r="B53" s="13">
        <v>220029640</v>
      </c>
      <c r="C53" s="13" t="s">
        <v>88</v>
      </c>
      <c r="D53" s="13" t="s">
        <v>89</v>
      </c>
      <c r="E53" s="13">
        <v>400454000062</v>
      </c>
      <c r="F53" s="13" t="s">
        <v>90</v>
      </c>
      <c r="G53" s="13" t="s">
        <v>90</v>
      </c>
      <c r="H53" s="13" t="s">
        <v>91</v>
      </c>
      <c r="I53" s="13" t="s">
        <v>92</v>
      </c>
      <c r="J53" s="14" t="s">
        <v>93</v>
      </c>
      <c r="K53" s="13"/>
      <c r="L53" s="13">
        <v>0</v>
      </c>
      <c r="M53" s="13" t="s">
        <v>98</v>
      </c>
      <c r="N53" s="13" t="s">
        <v>91</v>
      </c>
      <c r="O53" s="13">
        <v>0</v>
      </c>
      <c r="P53" s="11">
        <v>285</v>
      </c>
      <c r="Q53" s="12">
        <v>27.08</v>
      </c>
      <c r="R53" s="12">
        <v>1271.2159999999999</v>
      </c>
      <c r="S53" s="12">
        <v>0.1</v>
      </c>
      <c r="T53" s="12">
        <v>8</v>
      </c>
      <c r="U53" s="12">
        <v>0.11</v>
      </c>
      <c r="V53" s="12">
        <v>0.09</v>
      </c>
      <c r="W53" s="12">
        <v>7.0000000000000007E-2</v>
      </c>
      <c r="X53" s="12">
        <v>399</v>
      </c>
      <c r="Y53" s="12">
        <v>399</v>
      </c>
      <c r="Z53" s="12">
        <v>399</v>
      </c>
      <c r="AA53" s="12">
        <v>399</v>
      </c>
      <c r="AB53" s="12">
        <v>399</v>
      </c>
      <c r="AC53" s="12">
        <v>399</v>
      </c>
      <c r="AD53" s="12">
        <v>399</v>
      </c>
      <c r="AE53" s="12">
        <v>399</v>
      </c>
      <c r="AF53" s="13"/>
      <c r="AG53" s="13"/>
      <c r="AH53" s="13"/>
    </row>
    <row r="54" spans="1:34">
      <c r="A54" s="13" t="s">
        <v>87</v>
      </c>
      <c r="B54" s="13">
        <v>220029640</v>
      </c>
      <c r="C54" s="13" t="s">
        <v>88</v>
      </c>
      <c r="D54" s="13" t="s">
        <v>89</v>
      </c>
      <c r="E54" s="13">
        <v>400454000062</v>
      </c>
      <c r="F54" s="13" t="s">
        <v>90</v>
      </c>
      <c r="G54" s="13" t="s">
        <v>90</v>
      </c>
      <c r="H54" s="13" t="s">
        <v>91</v>
      </c>
      <c r="I54" s="13" t="s">
        <v>92</v>
      </c>
      <c r="J54" s="14" t="s">
        <v>93</v>
      </c>
      <c r="K54" s="13"/>
      <c r="L54" s="13">
        <v>0</v>
      </c>
      <c r="M54" s="13" t="s">
        <v>98</v>
      </c>
      <c r="N54" s="13" t="s">
        <v>91</v>
      </c>
      <c r="O54" s="13">
        <v>0</v>
      </c>
      <c r="P54" s="11">
        <v>290</v>
      </c>
      <c r="Q54" s="12">
        <v>26.24</v>
      </c>
      <c r="R54" s="12">
        <v>1271.1400000000001</v>
      </c>
      <c r="S54" s="12">
        <v>0.09</v>
      </c>
      <c r="T54" s="12">
        <v>7.98</v>
      </c>
      <c r="U54" s="12">
        <v>0.11</v>
      </c>
      <c r="V54" s="12">
        <v>0.09</v>
      </c>
      <c r="W54" s="12">
        <v>7.0000000000000007E-2</v>
      </c>
      <c r="X54" s="12">
        <v>399</v>
      </c>
      <c r="Y54" s="12">
        <v>399</v>
      </c>
      <c r="Z54" s="12">
        <v>399</v>
      </c>
      <c r="AA54" s="12">
        <v>399</v>
      </c>
      <c r="AB54" s="12">
        <v>399</v>
      </c>
      <c r="AC54" s="12">
        <v>399</v>
      </c>
      <c r="AD54" s="12">
        <v>399</v>
      </c>
      <c r="AE54" s="12">
        <v>399</v>
      </c>
      <c r="AF54" s="13"/>
      <c r="AG54" s="13"/>
      <c r="AH54" s="13"/>
    </row>
    <row r="55" spans="1:34">
      <c r="A55" s="13" t="s">
        <v>87</v>
      </c>
      <c r="B55" s="13">
        <v>220029640</v>
      </c>
      <c r="C55" s="13" t="s">
        <v>88</v>
      </c>
      <c r="D55" s="13" t="s">
        <v>89</v>
      </c>
      <c r="E55" s="13">
        <v>400454000062</v>
      </c>
      <c r="F55" s="13" t="s">
        <v>90</v>
      </c>
      <c r="G55" s="13" t="s">
        <v>90</v>
      </c>
      <c r="H55" s="13" t="s">
        <v>91</v>
      </c>
      <c r="I55" s="13" t="s">
        <v>92</v>
      </c>
      <c r="J55" s="14" t="s">
        <v>93</v>
      </c>
      <c r="K55" s="13"/>
      <c r="L55" s="13">
        <v>0</v>
      </c>
      <c r="M55" s="13" t="s">
        <v>98</v>
      </c>
      <c r="N55" s="13" t="s">
        <v>91</v>
      </c>
      <c r="O55" s="13">
        <v>0</v>
      </c>
      <c r="P55" s="11">
        <v>295</v>
      </c>
      <c r="Q55" s="12">
        <v>25.4</v>
      </c>
      <c r="R55" s="12">
        <v>1271.0630000000001</v>
      </c>
      <c r="S55" s="12">
        <v>0.09</v>
      </c>
      <c r="T55" s="12">
        <v>7.97</v>
      </c>
      <c r="U55" s="12">
        <v>0.11</v>
      </c>
      <c r="V55" s="12">
        <v>0.09</v>
      </c>
      <c r="W55" s="12">
        <v>7.0000000000000007E-2</v>
      </c>
      <c r="X55" s="12">
        <v>399</v>
      </c>
      <c r="Y55" s="12">
        <v>399</v>
      </c>
      <c r="Z55" s="12">
        <v>399</v>
      </c>
      <c r="AA55" s="12">
        <v>399</v>
      </c>
      <c r="AB55" s="12">
        <v>399</v>
      </c>
      <c r="AC55" s="12">
        <v>399</v>
      </c>
      <c r="AD55" s="12">
        <v>399</v>
      </c>
      <c r="AE55" s="12">
        <v>399</v>
      </c>
      <c r="AF55" s="13"/>
      <c r="AG55" s="13"/>
      <c r="AH55" s="13"/>
    </row>
    <row r="56" spans="1:34">
      <c r="A56" s="13" t="s">
        <v>87</v>
      </c>
      <c r="B56" s="13">
        <v>220029640</v>
      </c>
      <c r="C56" s="13" t="s">
        <v>88</v>
      </c>
      <c r="D56" s="13" t="s">
        <v>89</v>
      </c>
      <c r="E56" s="13">
        <v>400454000062</v>
      </c>
      <c r="F56" s="13" t="s">
        <v>90</v>
      </c>
      <c r="G56" s="13" t="s">
        <v>90</v>
      </c>
      <c r="H56" s="13" t="s">
        <v>91</v>
      </c>
      <c r="I56" s="13" t="s">
        <v>92</v>
      </c>
      <c r="J56" s="14" t="s">
        <v>93</v>
      </c>
      <c r="K56" s="13"/>
      <c r="L56" s="13">
        <v>0</v>
      </c>
      <c r="M56" s="13" t="s">
        <v>98</v>
      </c>
      <c r="N56" s="13" t="s">
        <v>91</v>
      </c>
      <c r="O56" s="13">
        <v>0</v>
      </c>
      <c r="P56" s="11">
        <v>300</v>
      </c>
      <c r="Q56" s="12">
        <v>24.52</v>
      </c>
      <c r="R56" s="12">
        <v>1270.9860000000001</v>
      </c>
      <c r="S56" s="12">
        <v>0.09</v>
      </c>
      <c r="T56" s="12">
        <v>8.0299999999999994</v>
      </c>
      <c r="U56" s="12">
        <v>0.11</v>
      </c>
      <c r="V56" s="12">
        <v>0.09</v>
      </c>
      <c r="W56" s="12">
        <v>7.0000000000000007E-2</v>
      </c>
      <c r="X56" s="12">
        <v>399</v>
      </c>
      <c r="Y56" s="12">
        <v>399</v>
      </c>
      <c r="Z56" s="12">
        <v>399</v>
      </c>
      <c r="AA56" s="12">
        <v>399</v>
      </c>
      <c r="AB56" s="12">
        <v>399</v>
      </c>
      <c r="AC56" s="12">
        <v>399</v>
      </c>
      <c r="AD56" s="12">
        <v>399</v>
      </c>
      <c r="AE56" s="12">
        <v>399</v>
      </c>
      <c r="AF56" s="13"/>
      <c r="AG56" s="13"/>
      <c r="AH56" s="13"/>
    </row>
    <row r="57" spans="1:34">
      <c r="A57" s="13" t="s">
        <v>87</v>
      </c>
      <c r="B57" s="13">
        <v>220029640</v>
      </c>
      <c r="C57" s="13" t="s">
        <v>88</v>
      </c>
      <c r="D57" s="13" t="s">
        <v>89</v>
      </c>
      <c r="E57" s="13">
        <v>400454000062</v>
      </c>
      <c r="F57" s="13" t="s">
        <v>90</v>
      </c>
      <c r="G57" s="13" t="s">
        <v>90</v>
      </c>
      <c r="H57" s="13" t="s">
        <v>91</v>
      </c>
      <c r="I57" s="13" t="s">
        <v>92</v>
      </c>
      <c r="J57" s="14" t="s">
        <v>93</v>
      </c>
      <c r="K57" s="13"/>
      <c r="L57" s="13">
        <v>0</v>
      </c>
      <c r="M57" s="13" t="s">
        <v>98</v>
      </c>
      <c r="N57" s="13" t="s">
        <v>91</v>
      </c>
      <c r="O57" s="13">
        <v>0</v>
      </c>
      <c r="P57" s="11">
        <v>305</v>
      </c>
      <c r="Q57" s="12">
        <v>23.69</v>
      </c>
      <c r="R57" s="12">
        <v>1270.904</v>
      </c>
      <c r="S57" s="12">
        <v>0.1</v>
      </c>
      <c r="T57" s="12">
        <v>8.16</v>
      </c>
      <c r="U57" s="12">
        <v>0.11</v>
      </c>
      <c r="V57" s="12">
        <v>0.09</v>
      </c>
      <c r="W57" s="12">
        <v>7.0000000000000007E-2</v>
      </c>
      <c r="X57" s="12">
        <v>399</v>
      </c>
      <c r="Y57" s="12">
        <v>399</v>
      </c>
      <c r="Z57" s="12">
        <v>399</v>
      </c>
      <c r="AA57" s="12">
        <v>399</v>
      </c>
      <c r="AB57" s="12">
        <v>399</v>
      </c>
      <c r="AC57" s="12">
        <v>399</v>
      </c>
      <c r="AD57" s="12">
        <v>399</v>
      </c>
      <c r="AE57" s="12">
        <v>399</v>
      </c>
      <c r="AF57" s="13"/>
      <c r="AG57" s="13"/>
      <c r="AH57" s="13"/>
    </row>
    <row r="58" spans="1:34">
      <c r="A58" s="13" t="s">
        <v>87</v>
      </c>
      <c r="B58" s="13">
        <v>220029640</v>
      </c>
      <c r="C58" s="13" t="s">
        <v>88</v>
      </c>
      <c r="D58" s="13" t="s">
        <v>89</v>
      </c>
      <c r="E58" s="13">
        <v>400454000062</v>
      </c>
      <c r="F58" s="13" t="s">
        <v>90</v>
      </c>
      <c r="G58" s="13" t="s">
        <v>90</v>
      </c>
      <c r="H58" s="13" t="s">
        <v>91</v>
      </c>
      <c r="I58" s="13" t="s">
        <v>92</v>
      </c>
      <c r="J58" s="14" t="s">
        <v>93</v>
      </c>
      <c r="K58" s="13"/>
      <c r="L58" s="13">
        <v>0</v>
      </c>
      <c r="M58" s="13" t="s">
        <v>98</v>
      </c>
      <c r="N58" s="13" t="s">
        <v>91</v>
      </c>
      <c r="O58" s="13">
        <v>0</v>
      </c>
      <c r="P58" s="11">
        <v>310</v>
      </c>
      <c r="Q58" s="12">
        <v>22.87</v>
      </c>
      <c r="R58" s="12">
        <v>1270.828</v>
      </c>
      <c r="S58" s="12">
        <v>0.09</v>
      </c>
      <c r="T58" s="12">
        <v>8.2100000000000009</v>
      </c>
      <c r="U58" s="12">
        <v>0.11</v>
      </c>
      <c r="V58" s="12">
        <v>0.09</v>
      </c>
      <c r="W58" s="12">
        <v>7.0000000000000007E-2</v>
      </c>
      <c r="X58" s="12">
        <v>399</v>
      </c>
      <c r="Y58" s="12">
        <v>399</v>
      </c>
      <c r="Z58" s="12">
        <v>399</v>
      </c>
      <c r="AA58" s="12">
        <v>399</v>
      </c>
      <c r="AB58" s="12">
        <v>399</v>
      </c>
      <c r="AC58" s="12">
        <v>399</v>
      </c>
      <c r="AD58" s="12">
        <v>399</v>
      </c>
      <c r="AE58" s="12">
        <v>399</v>
      </c>
      <c r="AF58" s="13"/>
      <c r="AG58" s="13"/>
      <c r="AH58" s="13"/>
    </row>
    <row r="59" spans="1:34">
      <c r="A59" s="13" t="s">
        <v>87</v>
      </c>
      <c r="B59" s="13">
        <v>220029640</v>
      </c>
      <c r="C59" s="13" t="s">
        <v>88</v>
      </c>
      <c r="D59" s="13" t="s">
        <v>89</v>
      </c>
      <c r="E59" s="13">
        <v>400454000062</v>
      </c>
      <c r="F59" s="13" t="s">
        <v>90</v>
      </c>
      <c r="G59" s="13" t="s">
        <v>90</v>
      </c>
      <c r="H59" s="13" t="s">
        <v>91</v>
      </c>
      <c r="I59" s="13" t="s">
        <v>92</v>
      </c>
      <c r="J59" s="14" t="s">
        <v>93</v>
      </c>
      <c r="K59" s="13"/>
      <c r="L59" s="13">
        <v>0</v>
      </c>
      <c r="M59" s="13" t="s">
        <v>98</v>
      </c>
      <c r="N59" s="13" t="s">
        <v>91</v>
      </c>
      <c r="O59" s="13">
        <v>0</v>
      </c>
      <c r="P59" s="11">
        <v>315</v>
      </c>
      <c r="Q59" s="12">
        <v>22.03</v>
      </c>
      <c r="R59" s="12">
        <v>1270.751</v>
      </c>
      <c r="S59" s="12">
        <v>0.09</v>
      </c>
      <c r="T59" s="12">
        <v>8.2899999999999991</v>
      </c>
      <c r="U59" s="12">
        <v>0.11</v>
      </c>
      <c r="V59" s="12">
        <v>0.09</v>
      </c>
      <c r="W59" s="12">
        <v>7.0000000000000007E-2</v>
      </c>
      <c r="X59" s="12">
        <v>399</v>
      </c>
      <c r="Y59" s="12">
        <v>399</v>
      </c>
      <c r="Z59" s="12">
        <v>399</v>
      </c>
      <c r="AA59" s="12">
        <v>399</v>
      </c>
      <c r="AB59" s="12">
        <v>399</v>
      </c>
      <c r="AC59" s="12">
        <v>399</v>
      </c>
      <c r="AD59" s="12">
        <v>399</v>
      </c>
      <c r="AE59" s="12">
        <v>399</v>
      </c>
      <c r="AF59" s="13"/>
      <c r="AG59" s="13"/>
      <c r="AH59" s="13"/>
    </row>
    <row r="60" spans="1:34">
      <c r="A60" s="13" t="s">
        <v>87</v>
      </c>
      <c r="B60" s="13">
        <v>220029640</v>
      </c>
      <c r="C60" s="13" t="s">
        <v>88</v>
      </c>
      <c r="D60" s="13" t="s">
        <v>89</v>
      </c>
      <c r="E60" s="13">
        <v>400454000062</v>
      </c>
      <c r="F60" s="13" t="s">
        <v>90</v>
      </c>
      <c r="G60" s="13" t="s">
        <v>90</v>
      </c>
      <c r="H60" s="13" t="s">
        <v>91</v>
      </c>
      <c r="I60" s="13" t="s">
        <v>92</v>
      </c>
      <c r="J60" s="14" t="s">
        <v>93</v>
      </c>
      <c r="K60" s="13"/>
      <c r="L60" s="13">
        <v>0</v>
      </c>
      <c r="M60" s="13" t="s">
        <v>98</v>
      </c>
      <c r="N60" s="13" t="s">
        <v>91</v>
      </c>
      <c r="O60" s="13">
        <v>0</v>
      </c>
      <c r="P60" s="11">
        <v>320</v>
      </c>
      <c r="Q60" s="12">
        <v>21.19</v>
      </c>
      <c r="R60" s="12">
        <v>1270.6759999999999</v>
      </c>
      <c r="S60" s="12">
        <v>0.09</v>
      </c>
      <c r="T60" s="12">
        <v>8.39</v>
      </c>
      <c r="U60" s="12">
        <v>0.11</v>
      </c>
      <c r="V60" s="12">
        <v>0.09</v>
      </c>
      <c r="W60" s="12">
        <v>7.0000000000000007E-2</v>
      </c>
      <c r="X60" s="12">
        <v>399</v>
      </c>
      <c r="Y60" s="12">
        <v>399</v>
      </c>
      <c r="Z60" s="12">
        <v>399</v>
      </c>
      <c r="AA60" s="12">
        <v>399</v>
      </c>
      <c r="AB60" s="12">
        <v>399</v>
      </c>
      <c r="AC60" s="12">
        <v>399</v>
      </c>
      <c r="AD60" s="12">
        <v>399</v>
      </c>
      <c r="AE60" s="12">
        <v>399</v>
      </c>
      <c r="AF60" s="13"/>
      <c r="AG60" s="13"/>
      <c r="AH60" s="13"/>
    </row>
    <row r="61" spans="1:34">
      <c r="A61" s="13" t="s">
        <v>87</v>
      </c>
      <c r="B61" s="13">
        <v>220029640</v>
      </c>
      <c r="C61" s="13" t="s">
        <v>88</v>
      </c>
      <c r="D61" s="13" t="s">
        <v>89</v>
      </c>
      <c r="E61" s="13">
        <v>400454000062</v>
      </c>
      <c r="F61" s="13" t="s">
        <v>90</v>
      </c>
      <c r="G61" s="13" t="s">
        <v>90</v>
      </c>
      <c r="H61" s="13" t="s">
        <v>91</v>
      </c>
      <c r="I61" s="13" t="s">
        <v>92</v>
      </c>
      <c r="J61" s="14" t="s">
        <v>93</v>
      </c>
      <c r="K61" s="13"/>
      <c r="L61" s="13">
        <v>0</v>
      </c>
      <c r="M61" s="13" t="s">
        <v>98</v>
      </c>
      <c r="N61" s="13" t="s">
        <v>91</v>
      </c>
      <c r="O61" s="13">
        <v>0</v>
      </c>
      <c r="P61" s="11">
        <v>325</v>
      </c>
      <c r="Q61" s="12">
        <v>20.36</v>
      </c>
      <c r="R61" s="12">
        <v>1270.596</v>
      </c>
      <c r="S61" s="12">
        <v>0.1</v>
      </c>
      <c r="T61" s="12">
        <v>8.39</v>
      </c>
      <c r="U61" s="12">
        <v>0.11</v>
      </c>
      <c r="V61" s="12">
        <v>0.09</v>
      </c>
      <c r="W61" s="12">
        <v>7.0000000000000007E-2</v>
      </c>
      <c r="X61" s="12">
        <v>399</v>
      </c>
      <c r="Y61" s="12">
        <v>399</v>
      </c>
      <c r="Z61" s="12">
        <v>399</v>
      </c>
      <c r="AA61" s="12">
        <v>399</v>
      </c>
      <c r="AB61" s="12">
        <v>399</v>
      </c>
      <c r="AC61" s="12">
        <v>399</v>
      </c>
      <c r="AD61" s="12">
        <v>399</v>
      </c>
      <c r="AE61" s="12">
        <v>399</v>
      </c>
      <c r="AF61" s="13"/>
      <c r="AG61" s="13"/>
      <c r="AH61" s="13"/>
    </row>
    <row r="62" spans="1:34">
      <c r="A62" s="13" t="s">
        <v>87</v>
      </c>
      <c r="B62" s="13">
        <v>220029640</v>
      </c>
      <c r="C62" s="13" t="s">
        <v>88</v>
      </c>
      <c r="D62" s="13" t="s">
        <v>89</v>
      </c>
      <c r="E62" s="13">
        <v>400454000062</v>
      </c>
      <c r="F62" s="13" t="s">
        <v>90</v>
      </c>
      <c r="G62" s="13" t="s">
        <v>90</v>
      </c>
      <c r="H62" s="13" t="s">
        <v>91</v>
      </c>
      <c r="I62" s="13" t="s">
        <v>92</v>
      </c>
      <c r="J62" s="14" t="s">
        <v>93</v>
      </c>
      <c r="K62" s="13"/>
      <c r="L62" s="13">
        <v>0</v>
      </c>
      <c r="M62" s="13" t="s">
        <v>98</v>
      </c>
      <c r="N62" s="13" t="s">
        <v>91</v>
      </c>
      <c r="O62" s="13">
        <v>0</v>
      </c>
      <c r="P62" s="11">
        <v>330</v>
      </c>
      <c r="Q62" s="12">
        <v>19.53</v>
      </c>
      <c r="R62" s="12">
        <v>1270.52</v>
      </c>
      <c r="S62" s="12">
        <v>0.09</v>
      </c>
      <c r="T62" s="12">
        <v>8.48</v>
      </c>
      <c r="U62" s="12">
        <v>0.11</v>
      </c>
      <c r="V62" s="12">
        <v>0.09</v>
      </c>
      <c r="W62" s="12">
        <v>7.0000000000000007E-2</v>
      </c>
      <c r="X62" s="12">
        <v>399</v>
      </c>
      <c r="Y62" s="12">
        <v>399</v>
      </c>
      <c r="Z62" s="12">
        <v>399</v>
      </c>
      <c r="AA62" s="12">
        <v>399</v>
      </c>
      <c r="AB62" s="12">
        <v>399</v>
      </c>
      <c r="AC62" s="12">
        <v>399</v>
      </c>
      <c r="AD62" s="12">
        <v>399</v>
      </c>
      <c r="AE62" s="12">
        <v>399</v>
      </c>
      <c r="AF62" s="13"/>
      <c r="AG62" s="13"/>
      <c r="AH62" s="13"/>
    </row>
    <row r="63" spans="1:34">
      <c r="A63" s="13" t="s">
        <v>87</v>
      </c>
      <c r="B63" s="13">
        <v>220029640</v>
      </c>
      <c r="C63" s="13" t="s">
        <v>88</v>
      </c>
      <c r="D63" s="13" t="s">
        <v>89</v>
      </c>
      <c r="E63" s="13">
        <v>400454000062</v>
      </c>
      <c r="F63" s="13" t="s">
        <v>90</v>
      </c>
      <c r="G63" s="13" t="s">
        <v>90</v>
      </c>
      <c r="H63" s="13" t="s">
        <v>91</v>
      </c>
      <c r="I63" s="13" t="s">
        <v>92</v>
      </c>
      <c r="J63" s="14" t="s">
        <v>93</v>
      </c>
      <c r="K63" s="13"/>
      <c r="L63" s="13">
        <v>0</v>
      </c>
      <c r="M63" s="13" t="s">
        <v>98</v>
      </c>
      <c r="N63" s="13" t="s">
        <v>91</v>
      </c>
      <c r="O63" s="13">
        <v>0</v>
      </c>
      <c r="P63" s="11">
        <v>335</v>
      </c>
      <c r="Q63" s="12">
        <v>18.68</v>
      </c>
      <c r="R63" s="12">
        <v>1270.442</v>
      </c>
      <c r="S63" s="12">
        <v>0.09</v>
      </c>
      <c r="T63" s="12">
        <v>8.49</v>
      </c>
      <c r="U63" s="12">
        <v>0.11</v>
      </c>
      <c r="V63" s="12">
        <v>0.09</v>
      </c>
      <c r="W63" s="12">
        <v>7.0000000000000007E-2</v>
      </c>
      <c r="X63" s="12">
        <v>399</v>
      </c>
      <c r="Y63" s="12">
        <v>399</v>
      </c>
      <c r="Z63" s="12">
        <v>399</v>
      </c>
      <c r="AA63" s="12">
        <v>399</v>
      </c>
      <c r="AB63" s="12">
        <v>399</v>
      </c>
      <c r="AC63" s="12">
        <v>399</v>
      </c>
      <c r="AD63" s="12">
        <v>399</v>
      </c>
      <c r="AE63" s="12">
        <v>399</v>
      </c>
      <c r="AF63" s="13"/>
      <c r="AG63" s="13"/>
      <c r="AH63" s="13"/>
    </row>
    <row r="64" spans="1:34">
      <c r="A64" s="13" t="s">
        <v>87</v>
      </c>
      <c r="B64" s="13">
        <v>220029640</v>
      </c>
      <c r="C64" s="13" t="s">
        <v>88</v>
      </c>
      <c r="D64" s="13" t="s">
        <v>89</v>
      </c>
      <c r="E64" s="13">
        <v>400454000062</v>
      </c>
      <c r="F64" s="13" t="s">
        <v>90</v>
      </c>
      <c r="G64" s="13" t="s">
        <v>90</v>
      </c>
      <c r="H64" s="13" t="s">
        <v>91</v>
      </c>
      <c r="I64" s="13" t="s">
        <v>92</v>
      </c>
      <c r="J64" s="14" t="s">
        <v>93</v>
      </c>
      <c r="K64" s="13"/>
      <c r="L64" s="13">
        <v>0</v>
      </c>
      <c r="M64" s="13" t="s">
        <v>98</v>
      </c>
      <c r="N64" s="13" t="s">
        <v>91</v>
      </c>
      <c r="O64" s="13">
        <v>0</v>
      </c>
      <c r="P64" s="11">
        <v>340</v>
      </c>
      <c r="Q64" s="12">
        <v>17.86</v>
      </c>
      <c r="R64" s="12">
        <v>1270.365</v>
      </c>
      <c r="S64" s="12">
        <v>0.09</v>
      </c>
      <c r="T64" s="12">
        <v>8.4600000000000009</v>
      </c>
      <c r="U64" s="12">
        <v>0.11</v>
      </c>
      <c r="V64" s="12">
        <v>0.09</v>
      </c>
      <c r="W64" s="12">
        <v>7.0000000000000007E-2</v>
      </c>
      <c r="X64" s="12">
        <v>399</v>
      </c>
      <c r="Y64" s="12">
        <v>399</v>
      </c>
      <c r="Z64" s="12">
        <v>399</v>
      </c>
      <c r="AA64" s="12">
        <v>399</v>
      </c>
      <c r="AB64" s="12">
        <v>399</v>
      </c>
      <c r="AC64" s="12">
        <v>399</v>
      </c>
      <c r="AD64" s="12">
        <v>399</v>
      </c>
      <c r="AE64" s="12">
        <v>399</v>
      </c>
      <c r="AF64" s="13"/>
      <c r="AG64" s="13"/>
      <c r="AH64" s="13"/>
    </row>
    <row r="65" spans="1:34">
      <c r="A65" s="13" t="s">
        <v>87</v>
      </c>
      <c r="B65" s="13">
        <v>220029640</v>
      </c>
      <c r="C65" s="13" t="s">
        <v>88</v>
      </c>
      <c r="D65" s="13" t="s">
        <v>89</v>
      </c>
      <c r="E65" s="13">
        <v>400454000062</v>
      </c>
      <c r="F65" s="13" t="s">
        <v>90</v>
      </c>
      <c r="G65" s="13" t="s">
        <v>90</v>
      </c>
      <c r="H65" s="13" t="s">
        <v>91</v>
      </c>
      <c r="I65" s="13" t="s">
        <v>92</v>
      </c>
      <c r="J65" s="14" t="s">
        <v>93</v>
      </c>
      <c r="K65" s="13"/>
      <c r="L65" s="13">
        <v>0</v>
      </c>
      <c r="M65" s="13" t="s">
        <v>98</v>
      </c>
      <c r="N65" s="13" t="s">
        <v>91</v>
      </c>
      <c r="O65" s="13">
        <v>0</v>
      </c>
      <c r="P65" s="11">
        <v>345</v>
      </c>
      <c r="Q65" s="11">
        <v>17.010000000000002</v>
      </c>
      <c r="R65" s="11">
        <v>1270.2850000000001</v>
      </c>
      <c r="S65" s="11">
        <v>0.09</v>
      </c>
      <c r="T65" s="11">
        <v>8.4700000000000006</v>
      </c>
      <c r="U65" s="11">
        <v>0.11</v>
      </c>
      <c r="V65" s="11">
        <v>0.09</v>
      </c>
      <c r="W65" s="11">
        <v>7.0000000000000007E-2</v>
      </c>
      <c r="X65" s="11">
        <v>399</v>
      </c>
      <c r="Y65" s="11">
        <v>399</v>
      </c>
      <c r="Z65" s="11">
        <v>399</v>
      </c>
      <c r="AA65" s="11">
        <v>399</v>
      </c>
      <c r="AB65" s="11">
        <v>399</v>
      </c>
      <c r="AC65" s="11">
        <v>399</v>
      </c>
      <c r="AD65" s="11">
        <v>399</v>
      </c>
      <c r="AE65" s="11">
        <v>399</v>
      </c>
      <c r="AF65" s="13"/>
      <c r="AG65" s="13"/>
      <c r="AH65" s="13"/>
    </row>
    <row r="66" spans="1:34">
      <c r="A66" s="13" t="s">
        <v>87</v>
      </c>
      <c r="B66" s="13">
        <v>220029640</v>
      </c>
      <c r="C66" s="13" t="s">
        <v>88</v>
      </c>
      <c r="D66" s="13" t="s">
        <v>89</v>
      </c>
      <c r="E66" s="13">
        <v>400454000062</v>
      </c>
      <c r="F66" s="13" t="s">
        <v>90</v>
      </c>
      <c r="G66" s="13" t="s">
        <v>90</v>
      </c>
      <c r="H66" s="13" t="s">
        <v>91</v>
      </c>
      <c r="I66" s="13" t="s">
        <v>92</v>
      </c>
      <c r="J66" s="14" t="s">
        <v>93</v>
      </c>
      <c r="K66" s="13"/>
      <c r="L66" s="13">
        <v>0</v>
      </c>
      <c r="M66" s="13" t="s">
        <v>98</v>
      </c>
      <c r="N66" s="13" t="s">
        <v>91</v>
      </c>
      <c r="O66" s="13">
        <v>0</v>
      </c>
      <c r="P66" s="11">
        <v>350</v>
      </c>
      <c r="Q66" s="11">
        <v>16.22</v>
      </c>
      <c r="R66" s="11">
        <v>1270.2090000000001</v>
      </c>
      <c r="S66" s="11">
        <v>0.1</v>
      </c>
      <c r="T66" s="11">
        <v>8.5</v>
      </c>
      <c r="U66" s="11">
        <v>0.11</v>
      </c>
      <c r="V66" s="11">
        <v>0.09</v>
      </c>
      <c r="W66" s="11">
        <v>7.0000000000000007E-2</v>
      </c>
      <c r="X66" s="11">
        <v>399</v>
      </c>
      <c r="Y66" s="11">
        <v>399</v>
      </c>
      <c r="Z66" s="11">
        <v>399</v>
      </c>
      <c r="AA66" s="11">
        <v>399</v>
      </c>
      <c r="AB66" s="11">
        <v>399</v>
      </c>
      <c r="AC66" s="11">
        <v>399</v>
      </c>
      <c r="AD66" s="11">
        <v>399</v>
      </c>
      <c r="AE66" s="11">
        <v>399</v>
      </c>
      <c r="AF66" s="13"/>
      <c r="AG66" s="13"/>
      <c r="AH66" s="13"/>
    </row>
    <row r="67" spans="1:34">
      <c r="A67" s="13" t="s">
        <v>87</v>
      </c>
      <c r="B67" s="13">
        <v>220029640</v>
      </c>
      <c r="C67" s="13" t="s">
        <v>88</v>
      </c>
      <c r="D67" s="13" t="s">
        <v>89</v>
      </c>
      <c r="E67" s="13">
        <v>400454000062</v>
      </c>
      <c r="F67" s="13" t="s">
        <v>90</v>
      </c>
      <c r="G67" s="13" t="s">
        <v>90</v>
      </c>
      <c r="H67" s="13" t="s">
        <v>91</v>
      </c>
      <c r="I67" s="13" t="s">
        <v>92</v>
      </c>
      <c r="J67" s="14" t="s">
        <v>93</v>
      </c>
      <c r="K67" s="13"/>
      <c r="L67" s="13">
        <v>0</v>
      </c>
      <c r="M67" s="13" t="s">
        <v>98</v>
      </c>
      <c r="N67" s="13" t="s">
        <v>91</v>
      </c>
      <c r="O67" s="13">
        <v>0</v>
      </c>
      <c r="P67" s="11">
        <v>355</v>
      </c>
      <c r="Q67" s="11">
        <v>15.38</v>
      </c>
      <c r="R67" s="11">
        <v>1270.133</v>
      </c>
      <c r="S67" s="11">
        <v>0.09</v>
      </c>
      <c r="T67" s="11">
        <v>8.52</v>
      </c>
      <c r="U67" s="11">
        <v>0.11</v>
      </c>
      <c r="V67" s="11">
        <v>0.09</v>
      </c>
      <c r="W67" s="11">
        <v>7.0000000000000007E-2</v>
      </c>
      <c r="X67" s="11">
        <v>399</v>
      </c>
      <c r="Y67" s="11">
        <v>399</v>
      </c>
      <c r="Z67" s="11">
        <v>399</v>
      </c>
      <c r="AA67" s="11">
        <v>399</v>
      </c>
      <c r="AB67" s="11">
        <v>399</v>
      </c>
      <c r="AC67" s="11">
        <v>399</v>
      </c>
      <c r="AD67" s="11">
        <v>399</v>
      </c>
      <c r="AE67" s="11">
        <v>399</v>
      </c>
      <c r="AF67" s="13"/>
      <c r="AG67" s="13"/>
      <c r="AH67" s="13"/>
    </row>
    <row r="68" spans="1:34">
      <c r="A68" s="13" t="s">
        <v>87</v>
      </c>
      <c r="B68" s="13">
        <v>220029640</v>
      </c>
      <c r="C68" s="13" t="s">
        <v>88</v>
      </c>
      <c r="D68" s="13" t="s">
        <v>89</v>
      </c>
      <c r="E68" s="13">
        <v>400454000062</v>
      </c>
      <c r="F68" s="13" t="s">
        <v>90</v>
      </c>
      <c r="G68" s="13" t="s">
        <v>90</v>
      </c>
      <c r="H68" s="13" t="s">
        <v>91</v>
      </c>
      <c r="I68" s="13" t="s">
        <v>92</v>
      </c>
      <c r="J68" s="14" t="s">
        <v>93</v>
      </c>
      <c r="K68" s="13"/>
      <c r="L68" s="13">
        <v>0</v>
      </c>
      <c r="M68" s="13" t="s">
        <v>98</v>
      </c>
      <c r="N68" s="13" t="s">
        <v>91</v>
      </c>
      <c r="O68" s="13">
        <v>0</v>
      </c>
      <c r="P68" s="11">
        <v>360</v>
      </c>
      <c r="Q68" s="11">
        <v>14.57</v>
      </c>
      <c r="R68" s="11">
        <v>1270.0550000000001</v>
      </c>
      <c r="S68" s="11">
        <v>0.1</v>
      </c>
      <c r="T68" s="11">
        <v>8.58</v>
      </c>
      <c r="U68" s="11">
        <v>0.11</v>
      </c>
      <c r="V68" s="11">
        <v>0.09</v>
      </c>
      <c r="W68" s="11">
        <v>7.0000000000000007E-2</v>
      </c>
      <c r="X68" s="11">
        <v>399</v>
      </c>
      <c r="Y68" s="11">
        <v>399</v>
      </c>
      <c r="Z68" s="11">
        <v>399</v>
      </c>
      <c r="AA68" s="11">
        <v>399</v>
      </c>
      <c r="AB68" s="11">
        <v>399</v>
      </c>
      <c r="AC68" s="11">
        <v>399</v>
      </c>
      <c r="AD68" s="11">
        <v>399</v>
      </c>
      <c r="AE68" s="11">
        <v>399</v>
      </c>
      <c r="AF68" s="13"/>
      <c r="AG68" s="13"/>
      <c r="AH68" s="13"/>
    </row>
    <row r="69" spans="1:34">
      <c r="A69" s="13" t="s">
        <v>87</v>
      </c>
      <c r="B69" s="13">
        <v>220029640</v>
      </c>
      <c r="C69" s="13" t="s">
        <v>88</v>
      </c>
      <c r="D69" s="13" t="s">
        <v>89</v>
      </c>
      <c r="E69" s="13">
        <v>400454000062</v>
      </c>
      <c r="F69" s="13" t="s">
        <v>90</v>
      </c>
      <c r="G69" s="13" t="s">
        <v>90</v>
      </c>
      <c r="H69" s="13" t="s">
        <v>91</v>
      </c>
      <c r="I69" s="13" t="s">
        <v>92</v>
      </c>
      <c r="J69" s="14" t="s">
        <v>93</v>
      </c>
      <c r="K69" s="13"/>
      <c r="L69" s="13">
        <v>0</v>
      </c>
      <c r="M69" s="13" t="s">
        <v>98</v>
      </c>
      <c r="N69" s="13" t="s">
        <v>91</v>
      </c>
      <c r="O69" s="13">
        <v>0</v>
      </c>
      <c r="P69" s="11">
        <v>365</v>
      </c>
      <c r="Q69" s="11">
        <v>13.78</v>
      </c>
      <c r="R69" s="11">
        <v>1269.98</v>
      </c>
      <c r="S69" s="11">
        <v>0.09</v>
      </c>
      <c r="T69" s="11">
        <v>8.65</v>
      </c>
      <c r="U69" s="11">
        <v>0.11</v>
      </c>
      <c r="V69" s="11">
        <v>0.09</v>
      </c>
      <c r="W69" s="11">
        <v>7.0000000000000007E-2</v>
      </c>
      <c r="X69" s="11">
        <v>399</v>
      </c>
      <c r="Y69" s="11">
        <v>399</v>
      </c>
      <c r="Z69" s="11">
        <v>399</v>
      </c>
      <c r="AA69" s="11">
        <v>399</v>
      </c>
      <c r="AB69" s="11">
        <v>399</v>
      </c>
      <c r="AC69" s="11">
        <v>399</v>
      </c>
      <c r="AD69" s="11">
        <v>399</v>
      </c>
      <c r="AE69" s="11">
        <v>399</v>
      </c>
      <c r="AF69" s="13"/>
      <c r="AG69" s="13"/>
      <c r="AH69" s="13"/>
    </row>
    <row r="70" spans="1:34">
      <c r="A70" s="13" t="s">
        <v>87</v>
      </c>
      <c r="B70" s="13">
        <v>220029640</v>
      </c>
      <c r="C70" s="13" t="s">
        <v>88</v>
      </c>
      <c r="D70" s="13" t="s">
        <v>89</v>
      </c>
      <c r="E70" s="13">
        <v>400454000062</v>
      </c>
      <c r="F70" s="13" t="s">
        <v>90</v>
      </c>
      <c r="G70" s="13" t="s">
        <v>90</v>
      </c>
      <c r="H70" s="13" t="s">
        <v>91</v>
      </c>
      <c r="I70" s="13" t="s">
        <v>92</v>
      </c>
      <c r="J70" s="14" t="s">
        <v>93</v>
      </c>
      <c r="K70" s="13"/>
      <c r="L70" s="13">
        <v>0</v>
      </c>
      <c r="M70" s="13" t="s">
        <v>98</v>
      </c>
      <c r="N70" s="13" t="s">
        <v>91</v>
      </c>
      <c r="O70" s="13">
        <v>0</v>
      </c>
      <c r="P70" s="11">
        <v>370</v>
      </c>
      <c r="Q70" s="11">
        <v>12.93</v>
      </c>
      <c r="R70" s="11">
        <v>1269.905</v>
      </c>
      <c r="S70" s="11">
        <v>0.09</v>
      </c>
      <c r="T70" s="11">
        <v>8.77</v>
      </c>
      <c r="U70" s="11">
        <v>0.11</v>
      </c>
      <c r="V70" s="11">
        <v>0.09</v>
      </c>
      <c r="W70" s="11">
        <v>7.0000000000000007E-2</v>
      </c>
      <c r="X70" s="11">
        <v>399</v>
      </c>
      <c r="Y70" s="11">
        <v>399</v>
      </c>
      <c r="Z70" s="11">
        <v>399</v>
      </c>
      <c r="AA70" s="11">
        <v>399</v>
      </c>
      <c r="AB70" s="11">
        <v>399</v>
      </c>
      <c r="AC70" s="11">
        <v>399</v>
      </c>
      <c r="AD70" s="11">
        <v>399</v>
      </c>
      <c r="AE70" s="11">
        <v>399</v>
      </c>
      <c r="AF70" s="13"/>
      <c r="AG70" s="13"/>
      <c r="AH70" s="13"/>
    </row>
    <row r="71" spans="1:34">
      <c r="A71" s="13" t="s">
        <v>87</v>
      </c>
      <c r="B71" s="13">
        <v>220029640</v>
      </c>
      <c r="C71" s="13" t="s">
        <v>88</v>
      </c>
      <c r="D71" s="13" t="s">
        <v>89</v>
      </c>
      <c r="E71" s="13">
        <v>400454000062</v>
      </c>
      <c r="F71" s="13" t="s">
        <v>90</v>
      </c>
      <c r="G71" s="13" t="s">
        <v>90</v>
      </c>
      <c r="H71" s="13" t="s">
        <v>91</v>
      </c>
      <c r="I71" s="13" t="s">
        <v>92</v>
      </c>
      <c r="J71" s="14" t="s">
        <v>93</v>
      </c>
      <c r="K71" s="13"/>
      <c r="L71" s="13">
        <v>0</v>
      </c>
      <c r="M71" s="13" t="s">
        <v>98</v>
      </c>
      <c r="N71" s="13" t="s">
        <v>91</v>
      </c>
      <c r="O71" s="13">
        <v>0</v>
      </c>
      <c r="P71" s="11">
        <v>375</v>
      </c>
      <c r="Q71" s="11">
        <v>12.11</v>
      </c>
      <c r="R71" s="11">
        <v>1269.828</v>
      </c>
      <c r="S71" s="11">
        <v>0.09</v>
      </c>
      <c r="T71" s="11">
        <v>8.7899999999999991</v>
      </c>
      <c r="U71" s="11">
        <v>0.11</v>
      </c>
      <c r="V71" s="11">
        <v>0.09</v>
      </c>
      <c r="W71" s="11">
        <v>7.0000000000000007E-2</v>
      </c>
      <c r="X71" s="11">
        <v>399</v>
      </c>
      <c r="Y71" s="11">
        <v>399</v>
      </c>
      <c r="Z71" s="11">
        <v>399</v>
      </c>
      <c r="AA71" s="11">
        <v>399</v>
      </c>
      <c r="AB71" s="11">
        <v>399</v>
      </c>
      <c r="AC71" s="11">
        <v>399</v>
      </c>
      <c r="AD71" s="11">
        <v>399</v>
      </c>
      <c r="AE71" s="11">
        <v>399</v>
      </c>
      <c r="AF71" s="13"/>
      <c r="AG71" s="13"/>
      <c r="AH71" s="13"/>
    </row>
    <row r="72" spans="1:34">
      <c r="A72" s="13" t="s">
        <v>87</v>
      </c>
      <c r="B72" s="13">
        <v>220029640</v>
      </c>
      <c r="C72" s="13" t="s">
        <v>88</v>
      </c>
      <c r="D72" s="13" t="s">
        <v>89</v>
      </c>
      <c r="E72" s="13">
        <v>400454000062</v>
      </c>
      <c r="F72" s="13" t="s">
        <v>90</v>
      </c>
      <c r="G72" s="13" t="s">
        <v>90</v>
      </c>
      <c r="H72" s="13" t="s">
        <v>91</v>
      </c>
      <c r="I72" s="13" t="s">
        <v>92</v>
      </c>
      <c r="J72" s="14" t="s">
        <v>93</v>
      </c>
      <c r="K72" s="13"/>
      <c r="L72" s="13">
        <v>0</v>
      </c>
      <c r="M72" s="13" t="s">
        <v>98</v>
      </c>
      <c r="N72" s="13" t="s">
        <v>91</v>
      </c>
      <c r="O72" s="13">
        <v>0</v>
      </c>
      <c r="P72" s="11">
        <v>380</v>
      </c>
      <c r="Q72" s="11">
        <v>11.26</v>
      </c>
      <c r="R72" s="11">
        <v>1269.751</v>
      </c>
      <c r="S72" s="11">
        <v>0.09</v>
      </c>
      <c r="T72" s="11">
        <v>8.7799999999999994</v>
      </c>
      <c r="U72" s="11">
        <v>0.11</v>
      </c>
      <c r="V72" s="11">
        <v>0.09</v>
      </c>
      <c r="W72" s="11">
        <v>7.0000000000000007E-2</v>
      </c>
      <c r="X72" s="11">
        <v>399</v>
      </c>
      <c r="Y72" s="11">
        <v>399</v>
      </c>
      <c r="Z72" s="11">
        <v>399</v>
      </c>
      <c r="AA72" s="11">
        <v>399</v>
      </c>
      <c r="AB72" s="11">
        <v>399</v>
      </c>
      <c r="AC72" s="11">
        <v>399</v>
      </c>
      <c r="AD72" s="11">
        <v>399</v>
      </c>
      <c r="AE72" s="11">
        <v>399</v>
      </c>
      <c r="AF72" s="13"/>
      <c r="AG72" s="13"/>
      <c r="AH72" s="13"/>
    </row>
    <row r="73" spans="1:34">
      <c r="A73" s="13" t="s">
        <v>87</v>
      </c>
      <c r="B73" s="13">
        <v>220029640</v>
      </c>
      <c r="C73" s="13" t="s">
        <v>88</v>
      </c>
      <c r="D73" s="13" t="s">
        <v>89</v>
      </c>
      <c r="E73" s="13">
        <v>400454000062</v>
      </c>
      <c r="F73" s="13" t="s">
        <v>90</v>
      </c>
      <c r="G73" s="13" t="s">
        <v>90</v>
      </c>
      <c r="H73" s="13" t="s">
        <v>91</v>
      </c>
      <c r="I73" s="13" t="s">
        <v>92</v>
      </c>
      <c r="J73" s="14" t="s">
        <v>93</v>
      </c>
      <c r="K73" s="13"/>
      <c r="L73" s="13">
        <v>0</v>
      </c>
      <c r="M73" s="13" t="s">
        <v>98</v>
      </c>
      <c r="N73" s="13" t="s">
        <v>91</v>
      </c>
      <c r="O73" s="13">
        <v>0</v>
      </c>
      <c r="P73" s="11">
        <v>385</v>
      </c>
      <c r="Q73" s="11">
        <v>10.44</v>
      </c>
      <c r="R73" s="11">
        <v>1269.6690000000001</v>
      </c>
      <c r="S73" s="11">
        <v>0.1</v>
      </c>
      <c r="T73" s="11">
        <v>8.77</v>
      </c>
      <c r="U73" s="11">
        <v>0.11</v>
      </c>
      <c r="V73" s="11">
        <v>0.09</v>
      </c>
      <c r="W73" s="11">
        <v>7.0000000000000007E-2</v>
      </c>
      <c r="X73" s="11">
        <v>399</v>
      </c>
      <c r="Y73" s="11">
        <v>399</v>
      </c>
      <c r="Z73" s="11">
        <v>399</v>
      </c>
      <c r="AA73" s="11">
        <v>399</v>
      </c>
      <c r="AB73" s="11">
        <v>399</v>
      </c>
      <c r="AC73" s="11">
        <v>399</v>
      </c>
      <c r="AD73" s="11">
        <v>399</v>
      </c>
      <c r="AE73" s="11">
        <v>399</v>
      </c>
      <c r="AF73" s="13"/>
      <c r="AG73" s="13"/>
      <c r="AH73" s="13"/>
    </row>
    <row r="74" spans="1:34">
      <c r="A74" s="13" t="s">
        <v>87</v>
      </c>
      <c r="B74" s="13">
        <v>220029640</v>
      </c>
      <c r="C74" s="13" t="s">
        <v>88</v>
      </c>
      <c r="D74" s="13" t="s">
        <v>89</v>
      </c>
      <c r="E74" s="13">
        <v>400454000062</v>
      </c>
      <c r="F74" s="13" t="s">
        <v>90</v>
      </c>
      <c r="G74" s="13" t="s">
        <v>90</v>
      </c>
      <c r="H74" s="13" t="s">
        <v>91</v>
      </c>
      <c r="I74" s="13" t="s">
        <v>92</v>
      </c>
      <c r="J74" s="14" t="s">
        <v>93</v>
      </c>
      <c r="K74" s="13"/>
      <c r="L74" s="13">
        <v>0</v>
      </c>
      <c r="M74" s="13" t="s">
        <v>98</v>
      </c>
      <c r="N74" s="13" t="s">
        <v>91</v>
      </c>
      <c r="O74" s="13">
        <v>0</v>
      </c>
      <c r="P74" s="11">
        <v>390</v>
      </c>
      <c r="Q74" s="11">
        <v>9.61</v>
      </c>
      <c r="R74" s="11">
        <v>1269.5930000000001</v>
      </c>
      <c r="S74" s="11">
        <v>0.09</v>
      </c>
      <c r="T74" s="11">
        <v>8.8000000000000007</v>
      </c>
      <c r="U74" s="11">
        <v>0.11</v>
      </c>
      <c r="V74" s="11">
        <v>0.09</v>
      </c>
      <c r="W74" s="11">
        <v>7.0000000000000007E-2</v>
      </c>
      <c r="X74" s="11">
        <v>399</v>
      </c>
      <c r="Y74" s="11">
        <v>399</v>
      </c>
      <c r="Z74" s="11">
        <v>399</v>
      </c>
      <c r="AA74" s="11">
        <v>399</v>
      </c>
      <c r="AB74" s="11">
        <v>399</v>
      </c>
      <c r="AC74" s="11">
        <v>399</v>
      </c>
      <c r="AD74" s="11">
        <v>399</v>
      </c>
      <c r="AE74" s="11">
        <v>399</v>
      </c>
      <c r="AF74" s="13"/>
      <c r="AG74" s="13"/>
      <c r="AH74" s="13"/>
    </row>
    <row r="75" spans="1:34">
      <c r="A75" s="13" t="s">
        <v>87</v>
      </c>
      <c r="B75" s="13">
        <v>220029640</v>
      </c>
      <c r="C75" s="13" t="s">
        <v>88</v>
      </c>
      <c r="D75" s="13" t="s">
        <v>89</v>
      </c>
      <c r="E75" s="13">
        <v>400454000062</v>
      </c>
      <c r="F75" s="13" t="s">
        <v>90</v>
      </c>
      <c r="G75" s="13" t="s">
        <v>90</v>
      </c>
      <c r="H75" s="13" t="s">
        <v>91</v>
      </c>
      <c r="I75" s="13" t="s">
        <v>92</v>
      </c>
      <c r="J75" s="14" t="s">
        <v>93</v>
      </c>
      <c r="K75" s="13"/>
      <c r="L75" s="13">
        <v>0</v>
      </c>
      <c r="M75" s="13" t="s">
        <v>98</v>
      </c>
      <c r="N75" s="13" t="s">
        <v>91</v>
      </c>
      <c r="O75" s="13">
        <v>0</v>
      </c>
      <c r="P75" s="11">
        <v>395</v>
      </c>
      <c r="Q75" s="11">
        <v>8.81</v>
      </c>
      <c r="R75" s="11">
        <v>1269.5139999999999</v>
      </c>
      <c r="S75" s="11">
        <v>0.1</v>
      </c>
      <c r="T75" s="11">
        <v>8.82</v>
      </c>
      <c r="U75" s="11">
        <v>0.11</v>
      </c>
      <c r="V75" s="11">
        <v>0.09</v>
      </c>
      <c r="W75" s="11">
        <v>7.0000000000000007E-2</v>
      </c>
      <c r="X75" s="11">
        <v>399</v>
      </c>
      <c r="Y75" s="11">
        <v>399</v>
      </c>
      <c r="Z75" s="11">
        <v>399</v>
      </c>
      <c r="AA75" s="11">
        <v>399</v>
      </c>
      <c r="AB75" s="11">
        <v>399</v>
      </c>
      <c r="AC75" s="11">
        <v>399</v>
      </c>
      <c r="AD75" s="11">
        <v>399</v>
      </c>
      <c r="AE75" s="11">
        <v>399</v>
      </c>
      <c r="AF75" s="13"/>
      <c r="AG75" s="13"/>
      <c r="AH75" s="13"/>
    </row>
    <row r="76" spans="1:34">
      <c r="A76" s="13" t="s">
        <v>87</v>
      </c>
      <c r="B76" s="13">
        <v>220029640</v>
      </c>
      <c r="C76" s="13" t="s">
        <v>88</v>
      </c>
      <c r="D76" s="13" t="s">
        <v>89</v>
      </c>
      <c r="E76" s="13">
        <v>400454000062</v>
      </c>
      <c r="F76" s="13" t="s">
        <v>90</v>
      </c>
      <c r="G76" s="13" t="s">
        <v>90</v>
      </c>
      <c r="H76" s="13" t="s">
        <v>91</v>
      </c>
      <c r="I76" s="13" t="s">
        <v>92</v>
      </c>
      <c r="J76" s="14" t="s">
        <v>93</v>
      </c>
      <c r="K76" s="13"/>
      <c r="L76" s="13">
        <v>0</v>
      </c>
      <c r="M76" s="13" t="s">
        <v>98</v>
      </c>
      <c r="N76" s="13" t="s">
        <v>91</v>
      </c>
      <c r="O76" s="13">
        <v>0</v>
      </c>
      <c r="P76" s="11">
        <v>400</v>
      </c>
      <c r="Q76" s="11">
        <v>7.98</v>
      </c>
      <c r="R76" s="11">
        <v>1269.44</v>
      </c>
      <c r="S76" s="11">
        <v>0.09</v>
      </c>
      <c r="T76" s="11">
        <v>8.82</v>
      </c>
      <c r="U76" s="11">
        <v>0.11</v>
      </c>
      <c r="V76" s="11">
        <v>0.09</v>
      </c>
      <c r="W76" s="11">
        <v>7.0000000000000007E-2</v>
      </c>
      <c r="X76" s="11">
        <v>399</v>
      </c>
      <c r="Y76" s="11">
        <v>399</v>
      </c>
      <c r="Z76" s="11">
        <v>399</v>
      </c>
      <c r="AA76" s="11">
        <v>399</v>
      </c>
      <c r="AB76" s="11">
        <v>399</v>
      </c>
      <c r="AC76" s="11">
        <v>399</v>
      </c>
      <c r="AD76" s="11">
        <v>399</v>
      </c>
      <c r="AE76" s="11">
        <v>399</v>
      </c>
      <c r="AF76" s="13"/>
      <c r="AG76" s="13"/>
      <c r="AH76" s="13"/>
    </row>
    <row r="77" spans="1:34">
      <c r="A77" s="13" t="s">
        <v>87</v>
      </c>
      <c r="B77" s="13">
        <v>220029640</v>
      </c>
      <c r="C77" s="13" t="s">
        <v>88</v>
      </c>
      <c r="D77" s="13" t="s">
        <v>89</v>
      </c>
      <c r="E77" s="13">
        <v>400454000062</v>
      </c>
      <c r="F77" s="13" t="s">
        <v>90</v>
      </c>
      <c r="G77" s="13" t="s">
        <v>90</v>
      </c>
      <c r="H77" s="13" t="s">
        <v>91</v>
      </c>
      <c r="I77" s="13" t="s">
        <v>92</v>
      </c>
      <c r="J77" s="14" t="s">
        <v>93</v>
      </c>
      <c r="K77" s="13"/>
      <c r="L77" s="13">
        <v>0</v>
      </c>
      <c r="M77" s="13" t="s">
        <v>98</v>
      </c>
      <c r="N77" s="13" t="s">
        <v>91</v>
      </c>
      <c r="O77" s="13">
        <v>0</v>
      </c>
      <c r="P77" s="13">
        <v>405</v>
      </c>
      <c r="Q77" s="13">
        <v>7.17</v>
      </c>
      <c r="R77" s="13">
        <v>1269.364</v>
      </c>
      <c r="S77" s="13">
        <v>0.09</v>
      </c>
      <c r="T77" s="13">
        <v>8.82</v>
      </c>
      <c r="U77" s="13">
        <v>0.11</v>
      </c>
      <c r="V77" s="13">
        <v>0.09</v>
      </c>
      <c r="W77" s="13">
        <v>7.0000000000000007E-2</v>
      </c>
      <c r="X77" s="13">
        <v>399</v>
      </c>
      <c r="Y77" s="13">
        <v>399</v>
      </c>
      <c r="Z77" s="13">
        <v>399</v>
      </c>
      <c r="AA77" s="13">
        <v>399</v>
      </c>
      <c r="AB77" s="13">
        <v>399</v>
      </c>
      <c r="AC77" s="13">
        <v>399</v>
      </c>
      <c r="AD77" s="13">
        <v>399</v>
      </c>
      <c r="AE77" s="13">
        <v>399</v>
      </c>
      <c r="AF77" s="13"/>
      <c r="AG77" s="13"/>
      <c r="AH77" s="13"/>
    </row>
    <row r="78" spans="1:34">
      <c r="A78" s="13" t="s">
        <v>87</v>
      </c>
      <c r="B78" s="13">
        <v>220029640</v>
      </c>
      <c r="C78" s="13" t="s">
        <v>88</v>
      </c>
      <c r="D78" s="13" t="s">
        <v>89</v>
      </c>
      <c r="E78" s="13">
        <v>400454000062</v>
      </c>
      <c r="F78" s="13" t="s">
        <v>90</v>
      </c>
      <c r="G78" s="13" t="s">
        <v>90</v>
      </c>
      <c r="H78" s="13" t="s">
        <v>91</v>
      </c>
      <c r="I78" s="13" t="s">
        <v>92</v>
      </c>
      <c r="J78" s="14" t="s">
        <v>93</v>
      </c>
      <c r="K78" s="13"/>
      <c r="L78" s="13">
        <v>0</v>
      </c>
      <c r="M78" s="13" t="s">
        <v>98</v>
      </c>
      <c r="N78" s="13" t="s">
        <v>91</v>
      </c>
      <c r="O78" s="13">
        <v>0</v>
      </c>
      <c r="P78" s="13">
        <v>410</v>
      </c>
      <c r="Q78" s="13">
        <v>6.33</v>
      </c>
      <c r="R78" s="13">
        <v>1269.288</v>
      </c>
      <c r="S78" s="13">
        <v>0.09</v>
      </c>
      <c r="T78" s="13">
        <v>8.9</v>
      </c>
      <c r="U78" s="13">
        <v>0.11</v>
      </c>
      <c r="V78" s="13">
        <v>0.09</v>
      </c>
      <c r="W78" s="13">
        <v>7.0000000000000007E-2</v>
      </c>
      <c r="X78" s="13">
        <v>399</v>
      </c>
      <c r="Y78" s="13">
        <v>399</v>
      </c>
      <c r="Z78" s="13">
        <v>399</v>
      </c>
      <c r="AA78" s="13">
        <v>399</v>
      </c>
      <c r="AB78" s="13">
        <v>399</v>
      </c>
      <c r="AC78" s="13">
        <v>399</v>
      </c>
      <c r="AD78" s="13">
        <v>399</v>
      </c>
      <c r="AE78" s="13">
        <v>399</v>
      </c>
      <c r="AF78" s="13"/>
      <c r="AG78" s="13"/>
      <c r="AH78" s="13"/>
    </row>
    <row r="79" spans="1:34">
      <c r="A79" s="13" t="s">
        <v>87</v>
      </c>
      <c r="B79" s="13">
        <v>220029640</v>
      </c>
      <c r="C79" s="13" t="s">
        <v>88</v>
      </c>
      <c r="D79" s="13" t="s">
        <v>89</v>
      </c>
      <c r="E79" s="13">
        <v>400454000062</v>
      </c>
      <c r="F79" s="13" t="s">
        <v>90</v>
      </c>
      <c r="G79" s="13" t="s">
        <v>90</v>
      </c>
      <c r="H79" s="13" t="s">
        <v>91</v>
      </c>
      <c r="I79" s="13" t="s">
        <v>92</v>
      </c>
      <c r="J79" s="14" t="s">
        <v>93</v>
      </c>
      <c r="K79" s="13"/>
      <c r="L79" s="13">
        <v>0</v>
      </c>
      <c r="M79" s="13" t="s">
        <v>98</v>
      </c>
      <c r="N79" s="13" t="s">
        <v>91</v>
      </c>
      <c r="O79" s="13">
        <v>0</v>
      </c>
      <c r="P79" s="13">
        <v>415</v>
      </c>
      <c r="Q79" s="13">
        <v>5.54</v>
      </c>
      <c r="R79" s="13">
        <v>1269.2090000000001</v>
      </c>
      <c r="S79" s="13">
        <v>0.1</v>
      </c>
      <c r="T79" s="13">
        <v>8.9700000000000006</v>
      </c>
      <c r="U79" s="13">
        <v>0.11</v>
      </c>
      <c r="V79" s="13">
        <v>0.09</v>
      </c>
      <c r="W79" s="13">
        <v>7.0000000000000007E-2</v>
      </c>
      <c r="X79" s="13">
        <v>399</v>
      </c>
      <c r="Y79" s="13">
        <v>399</v>
      </c>
      <c r="Z79" s="13">
        <v>399</v>
      </c>
      <c r="AA79" s="13">
        <v>399</v>
      </c>
      <c r="AB79" s="13">
        <v>399</v>
      </c>
      <c r="AC79" s="13">
        <v>399</v>
      </c>
      <c r="AD79" s="13">
        <v>399</v>
      </c>
      <c r="AE79" s="13">
        <v>399</v>
      </c>
      <c r="AF79" s="13"/>
      <c r="AG79" s="13"/>
      <c r="AH79" s="13"/>
    </row>
    <row r="80" spans="1:34">
      <c r="A80" s="13" t="s">
        <v>87</v>
      </c>
      <c r="B80" s="13">
        <v>220029640</v>
      </c>
      <c r="C80" s="13" t="s">
        <v>88</v>
      </c>
      <c r="D80" s="13" t="s">
        <v>89</v>
      </c>
      <c r="E80" s="13">
        <v>400454000062</v>
      </c>
      <c r="F80" s="13" t="s">
        <v>90</v>
      </c>
      <c r="G80" s="13" t="s">
        <v>90</v>
      </c>
      <c r="H80" s="13" t="s">
        <v>91</v>
      </c>
      <c r="I80" s="13" t="s">
        <v>92</v>
      </c>
      <c r="J80" s="14" t="s">
        <v>93</v>
      </c>
      <c r="K80" s="13"/>
      <c r="L80" s="13">
        <v>0</v>
      </c>
      <c r="M80" s="13" t="s">
        <v>98</v>
      </c>
      <c r="N80" s="13" t="s">
        <v>91</v>
      </c>
      <c r="O80" s="13">
        <v>0</v>
      </c>
      <c r="P80" s="13">
        <v>420</v>
      </c>
      <c r="Q80" s="13">
        <v>4.6900000000000004</v>
      </c>
      <c r="R80" s="13">
        <v>1269.133</v>
      </c>
      <c r="S80" s="13">
        <v>0.09</v>
      </c>
      <c r="T80" s="13">
        <v>9.07</v>
      </c>
      <c r="U80" s="13">
        <v>0.11</v>
      </c>
      <c r="V80" s="13">
        <v>0.09</v>
      </c>
      <c r="W80" s="13">
        <v>7.0000000000000007E-2</v>
      </c>
      <c r="X80" s="13">
        <v>399</v>
      </c>
      <c r="Y80" s="13">
        <v>399</v>
      </c>
      <c r="Z80" s="13">
        <v>399</v>
      </c>
      <c r="AA80" s="13">
        <v>399</v>
      </c>
      <c r="AB80" s="13">
        <v>399</v>
      </c>
      <c r="AC80" s="13">
        <v>399</v>
      </c>
      <c r="AD80" s="13">
        <v>399</v>
      </c>
      <c r="AE80" s="13">
        <v>399</v>
      </c>
      <c r="AF80" s="13"/>
      <c r="AG80" s="13"/>
      <c r="AH80" s="13"/>
    </row>
    <row r="81" spans="1:34">
      <c r="A81" s="13" t="s">
        <v>87</v>
      </c>
      <c r="B81" s="13">
        <v>220029640</v>
      </c>
      <c r="C81" s="13" t="s">
        <v>88</v>
      </c>
      <c r="D81" s="13" t="s">
        <v>89</v>
      </c>
      <c r="E81" s="13">
        <v>400454000062</v>
      </c>
      <c r="F81" s="13" t="s">
        <v>90</v>
      </c>
      <c r="G81" s="13" t="s">
        <v>90</v>
      </c>
      <c r="H81" s="13" t="s">
        <v>91</v>
      </c>
      <c r="I81" s="13" t="s">
        <v>92</v>
      </c>
      <c r="J81" s="14" t="s">
        <v>93</v>
      </c>
      <c r="K81" s="13"/>
      <c r="L81" s="13">
        <v>0</v>
      </c>
      <c r="M81" s="13" t="s">
        <v>98</v>
      </c>
      <c r="N81" s="13" t="s">
        <v>91</v>
      </c>
      <c r="O81" s="13">
        <v>0</v>
      </c>
      <c r="P81" s="13">
        <v>425</v>
      </c>
      <c r="Q81" s="13">
        <v>3.91</v>
      </c>
      <c r="R81" s="13">
        <v>1269.056</v>
      </c>
      <c r="S81" s="13">
        <v>0.1</v>
      </c>
      <c r="T81" s="13">
        <v>9.19</v>
      </c>
      <c r="U81" s="13">
        <v>0.11</v>
      </c>
      <c r="V81" s="13">
        <v>0.09</v>
      </c>
      <c r="W81" s="13">
        <v>7.0000000000000007E-2</v>
      </c>
      <c r="X81" s="13">
        <v>399</v>
      </c>
      <c r="Y81" s="13">
        <v>399</v>
      </c>
      <c r="Z81" s="13">
        <v>399</v>
      </c>
      <c r="AA81" s="13">
        <v>399</v>
      </c>
      <c r="AB81" s="13">
        <v>399</v>
      </c>
      <c r="AC81" s="13">
        <v>399</v>
      </c>
      <c r="AD81" s="13">
        <v>399</v>
      </c>
      <c r="AE81" s="13">
        <v>399</v>
      </c>
      <c r="AF81" s="13"/>
      <c r="AG81" s="13"/>
      <c r="AH81" s="13"/>
    </row>
    <row r="82" spans="1:34">
      <c r="A82" s="13" t="s">
        <v>87</v>
      </c>
      <c r="B82" s="13">
        <v>220029640</v>
      </c>
      <c r="C82" s="13" t="s">
        <v>88</v>
      </c>
      <c r="D82" s="13" t="s">
        <v>89</v>
      </c>
      <c r="E82" s="13">
        <v>400454000062</v>
      </c>
      <c r="F82" s="13" t="s">
        <v>90</v>
      </c>
      <c r="G82" s="13" t="s">
        <v>90</v>
      </c>
      <c r="H82" s="13" t="s">
        <v>91</v>
      </c>
      <c r="I82" s="13" t="s">
        <v>92</v>
      </c>
      <c r="J82" s="14" t="s">
        <v>93</v>
      </c>
      <c r="K82" s="13"/>
      <c r="L82" s="13">
        <v>0</v>
      </c>
      <c r="M82" s="13" t="s">
        <v>98</v>
      </c>
      <c r="N82" s="13" t="s">
        <v>91</v>
      </c>
      <c r="O82" s="13">
        <v>0</v>
      </c>
      <c r="P82" s="13">
        <v>430</v>
      </c>
      <c r="Q82" s="13">
        <v>3.06</v>
      </c>
      <c r="R82" s="13">
        <v>1268.982</v>
      </c>
      <c r="S82" s="13">
        <v>0.09</v>
      </c>
      <c r="T82" s="13">
        <v>9.15</v>
      </c>
      <c r="U82" s="13">
        <v>0.11</v>
      </c>
      <c r="V82" s="13">
        <v>0.09</v>
      </c>
      <c r="W82" s="13">
        <v>7.0000000000000007E-2</v>
      </c>
      <c r="X82" s="13">
        <v>399</v>
      </c>
      <c r="Y82" s="13">
        <v>399</v>
      </c>
      <c r="Z82" s="13">
        <v>399</v>
      </c>
      <c r="AA82" s="13">
        <v>399</v>
      </c>
      <c r="AB82" s="13">
        <v>399</v>
      </c>
      <c r="AC82" s="13">
        <v>399</v>
      </c>
      <c r="AD82" s="13">
        <v>399</v>
      </c>
      <c r="AE82" s="13">
        <v>399</v>
      </c>
      <c r="AF82" s="13"/>
      <c r="AG82" s="13"/>
      <c r="AH82" s="13"/>
    </row>
    <row r="83" spans="1:34">
      <c r="A83" s="13" t="s">
        <v>87</v>
      </c>
      <c r="B83" s="13">
        <v>220029640</v>
      </c>
      <c r="C83" s="13" t="s">
        <v>88</v>
      </c>
      <c r="D83" s="13" t="s">
        <v>89</v>
      </c>
      <c r="E83" s="13">
        <v>400454000062</v>
      </c>
      <c r="F83" s="13" t="s">
        <v>90</v>
      </c>
      <c r="G83" s="13" t="s">
        <v>90</v>
      </c>
      <c r="H83" s="13" t="s">
        <v>91</v>
      </c>
      <c r="I83" s="13" t="s">
        <v>92</v>
      </c>
      <c r="J83" s="14" t="s">
        <v>93</v>
      </c>
      <c r="K83" s="13"/>
      <c r="L83" s="13">
        <v>0</v>
      </c>
      <c r="M83" s="13" t="s">
        <v>98</v>
      </c>
      <c r="N83" s="13" t="s">
        <v>91</v>
      </c>
      <c r="O83" s="13">
        <v>0</v>
      </c>
      <c r="P83" s="13">
        <v>435</v>
      </c>
      <c r="Q83" s="13">
        <v>2.2999999999999998</v>
      </c>
      <c r="R83" s="13">
        <v>1268.902</v>
      </c>
      <c r="S83" s="13">
        <v>0.11</v>
      </c>
      <c r="T83" s="13">
        <v>9.1300000000000008</v>
      </c>
      <c r="U83" s="13">
        <v>0.11</v>
      </c>
      <c r="V83" s="13">
        <v>0.09</v>
      </c>
      <c r="W83" s="13">
        <v>7.0000000000000007E-2</v>
      </c>
      <c r="X83" s="13">
        <v>399</v>
      </c>
      <c r="Y83" s="13">
        <v>399</v>
      </c>
      <c r="Z83" s="13">
        <v>399</v>
      </c>
      <c r="AA83" s="13">
        <v>399</v>
      </c>
      <c r="AB83" s="13">
        <v>399</v>
      </c>
      <c r="AC83" s="13">
        <v>399</v>
      </c>
      <c r="AD83" s="13">
        <v>399</v>
      </c>
      <c r="AE83" s="13">
        <v>399</v>
      </c>
      <c r="AF83" s="13"/>
      <c r="AG83" s="13"/>
      <c r="AH83" s="13"/>
    </row>
    <row r="84" spans="1:34">
      <c r="A84" s="13" t="s">
        <v>87</v>
      </c>
      <c r="B84" s="13">
        <v>220029640</v>
      </c>
      <c r="C84" s="13" t="s">
        <v>88</v>
      </c>
      <c r="D84" s="13" t="s">
        <v>89</v>
      </c>
      <c r="E84" s="13">
        <v>400454000062</v>
      </c>
      <c r="F84" s="13" t="s">
        <v>90</v>
      </c>
      <c r="G84" s="13" t="s">
        <v>90</v>
      </c>
      <c r="H84" s="13" t="s">
        <v>91</v>
      </c>
      <c r="I84" s="13" t="s">
        <v>92</v>
      </c>
      <c r="J84" s="14" t="s">
        <v>93</v>
      </c>
      <c r="K84" s="13"/>
      <c r="L84" s="13">
        <v>0</v>
      </c>
      <c r="M84" s="13" t="s">
        <v>98</v>
      </c>
      <c r="N84" s="13" t="s">
        <v>91</v>
      </c>
      <c r="O84" s="13">
        <v>0</v>
      </c>
      <c r="P84" s="13">
        <v>440</v>
      </c>
      <c r="Q84" s="13">
        <v>1.45</v>
      </c>
      <c r="R84" s="13">
        <v>1268.829</v>
      </c>
      <c r="S84" s="13">
        <v>0.09</v>
      </c>
      <c r="T84" s="13">
        <v>9.1300000000000008</v>
      </c>
      <c r="U84" s="13">
        <v>0.11</v>
      </c>
      <c r="V84" s="13">
        <v>0.09</v>
      </c>
      <c r="W84" s="13">
        <v>7.0000000000000007E-2</v>
      </c>
      <c r="X84" s="13">
        <v>399</v>
      </c>
      <c r="Y84" s="13">
        <v>399</v>
      </c>
      <c r="Z84" s="13">
        <v>399</v>
      </c>
      <c r="AA84" s="13">
        <v>399</v>
      </c>
      <c r="AB84" s="13">
        <v>399</v>
      </c>
      <c r="AC84" s="13">
        <v>399</v>
      </c>
      <c r="AD84" s="13">
        <v>399</v>
      </c>
      <c r="AE84" s="13">
        <v>399</v>
      </c>
      <c r="AF84" s="13"/>
      <c r="AG84" s="13"/>
      <c r="AH84" s="13"/>
    </row>
    <row r="85" spans="1:34">
      <c r="A85" s="13" t="s">
        <v>87</v>
      </c>
      <c r="B85" s="13">
        <v>220029640</v>
      </c>
      <c r="C85" s="13" t="s">
        <v>88</v>
      </c>
      <c r="D85" s="13" t="s">
        <v>89</v>
      </c>
      <c r="E85" s="13">
        <v>400454000062</v>
      </c>
      <c r="F85" s="13" t="s">
        <v>90</v>
      </c>
      <c r="G85" s="13" t="s">
        <v>90</v>
      </c>
      <c r="H85" s="13" t="s">
        <v>91</v>
      </c>
      <c r="I85" s="13" t="s">
        <v>92</v>
      </c>
      <c r="J85" s="14" t="s">
        <v>93</v>
      </c>
      <c r="K85" s="13"/>
      <c r="L85" s="13">
        <v>0</v>
      </c>
      <c r="M85" s="13" t="s">
        <v>98</v>
      </c>
      <c r="N85" s="13" t="s">
        <v>91</v>
      </c>
      <c r="O85" s="13">
        <v>0</v>
      </c>
      <c r="P85" s="13">
        <v>445</v>
      </c>
      <c r="Q85" s="13">
        <v>0.65</v>
      </c>
      <c r="R85" s="13">
        <v>1268.7539999999999</v>
      </c>
      <c r="S85" s="13">
        <v>0.09</v>
      </c>
      <c r="T85" s="13">
        <v>9.17</v>
      </c>
      <c r="U85" s="13">
        <v>0.11</v>
      </c>
      <c r="V85" s="13">
        <v>0.09</v>
      </c>
      <c r="W85" s="13">
        <v>7.0000000000000007E-2</v>
      </c>
      <c r="X85" s="13">
        <v>399</v>
      </c>
      <c r="Y85" s="13">
        <v>399</v>
      </c>
      <c r="Z85" s="13">
        <v>399</v>
      </c>
      <c r="AA85" s="13">
        <v>399</v>
      </c>
      <c r="AB85" s="13">
        <v>399</v>
      </c>
      <c r="AC85" s="13">
        <v>399</v>
      </c>
      <c r="AD85" s="13">
        <v>399</v>
      </c>
      <c r="AE85" s="13">
        <v>399</v>
      </c>
      <c r="AF85" s="13"/>
      <c r="AG85" s="13"/>
      <c r="AH85" s="13"/>
    </row>
    <row r="86" spans="1:34">
      <c r="A86" s="13" t="s">
        <v>87</v>
      </c>
      <c r="B86" s="13">
        <v>220029640</v>
      </c>
      <c r="C86" s="13" t="s">
        <v>88</v>
      </c>
      <c r="D86" s="13" t="s">
        <v>89</v>
      </c>
      <c r="E86" s="13">
        <v>400454000062</v>
      </c>
      <c r="F86" s="13" t="s">
        <v>90</v>
      </c>
      <c r="G86" s="13" t="s">
        <v>90</v>
      </c>
      <c r="H86" s="13" t="s">
        <v>91</v>
      </c>
      <c r="I86" s="13" t="s">
        <v>92</v>
      </c>
      <c r="J86" s="14" t="s">
        <v>93</v>
      </c>
      <c r="K86" s="13"/>
      <c r="L86" s="13">
        <v>0</v>
      </c>
      <c r="M86" s="13" t="s">
        <v>98</v>
      </c>
      <c r="N86" s="13" t="s">
        <v>91</v>
      </c>
      <c r="O86" s="13">
        <v>0</v>
      </c>
      <c r="P86" s="13">
        <v>450</v>
      </c>
      <c r="Q86" s="13">
        <v>-0.16</v>
      </c>
      <c r="R86" s="13">
        <v>1268.6780000000001</v>
      </c>
      <c r="S86" s="13">
        <v>0.09</v>
      </c>
      <c r="T86" s="13">
        <v>9.1999999999999993</v>
      </c>
      <c r="U86" s="13">
        <v>0.11</v>
      </c>
      <c r="V86" s="13">
        <v>0.09</v>
      </c>
      <c r="W86" s="13">
        <v>7.0000000000000007E-2</v>
      </c>
      <c r="X86" s="13">
        <v>399</v>
      </c>
      <c r="Y86" s="13">
        <v>399</v>
      </c>
      <c r="Z86" s="13">
        <v>399</v>
      </c>
      <c r="AA86" s="13">
        <v>399</v>
      </c>
      <c r="AB86" s="13">
        <v>399</v>
      </c>
      <c r="AC86" s="13">
        <v>399</v>
      </c>
      <c r="AD86" s="13">
        <v>399</v>
      </c>
      <c r="AE86" s="13">
        <v>399</v>
      </c>
      <c r="AF86" s="13"/>
      <c r="AG86" s="13"/>
      <c r="AH86" s="13"/>
    </row>
    <row r="87" spans="1:34">
      <c r="A87" s="13"/>
      <c r="B87" s="13"/>
      <c r="C87" s="13"/>
      <c r="D87" s="13"/>
      <c r="E87" s="13"/>
      <c r="F87" s="13"/>
      <c r="G87" s="13"/>
      <c r="H87" s="13"/>
      <c r="I87" s="13"/>
      <c r="J87" s="14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>
      <c r="A88" s="13"/>
      <c r="B88" s="13"/>
      <c r="C88" s="13"/>
      <c r="D88" s="13"/>
      <c r="E88" s="13"/>
      <c r="F88" s="13"/>
      <c r="G88" s="13"/>
      <c r="H88" s="13"/>
      <c r="I88" s="13"/>
      <c r="J88" s="14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>
      <c r="A89" s="13"/>
      <c r="B89" s="13"/>
      <c r="C89" s="13"/>
      <c r="D89" s="13"/>
      <c r="E89" s="13"/>
      <c r="F89" s="13"/>
      <c r="G89" s="13"/>
      <c r="H89" s="13"/>
      <c r="I89" s="13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>
      <c r="A90" s="13"/>
      <c r="B90" s="13"/>
      <c r="C90" s="13"/>
      <c r="D90" s="13"/>
      <c r="E90" s="13"/>
      <c r="F90" s="13"/>
      <c r="G90" s="13"/>
      <c r="H90" s="13"/>
      <c r="I90" s="13"/>
      <c r="J90" s="14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M93" s="20"/>
      <c r="N93" s="20"/>
      <c r="O93" s="20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3:34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3:34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3:34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3:34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3:34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3:34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3:34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3:34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3:34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3:34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3:34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3:34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3:34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3:34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3:34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3:34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3:31"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spans="13:31"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spans="13:31"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spans="13:31"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spans="13:31"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pans="13:31"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13:31"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spans="13:31"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spans="13:31"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spans="13:31"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spans="13:31"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spans="13:31"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53"/>
  <sheetViews>
    <sheetView workbookViewId="0">
      <selection activeCell="A2" sqref="A2:XFD124"/>
    </sheetView>
  </sheetViews>
  <sheetFormatPr defaultRowHeight="15.6"/>
  <cols>
    <col min="1" max="34" width="12.09765625" style="1" customWidth="1"/>
  </cols>
  <sheetData>
    <row r="1" spans="1:34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</row>
    <row r="2" spans="1:34">
      <c r="A2" s="13" t="s">
        <v>87</v>
      </c>
      <c r="B2" s="13">
        <v>220029640</v>
      </c>
      <c r="C2" s="13" t="s">
        <v>88</v>
      </c>
      <c r="D2" s="13" t="s">
        <v>89</v>
      </c>
      <c r="E2" s="13">
        <v>400454000062</v>
      </c>
      <c r="F2" s="13" t="s">
        <v>90</v>
      </c>
      <c r="G2" s="13" t="s">
        <v>90</v>
      </c>
      <c r="H2" s="13" t="s">
        <v>91</v>
      </c>
      <c r="I2" s="13" t="s">
        <v>92</v>
      </c>
      <c r="J2" s="14" t="s">
        <v>93</v>
      </c>
      <c r="K2" s="13"/>
      <c r="L2" s="13">
        <v>0</v>
      </c>
      <c r="M2" s="13" t="s">
        <v>99</v>
      </c>
      <c r="N2" s="13" t="s">
        <v>91</v>
      </c>
      <c r="O2" s="13">
        <v>0</v>
      </c>
      <c r="P2" s="11">
        <v>30</v>
      </c>
      <c r="Q2" s="12">
        <v>70.77</v>
      </c>
      <c r="R2" s="12">
        <v>1295.377</v>
      </c>
      <c r="S2" s="12">
        <v>0.1</v>
      </c>
      <c r="T2" s="12">
        <v>2.57</v>
      </c>
      <c r="U2" s="12">
        <v>0.12</v>
      </c>
      <c r="V2" s="12">
        <v>0.1</v>
      </c>
      <c r="W2" s="12">
        <v>7.0000000000000007E-2</v>
      </c>
      <c r="X2" s="12">
        <v>399</v>
      </c>
      <c r="Y2" s="12">
        <v>399</v>
      </c>
      <c r="Z2" s="12">
        <v>399</v>
      </c>
      <c r="AA2" s="12">
        <v>399</v>
      </c>
      <c r="AB2" s="12">
        <v>399</v>
      </c>
      <c r="AC2" s="12">
        <v>399</v>
      </c>
      <c r="AD2" s="12">
        <v>399</v>
      </c>
      <c r="AE2" s="12">
        <v>399</v>
      </c>
      <c r="AF2" s="13"/>
      <c r="AG2" s="13"/>
      <c r="AH2" s="13"/>
    </row>
    <row r="3" spans="1:34">
      <c r="A3" s="13" t="s">
        <v>87</v>
      </c>
      <c r="B3" s="13">
        <v>220029640</v>
      </c>
      <c r="C3" s="13" t="s">
        <v>88</v>
      </c>
      <c r="D3" s="13" t="s">
        <v>89</v>
      </c>
      <c r="E3" s="13">
        <v>400454000062</v>
      </c>
      <c r="F3" s="13" t="s">
        <v>90</v>
      </c>
      <c r="G3" s="13" t="s">
        <v>90</v>
      </c>
      <c r="H3" s="13" t="s">
        <v>91</v>
      </c>
      <c r="I3" s="13" t="s">
        <v>92</v>
      </c>
      <c r="J3" s="14" t="s">
        <v>93</v>
      </c>
      <c r="K3" s="13"/>
      <c r="L3" s="13">
        <v>0</v>
      </c>
      <c r="M3" s="13" t="s">
        <v>99</v>
      </c>
      <c r="N3" s="13" t="s">
        <v>91</v>
      </c>
      <c r="O3" s="13">
        <v>0</v>
      </c>
      <c r="P3" s="11">
        <v>35</v>
      </c>
      <c r="Q3" s="12">
        <v>69.81</v>
      </c>
      <c r="R3" s="12">
        <v>1295.29</v>
      </c>
      <c r="S3" s="12">
        <v>0.09</v>
      </c>
      <c r="T3" s="12">
        <v>2.74</v>
      </c>
      <c r="U3" s="12">
        <v>0.12</v>
      </c>
      <c r="V3" s="12">
        <v>0.1</v>
      </c>
      <c r="W3" s="12">
        <v>7.0000000000000007E-2</v>
      </c>
      <c r="X3" s="12">
        <v>399</v>
      </c>
      <c r="Y3" s="12">
        <v>399</v>
      </c>
      <c r="Z3" s="12">
        <v>399</v>
      </c>
      <c r="AA3" s="12">
        <v>399</v>
      </c>
      <c r="AB3" s="12">
        <v>399</v>
      </c>
      <c r="AC3" s="12">
        <v>399</v>
      </c>
      <c r="AD3" s="12">
        <v>399</v>
      </c>
      <c r="AE3" s="12">
        <v>399</v>
      </c>
      <c r="AF3" s="13"/>
      <c r="AG3" s="13"/>
      <c r="AH3" s="13"/>
    </row>
    <row r="4" spans="1:34">
      <c r="A4" s="13" t="s">
        <v>87</v>
      </c>
      <c r="B4" s="13">
        <v>220029640</v>
      </c>
      <c r="C4" s="13" t="s">
        <v>88</v>
      </c>
      <c r="D4" s="13" t="s">
        <v>89</v>
      </c>
      <c r="E4" s="13">
        <v>400454000062</v>
      </c>
      <c r="F4" s="13" t="s">
        <v>90</v>
      </c>
      <c r="G4" s="13" t="s">
        <v>90</v>
      </c>
      <c r="H4" s="13" t="s">
        <v>91</v>
      </c>
      <c r="I4" s="13" t="s">
        <v>92</v>
      </c>
      <c r="J4" s="14" t="s">
        <v>93</v>
      </c>
      <c r="K4" s="13"/>
      <c r="L4" s="13">
        <v>0</v>
      </c>
      <c r="M4" s="13" t="s">
        <v>99</v>
      </c>
      <c r="N4" s="13" t="s">
        <v>91</v>
      </c>
      <c r="O4" s="13">
        <v>0</v>
      </c>
      <c r="P4" s="11">
        <v>40</v>
      </c>
      <c r="Q4" s="12">
        <v>69</v>
      </c>
      <c r="R4" s="12">
        <v>1295.202</v>
      </c>
      <c r="S4" s="12">
        <v>0.11</v>
      </c>
      <c r="T4" s="12">
        <v>2.86</v>
      </c>
      <c r="U4" s="12">
        <v>0.12</v>
      </c>
      <c r="V4" s="12">
        <v>0.1</v>
      </c>
      <c r="W4" s="12">
        <v>7.0000000000000007E-2</v>
      </c>
      <c r="X4" s="12">
        <v>399</v>
      </c>
      <c r="Y4" s="12">
        <v>399</v>
      </c>
      <c r="Z4" s="12">
        <v>399</v>
      </c>
      <c r="AA4" s="12">
        <v>399</v>
      </c>
      <c r="AB4" s="12">
        <v>399</v>
      </c>
      <c r="AC4" s="12">
        <v>399</v>
      </c>
      <c r="AD4" s="12">
        <v>399</v>
      </c>
      <c r="AE4" s="12">
        <v>399</v>
      </c>
      <c r="AF4" s="13"/>
      <c r="AG4" s="13"/>
      <c r="AH4" s="13"/>
    </row>
    <row r="5" spans="1:34">
      <c r="A5" s="13" t="s">
        <v>87</v>
      </c>
      <c r="B5" s="13">
        <v>220029640</v>
      </c>
      <c r="C5" s="13" t="s">
        <v>88</v>
      </c>
      <c r="D5" s="13" t="s">
        <v>89</v>
      </c>
      <c r="E5" s="13">
        <v>400454000062</v>
      </c>
      <c r="F5" s="13" t="s">
        <v>90</v>
      </c>
      <c r="G5" s="13" t="s">
        <v>90</v>
      </c>
      <c r="H5" s="13" t="s">
        <v>91</v>
      </c>
      <c r="I5" s="13" t="s">
        <v>92</v>
      </c>
      <c r="J5" s="14" t="s">
        <v>93</v>
      </c>
      <c r="K5" s="13"/>
      <c r="L5" s="13">
        <v>0</v>
      </c>
      <c r="M5" s="13" t="s">
        <v>99</v>
      </c>
      <c r="N5" s="13" t="s">
        <v>91</v>
      </c>
      <c r="O5" s="13">
        <v>0</v>
      </c>
      <c r="P5" s="11">
        <v>45</v>
      </c>
      <c r="Q5" s="12">
        <v>68.02</v>
      </c>
      <c r="R5" s="12">
        <v>1295.1120000000001</v>
      </c>
      <c r="S5" s="12">
        <v>0.09</v>
      </c>
      <c r="T5" s="12">
        <v>3.06</v>
      </c>
      <c r="U5" s="12">
        <v>0.12</v>
      </c>
      <c r="V5" s="12">
        <v>0.1</v>
      </c>
      <c r="W5" s="12">
        <v>7.0000000000000007E-2</v>
      </c>
      <c r="X5" s="12">
        <v>399</v>
      </c>
      <c r="Y5" s="12">
        <v>399</v>
      </c>
      <c r="Z5" s="12">
        <v>399</v>
      </c>
      <c r="AA5" s="12">
        <v>399</v>
      </c>
      <c r="AB5" s="12">
        <v>399</v>
      </c>
      <c r="AC5" s="12">
        <v>399</v>
      </c>
      <c r="AD5" s="12">
        <v>399</v>
      </c>
      <c r="AE5" s="12">
        <v>399</v>
      </c>
      <c r="AF5" s="13"/>
      <c r="AG5" s="13"/>
      <c r="AH5" s="13"/>
    </row>
    <row r="6" spans="1:34">
      <c r="A6" s="13" t="s">
        <v>87</v>
      </c>
      <c r="B6" s="13">
        <v>220029640</v>
      </c>
      <c r="C6" s="13" t="s">
        <v>88</v>
      </c>
      <c r="D6" s="13" t="s">
        <v>89</v>
      </c>
      <c r="E6" s="13">
        <v>400454000062</v>
      </c>
      <c r="F6" s="13" t="s">
        <v>90</v>
      </c>
      <c r="G6" s="13" t="s">
        <v>90</v>
      </c>
      <c r="H6" s="13" t="s">
        <v>91</v>
      </c>
      <c r="I6" s="13" t="s">
        <v>92</v>
      </c>
      <c r="J6" s="14" t="s">
        <v>93</v>
      </c>
      <c r="K6" s="13"/>
      <c r="L6" s="13">
        <v>0</v>
      </c>
      <c r="M6" s="13" t="s">
        <v>99</v>
      </c>
      <c r="N6" s="13" t="s">
        <v>91</v>
      </c>
      <c r="O6" s="13">
        <v>0</v>
      </c>
      <c r="P6" s="11">
        <v>50</v>
      </c>
      <c r="Q6" s="12">
        <v>67.13</v>
      </c>
      <c r="R6" s="12">
        <v>1295.0219999999999</v>
      </c>
      <c r="S6" s="12">
        <v>0.1</v>
      </c>
      <c r="T6" s="12">
        <v>3.26</v>
      </c>
      <c r="U6" s="12">
        <v>0.12</v>
      </c>
      <c r="V6" s="12">
        <v>0.1</v>
      </c>
      <c r="W6" s="12">
        <v>7.0000000000000007E-2</v>
      </c>
      <c r="X6" s="12">
        <v>399</v>
      </c>
      <c r="Y6" s="12">
        <v>399</v>
      </c>
      <c r="Z6" s="12">
        <v>399</v>
      </c>
      <c r="AA6" s="12">
        <v>399</v>
      </c>
      <c r="AB6" s="12">
        <v>399</v>
      </c>
      <c r="AC6" s="12">
        <v>399</v>
      </c>
      <c r="AD6" s="12">
        <v>399</v>
      </c>
      <c r="AE6" s="12">
        <v>399</v>
      </c>
      <c r="AF6" s="13"/>
      <c r="AG6" s="13"/>
      <c r="AH6" s="13"/>
    </row>
    <row r="7" spans="1:34">
      <c r="A7" s="13" t="s">
        <v>87</v>
      </c>
      <c r="B7" s="13">
        <v>220029640</v>
      </c>
      <c r="C7" s="13" t="s">
        <v>88</v>
      </c>
      <c r="D7" s="13" t="s">
        <v>89</v>
      </c>
      <c r="E7" s="13">
        <v>400454000062</v>
      </c>
      <c r="F7" s="13" t="s">
        <v>90</v>
      </c>
      <c r="G7" s="13" t="s">
        <v>90</v>
      </c>
      <c r="H7" s="13" t="s">
        <v>91</v>
      </c>
      <c r="I7" s="13" t="s">
        <v>92</v>
      </c>
      <c r="J7" s="14" t="s">
        <v>93</v>
      </c>
      <c r="K7" s="13"/>
      <c r="L7" s="13">
        <v>0</v>
      </c>
      <c r="M7" s="13" t="s">
        <v>99</v>
      </c>
      <c r="N7" s="13" t="s">
        <v>91</v>
      </c>
      <c r="O7" s="13">
        <v>0</v>
      </c>
      <c r="P7" s="11">
        <v>55</v>
      </c>
      <c r="Q7" s="12">
        <v>66.209999999999994</v>
      </c>
      <c r="R7" s="12">
        <v>1294.931</v>
      </c>
      <c r="S7" s="12">
        <v>0.1</v>
      </c>
      <c r="T7" s="12">
        <v>3.46</v>
      </c>
      <c r="U7" s="12">
        <v>0.12</v>
      </c>
      <c r="V7" s="12">
        <v>0.1</v>
      </c>
      <c r="W7" s="12">
        <v>7.0000000000000007E-2</v>
      </c>
      <c r="X7" s="12">
        <v>399</v>
      </c>
      <c r="Y7" s="12">
        <v>399</v>
      </c>
      <c r="Z7" s="12">
        <v>399</v>
      </c>
      <c r="AA7" s="12">
        <v>399</v>
      </c>
      <c r="AB7" s="12">
        <v>399</v>
      </c>
      <c r="AC7" s="12">
        <v>399</v>
      </c>
      <c r="AD7" s="12">
        <v>399</v>
      </c>
      <c r="AE7" s="12">
        <v>399</v>
      </c>
      <c r="AF7" s="13"/>
      <c r="AG7" s="13"/>
      <c r="AH7" s="13"/>
    </row>
    <row r="8" spans="1:34">
      <c r="A8" s="13" t="s">
        <v>87</v>
      </c>
      <c r="B8" s="13">
        <v>220029640</v>
      </c>
      <c r="C8" s="13" t="s">
        <v>88</v>
      </c>
      <c r="D8" s="13" t="s">
        <v>89</v>
      </c>
      <c r="E8" s="13">
        <v>400454000062</v>
      </c>
      <c r="F8" s="13" t="s">
        <v>90</v>
      </c>
      <c r="G8" s="13" t="s">
        <v>90</v>
      </c>
      <c r="H8" s="13" t="s">
        <v>91</v>
      </c>
      <c r="I8" s="13" t="s">
        <v>92</v>
      </c>
      <c r="J8" s="14" t="s">
        <v>93</v>
      </c>
      <c r="K8" s="13"/>
      <c r="L8" s="13">
        <v>0</v>
      </c>
      <c r="M8" s="13" t="s">
        <v>99</v>
      </c>
      <c r="N8" s="13" t="s">
        <v>91</v>
      </c>
      <c r="O8" s="13">
        <v>0</v>
      </c>
      <c r="P8" s="11">
        <v>60</v>
      </c>
      <c r="Q8" s="12">
        <v>65.36</v>
      </c>
      <c r="R8" s="12">
        <v>1294.8399999999999</v>
      </c>
      <c r="S8" s="12">
        <v>0.11</v>
      </c>
      <c r="T8" s="12">
        <v>3.6</v>
      </c>
      <c r="U8" s="12">
        <v>0.12</v>
      </c>
      <c r="V8" s="12">
        <v>0.1</v>
      </c>
      <c r="W8" s="12">
        <v>7.0000000000000007E-2</v>
      </c>
      <c r="X8" s="12">
        <v>399</v>
      </c>
      <c r="Y8" s="12">
        <v>399</v>
      </c>
      <c r="Z8" s="12">
        <v>399</v>
      </c>
      <c r="AA8" s="12">
        <v>399</v>
      </c>
      <c r="AB8" s="12">
        <v>399</v>
      </c>
      <c r="AC8" s="12">
        <v>399</v>
      </c>
      <c r="AD8" s="12">
        <v>399</v>
      </c>
      <c r="AE8" s="12">
        <v>399</v>
      </c>
      <c r="AF8" s="13"/>
      <c r="AG8" s="13"/>
      <c r="AH8" s="13"/>
    </row>
    <row r="9" spans="1:34">
      <c r="A9" s="13" t="s">
        <v>87</v>
      </c>
      <c r="B9" s="13">
        <v>220029640</v>
      </c>
      <c r="C9" s="13" t="s">
        <v>88</v>
      </c>
      <c r="D9" s="13" t="s">
        <v>89</v>
      </c>
      <c r="E9" s="13">
        <v>400454000062</v>
      </c>
      <c r="F9" s="13" t="s">
        <v>90</v>
      </c>
      <c r="G9" s="13" t="s">
        <v>90</v>
      </c>
      <c r="H9" s="13" t="s">
        <v>91</v>
      </c>
      <c r="I9" s="13" t="s">
        <v>92</v>
      </c>
      <c r="J9" s="14" t="s">
        <v>93</v>
      </c>
      <c r="K9" s="13"/>
      <c r="L9" s="13">
        <v>0</v>
      </c>
      <c r="M9" s="13" t="s">
        <v>99</v>
      </c>
      <c r="N9" s="13" t="s">
        <v>91</v>
      </c>
      <c r="O9" s="13">
        <v>0</v>
      </c>
      <c r="P9" s="11">
        <v>65</v>
      </c>
      <c r="Q9" s="12">
        <v>64.48</v>
      </c>
      <c r="R9" s="12">
        <v>1294.752</v>
      </c>
      <c r="S9" s="12">
        <v>0.1</v>
      </c>
      <c r="T9" s="12">
        <v>3.76</v>
      </c>
      <c r="U9" s="12">
        <v>0.12</v>
      </c>
      <c r="V9" s="12">
        <v>0.1</v>
      </c>
      <c r="W9" s="12">
        <v>7.0000000000000007E-2</v>
      </c>
      <c r="X9" s="12">
        <v>399</v>
      </c>
      <c r="Y9" s="12">
        <v>399</v>
      </c>
      <c r="Z9" s="12">
        <v>399</v>
      </c>
      <c r="AA9" s="12">
        <v>399</v>
      </c>
      <c r="AB9" s="12">
        <v>399</v>
      </c>
      <c r="AC9" s="12">
        <v>399</v>
      </c>
      <c r="AD9" s="12">
        <v>399</v>
      </c>
      <c r="AE9" s="12">
        <v>399</v>
      </c>
      <c r="AF9" s="13"/>
      <c r="AG9" s="13"/>
      <c r="AH9" s="13"/>
    </row>
    <row r="10" spans="1:34">
      <c r="A10" s="13" t="s">
        <v>87</v>
      </c>
      <c r="B10" s="13">
        <v>220029640</v>
      </c>
      <c r="C10" s="13" t="s">
        <v>88</v>
      </c>
      <c r="D10" s="13" t="s">
        <v>89</v>
      </c>
      <c r="E10" s="13">
        <v>400454000062</v>
      </c>
      <c r="F10" s="13" t="s">
        <v>90</v>
      </c>
      <c r="G10" s="13" t="s">
        <v>90</v>
      </c>
      <c r="H10" s="13" t="s">
        <v>91</v>
      </c>
      <c r="I10" s="13" t="s">
        <v>92</v>
      </c>
      <c r="J10" s="14" t="s">
        <v>93</v>
      </c>
      <c r="K10" s="13"/>
      <c r="L10" s="13">
        <v>0</v>
      </c>
      <c r="M10" s="13" t="s">
        <v>99</v>
      </c>
      <c r="N10" s="13" t="s">
        <v>91</v>
      </c>
      <c r="O10" s="13">
        <v>0</v>
      </c>
      <c r="P10" s="11">
        <v>70</v>
      </c>
      <c r="Q10" s="12">
        <v>63.61</v>
      </c>
      <c r="R10" s="12">
        <v>1294.664</v>
      </c>
      <c r="S10" s="12">
        <v>0.1</v>
      </c>
      <c r="T10" s="12">
        <v>3.9</v>
      </c>
      <c r="U10" s="12">
        <v>0.12</v>
      </c>
      <c r="V10" s="12">
        <v>0.1</v>
      </c>
      <c r="W10" s="12">
        <v>7.0000000000000007E-2</v>
      </c>
      <c r="X10" s="12">
        <v>399</v>
      </c>
      <c r="Y10" s="12">
        <v>399</v>
      </c>
      <c r="Z10" s="12">
        <v>399</v>
      </c>
      <c r="AA10" s="12">
        <v>399</v>
      </c>
      <c r="AB10" s="12">
        <v>399</v>
      </c>
      <c r="AC10" s="12">
        <v>399</v>
      </c>
      <c r="AD10" s="12">
        <v>399</v>
      </c>
      <c r="AE10" s="12">
        <v>399</v>
      </c>
      <c r="AF10" s="13"/>
      <c r="AG10" s="13"/>
      <c r="AH10" s="13"/>
    </row>
    <row r="11" spans="1:34">
      <c r="A11" s="13" t="s">
        <v>87</v>
      </c>
      <c r="B11" s="13">
        <v>220029640</v>
      </c>
      <c r="C11" s="13" t="s">
        <v>88</v>
      </c>
      <c r="D11" s="13" t="s">
        <v>89</v>
      </c>
      <c r="E11" s="13">
        <v>400454000062</v>
      </c>
      <c r="F11" s="13" t="s">
        <v>90</v>
      </c>
      <c r="G11" s="13" t="s">
        <v>90</v>
      </c>
      <c r="H11" s="13" t="s">
        <v>91</v>
      </c>
      <c r="I11" s="13" t="s">
        <v>92</v>
      </c>
      <c r="J11" s="14" t="s">
        <v>93</v>
      </c>
      <c r="K11" s="13"/>
      <c r="L11" s="13">
        <v>0</v>
      </c>
      <c r="M11" s="13" t="s">
        <v>99</v>
      </c>
      <c r="N11" s="13" t="s">
        <v>91</v>
      </c>
      <c r="O11" s="13">
        <v>0</v>
      </c>
      <c r="P11" s="11">
        <v>75</v>
      </c>
      <c r="Q11" s="12">
        <v>62.67</v>
      </c>
      <c r="R11" s="12">
        <v>1294.576</v>
      </c>
      <c r="S11" s="12">
        <v>0.09</v>
      </c>
      <c r="T11" s="12">
        <v>4.0599999999999996</v>
      </c>
      <c r="U11" s="12">
        <v>0.12</v>
      </c>
      <c r="V11" s="12">
        <v>0.1</v>
      </c>
      <c r="W11" s="12">
        <v>7.0000000000000007E-2</v>
      </c>
      <c r="X11" s="12">
        <v>399</v>
      </c>
      <c r="Y11" s="12">
        <v>399</v>
      </c>
      <c r="Z11" s="12">
        <v>399</v>
      </c>
      <c r="AA11" s="12">
        <v>399</v>
      </c>
      <c r="AB11" s="12">
        <v>399</v>
      </c>
      <c r="AC11" s="12">
        <v>399</v>
      </c>
      <c r="AD11" s="12">
        <v>399</v>
      </c>
      <c r="AE11" s="12">
        <v>399</v>
      </c>
      <c r="AF11" s="13"/>
      <c r="AG11" s="13"/>
      <c r="AH11" s="13"/>
    </row>
    <row r="12" spans="1:34">
      <c r="A12" s="13" t="s">
        <v>87</v>
      </c>
      <c r="B12" s="13">
        <v>220029640</v>
      </c>
      <c r="C12" s="13" t="s">
        <v>88</v>
      </c>
      <c r="D12" s="13" t="s">
        <v>89</v>
      </c>
      <c r="E12" s="13">
        <v>400454000062</v>
      </c>
      <c r="F12" s="13" t="s">
        <v>90</v>
      </c>
      <c r="G12" s="13" t="s">
        <v>90</v>
      </c>
      <c r="H12" s="13" t="s">
        <v>91</v>
      </c>
      <c r="I12" s="13" t="s">
        <v>92</v>
      </c>
      <c r="J12" s="14" t="s">
        <v>93</v>
      </c>
      <c r="K12" s="13"/>
      <c r="L12" s="13">
        <v>0</v>
      </c>
      <c r="M12" s="13" t="s">
        <v>99</v>
      </c>
      <c r="N12" s="13" t="s">
        <v>91</v>
      </c>
      <c r="O12" s="13">
        <v>0</v>
      </c>
      <c r="P12" s="11">
        <v>80</v>
      </c>
      <c r="Q12" s="12">
        <v>61.85</v>
      </c>
      <c r="R12" s="12">
        <v>1294.4880000000001</v>
      </c>
      <c r="S12" s="12">
        <v>0.11</v>
      </c>
      <c r="T12" s="12">
        <v>4.25</v>
      </c>
      <c r="U12" s="12">
        <v>0.12</v>
      </c>
      <c r="V12" s="12">
        <v>0.1</v>
      </c>
      <c r="W12" s="12">
        <v>7.0000000000000007E-2</v>
      </c>
      <c r="X12" s="12">
        <v>399</v>
      </c>
      <c r="Y12" s="12">
        <v>399</v>
      </c>
      <c r="Z12" s="12">
        <v>399</v>
      </c>
      <c r="AA12" s="12">
        <v>399</v>
      </c>
      <c r="AB12" s="12">
        <v>399</v>
      </c>
      <c r="AC12" s="12">
        <v>399</v>
      </c>
      <c r="AD12" s="12">
        <v>399</v>
      </c>
      <c r="AE12" s="12">
        <v>399</v>
      </c>
      <c r="AF12" s="13"/>
      <c r="AG12" s="13"/>
      <c r="AH12" s="13"/>
    </row>
    <row r="13" spans="1:34">
      <c r="A13" s="13" t="s">
        <v>87</v>
      </c>
      <c r="B13" s="13">
        <v>220029640</v>
      </c>
      <c r="C13" s="13" t="s">
        <v>88</v>
      </c>
      <c r="D13" s="13" t="s">
        <v>89</v>
      </c>
      <c r="E13" s="13">
        <v>400454000062</v>
      </c>
      <c r="F13" s="13" t="s">
        <v>90</v>
      </c>
      <c r="G13" s="13" t="s">
        <v>90</v>
      </c>
      <c r="H13" s="13" t="s">
        <v>91</v>
      </c>
      <c r="I13" s="13" t="s">
        <v>92</v>
      </c>
      <c r="J13" s="14" t="s">
        <v>93</v>
      </c>
      <c r="K13" s="13"/>
      <c r="L13" s="13">
        <v>0</v>
      </c>
      <c r="M13" s="13" t="s">
        <v>99</v>
      </c>
      <c r="N13" s="13" t="s">
        <v>91</v>
      </c>
      <c r="O13" s="13">
        <v>0</v>
      </c>
      <c r="P13" s="11">
        <v>85</v>
      </c>
      <c r="Q13" s="12">
        <v>60.99</v>
      </c>
      <c r="R13" s="12">
        <v>1294.3969999999999</v>
      </c>
      <c r="S13" s="12">
        <v>0.11</v>
      </c>
      <c r="T13" s="12">
        <v>4.3899999999999997</v>
      </c>
      <c r="U13" s="12">
        <v>0.12</v>
      </c>
      <c r="V13" s="12">
        <v>0.1</v>
      </c>
      <c r="W13" s="12">
        <v>7.0000000000000007E-2</v>
      </c>
      <c r="X13" s="12">
        <v>399</v>
      </c>
      <c r="Y13" s="12">
        <v>399</v>
      </c>
      <c r="Z13" s="12">
        <v>399</v>
      </c>
      <c r="AA13" s="12">
        <v>399</v>
      </c>
      <c r="AB13" s="12">
        <v>399</v>
      </c>
      <c r="AC13" s="12">
        <v>399</v>
      </c>
      <c r="AD13" s="12">
        <v>399</v>
      </c>
      <c r="AE13" s="12">
        <v>399</v>
      </c>
      <c r="AF13" s="13"/>
      <c r="AG13" s="13"/>
      <c r="AH13" s="13"/>
    </row>
    <row r="14" spans="1:34">
      <c r="A14" s="13" t="s">
        <v>87</v>
      </c>
      <c r="B14" s="13">
        <v>220029640</v>
      </c>
      <c r="C14" s="13" t="s">
        <v>88</v>
      </c>
      <c r="D14" s="13" t="s">
        <v>89</v>
      </c>
      <c r="E14" s="13">
        <v>400454000062</v>
      </c>
      <c r="F14" s="13" t="s">
        <v>90</v>
      </c>
      <c r="G14" s="13" t="s">
        <v>90</v>
      </c>
      <c r="H14" s="13" t="s">
        <v>91</v>
      </c>
      <c r="I14" s="13" t="s">
        <v>92</v>
      </c>
      <c r="J14" s="14" t="s">
        <v>93</v>
      </c>
      <c r="K14" s="13"/>
      <c r="L14" s="13">
        <v>0</v>
      </c>
      <c r="M14" s="13" t="s">
        <v>99</v>
      </c>
      <c r="N14" s="13" t="s">
        <v>91</v>
      </c>
      <c r="O14" s="13">
        <v>0</v>
      </c>
      <c r="P14" s="11">
        <v>90</v>
      </c>
      <c r="Q14" s="12">
        <v>60.11</v>
      </c>
      <c r="R14" s="12">
        <v>1294.31</v>
      </c>
      <c r="S14" s="12">
        <v>0.1</v>
      </c>
      <c r="T14" s="12">
        <v>4.5199999999999996</v>
      </c>
      <c r="U14" s="12">
        <v>0.12</v>
      </c>
      <c r="V14" s="12">
        <v>0.1</v>
      </c>
      <c r="W14" s="12">
        <v>7.0000000000000007E-2</v>
      </c>
      <c r="X14" s="12">
        <v>399</v>
      </c>
      <c r="Y14" s="12">
        <v>399</v>
      </c>
      <c r="Z14" s="12">
        <v>399</v>
      </c>
      <c r="AA14" s="12">
        <v>399</v>
      </c>
      <c r="AB14" s="12">
        <v>399</v>
      </c>
      <c r="AC14" s="12">
        <v>399</v>
      </c>
      <c r="AD14" s="12">
        <v>399</v>
      </c>
      <c r="AE14" s="12">
        <v>399</v>
      </c>
      <c r="AF14" s="13"/>
      <c r="AG14" s="13"/>
      <c r="AH14" s="13"/>
    </row>
    <row r="15" spans="1:34">
      <c r="A15" s="13" t="s">
        <v>87</v>
      </c>
      <c r="B15" s="13">
        <v>220029640</v>
      </c>
      <c r="C15" s="13" t="s">
        <v>88</v>
      </c>
      <c r="D15" s="13" t="s">
        <v>89</v>
      </c>
      <c r="E15" s="13">
        <v>400454000062</v>
      </c>
      <c r="F15" s="13" t="s">
        <v>90</v>
      </c>
      <c r="G15" s="13" t="s">
        <v>90</v>
      </c>
      <c r="H15" s="13" t="s">
        <v>91</v>
      </c>
      <c r="I15" s="13" t="s">
        <v>92</v>
      </c>
      <c r="J15" s="14" t="s">
        <v>93</v>
      </c>
      <c r="K15" s="13"/>
      <c r="L15" s="13">
        <v>0</v>
      </c>
      <c r="M15" s="13" t="s">
        <v>99</v>
      </c>
      <c r="N15" s="13" t="s">
        <v>91</v>
      </c>
      <c r="O15" s="13">
        <v>0</v>
      </c>
      <c r="P15" s="11">
        <v>95</v>
      </c>
      <c r="Q15" s="12">
        <v>59.21</v>
      </c>
      <c r="R15" s="12">
        <v>1294.223</v>
      </c>
      <c r="S15" s="12">
        <v>0.1</v>
      </c>
      <c r="T15" s="12">
        <v>4.6399999999999997</v>
      </c>
      <c r="U15" s="12">
        <v>0.12</v>
      </c>
      <c r="V15" s="12">
        <v>0.1</v>
      </c>
      <c r="W15" s="12">
        <v>7.0000000000000007E-2</v>
      </c>
      <c r="X15" s="12">
        <v>399</v>
      </c>
      <c r="Y15" s="12">
        <v>399</v>
      </c>
      <c r="Z15" s="12">
        <v>399</v>
      </c>
      <c r="AA15" s="12">
        <v>399</v>
      </c>
      <c r="AB15" s="12">
        <v>399</v>
      </c>
      <c r="AC15" s="12">
        <v>399</v>
      </c>
      <c r="AD15" s="12">
        <v>399</v>
      </c>
      <c r="AE15" s="12">
        <v>399</v>
      </c>
      <c r="AF15" s="13"/>
      <c r="AG15" s="13"/>
      <c r="AH15" s="13"/>
    </row>
    <row r="16" spans="1:34">
      <c r="A16" s="13" t="s">
        <v>87</v>
      </c>
      <c r="B16" s="13">
        <v>220029640</v>
      </c>
      <c r="C16" s="13" t="s">
        <v>88</v>
      </c>
      <c r="D16" s="13" t="s">
        <v>89</v>
      </c>
      <c r="E16" s="13">
        <v>400454000062</v>
      </c>
      <c r="F16" s="13" t="s">
        <v>90</v>
      </c>
      <c r="G16" s="13" t="s">
        <v>90</v>
      </c>
      <c r="H16" s="13" t="s">
        <v>91</v>
      </c>
      <c r="I16" s="13" t="s">
        <v>92</v>
      </c>
      <c r="J16" s="14" t="s">
        <v>93</v>
      </c>
      <c r="K16" s="13"/>
      <c r="L16" s="13">
        <v>0</v>
      </c>
      <c r="M16" s="13" t="s">
        <v>99</v>
      </c>
      <c r="N16" s="13" t="s">
        <v>91</v>
      </c>
      <c r="O16" s="13">
        <v>0</v>
      </c>
      <c r="P16" s="11">
        <v>100</v>
      </c>
      <c r="Q16" s="12">
        <v>58.36</v>
      </c>
      <c r="R16" s="12">
        <v>1294.1369999999999</v>
      </c>
      <c r="S16" s="12">
        <v>0.1</v>
      </c>
      <c r="T16" s="12">
        <v>4.7699999999999996</v>
      </c>
      <c r="U16" s="12">
        <v>0.12</v>
      </c>
      <c r="V16" s="12">
        <v>0.1</v>
      </c>
      <c r="W16" s="12">
        <v>7.0000000000000007E-2</v>
      </c>
      <c r="X16" s="12">
        <v>399</v>
      </c>
      <c r="Y16" s="12">
        <v>399</v>
      </c>
      <c r="Z16" s="12">
        <v>399</v>
      </c>
      <c r="AA16" s="12">
        <v>399</v>
      </c>
      <c r="AB16" s="12">
        <v>399</v>
      </c>
      <c r="AC16" s="12">
        <v>399</v>
      </c>
      <c r="AD16" s="12">
        <v>399</v>
      </c>
      <c r="AE16" s="12">
        <v>399</v>
      </c>
      <c r="AF16" s="13"/>
      <c r="AG16" s="13"/>
      <c r="AH16" s="13"/>
    </row>
    <row r="17" spans="1:34">
      <c r="A17" s="13" t="s">
        <v>87</v>
      </c>
      <c r="B17" s="13">
        <v>220029640</v>
      </c>
      <c r="C17" s="13" t="s">
        <v>88</v>
      </c>
      <c r="D17" s="13" t="s">
        <v>89</v>
      </c>
      <c r="E17" s="13">
        <v>400454000062</v>
      </c>
      <c r="F17" s="13" t="s">
        <v>90</v>
      </c>
      <c r="G17" s="13" t="s">
        <v>90</v>
      </c>
      <c r="H17" s="13" t="s">
        <v>91</v>
      </c>
      <c r="I17" s="13" t="s">
        <v>92</v>
      </c>
      <c r="J17" s="14" t="s">
        <v>93</v>
      </c>
      <c r="K17" s="13"/>
      <c r="L17" s="13">
        <v>0</v>
      </c>
      <c r="M17" s="13" t="s">
        <v>99</v>
      </c>
      <c r="N17" s="13" t="s">
        <v>91</v>
      </c>
      <c r="O17" s="13">
        <v>0</v>
      </c>
      <c r="P17" s="11">
        <v>105</v>
      </c>
      <c r="Q17" s="12">
        <v>57.54</v>
      </c>
      <c r="R17" s="12">
        <v>1294.05</v>
      </c>
      <c r="S17" s="12">
        <v>0.11</v>
      </c>
      <c r="T17" s="12">
        <v>4.88</v>
      </c>
      <c r="U17" s="12">
        <v>0.12</v>
      </c>
      <c r="V17" s="12">
        <v>0.1</v>
      </c>
      <c r="W17" s="12">
        <v>7.0000000000000007E-2</v>
      </c>
      <c r="X17" s="12">
        <v>399</v>
      </c>
      <c r="Y17" s="12">
        <v>399</v>
      </c>
      <c r="Z17" s="12">
        <v>399</v>
      </c>
      <c r="AA17" s="12">
        <v>399</v>
      </c>
      <c r="AB17" s="12">
        <v>399</v>
      </c>
      <c r="AC17" s="12">
        <v>399</v>
      </c>
      <c r="AD17" s="12">
        <v>399</v>
      </c>
      <c r="AE17" s="12">
        <v>399</v>
      </c>
      <c r="AF17" s="13"/>
      <c r="AG17" s="13"/>
      <c r="AH17" s="13"/>
    </row>
    <row r="18" spans="1:34">
      <c r="A18" s="13" t="s">
        <v>87</v>
      </c>
      <c r="B18" s="13">
        <v>220029640</v>
      </c>
      <c r="C18" s="13" t="s">
        <v>88</v>
      </c>
      <c r="D18" s="13" t="s">
        <v>89</v>
      </c>
      <c r="E18" s="13">
        <v>400454000062</v>
      </c>
      <c r="F18" s="13" t="s">
        <v>90</v>
      </c>
      <c r="G18" s="13" t="s">
        <v>90</v>
      </c>
      <c r="H18" s="13" t="s">
        <v>91</v>
      </c>
      <c r="I18" s="13" t="s">
        <v>92</v>
      </c>
      <c r="J18" s="14" t="s">
        <v>93</v>
      </c>
      <c r="K18" s="13"/>
      <c r="L18" s="13">
        <v>0</v>
      </c>
      <c r="M18" s="13" t="s">
        <v>99</v>
      </c>
      <c r="N18" s="13" t="s">
        <v>91</v>
      </c>
      <c r="O18" s="13">
        <v>0</v>
      </c>
      <c r="P18" s="11">
        <v>110</v>
      </c>
      <c r="Q18" s="12">
        <v>56.68</v>
      </c>
      <c r="R18" s="12">
        <v>1293.9659999999999</v>
      </c>
      <c r="S18" s="12">
        <v>0.1</v>
      </c>
      <c r="T18" s="12">
        <v>5.0199999999999996</v>
      </c>
      <c r="U18" s="12">
        <v>0.12</v>
      </c>
      <c r="V18" s="12">
        <v>0.1</v>
      </c>
      <c r="W18" s="12">
        <v>7.0000000000000007E-2</v>
      </c>
      <c r="X18" s="12">
        <v>399</v>
      </c>
      <c r="Y18" s="12">
        <v>399</v>
      </c>
      <c r="Z18" s="12">
        <v>399</v>
      </c>
      <c r="AA18" s="12">
        <v>399</v>
      </c>
      <c r="AB18" s="12">
        <v>399</v>
      </c>
      <c r="AC18" s="12">
        <v>399</v>
      </c>
      <c r="AD18" s="12">
        <v>399</v>
      </c>
      <c r="AE18" s="12">
        <v>399</v>
      </c>
      <c r="AF18" s="13"/>
      <c r="AG18" s="13"/>
      <c r="AH18" s="13"/>
    </row>
    <row r="19" spans="1:34">
      <c r="A19" s="13" t="s">
        <v>87</v>
      </c>
      <c r="B19" s="13">
        <v>220029640</v>
      </c>
      <c r="C19" s="13" t="s">
        <v>88</v>
      </c>
      <c r="D19" s="13" t="s">
        <v>89</v>
      </c>
      <c r="E19" s="13">
        <v>400454000062</v>
      </c>
      <c r="F19" s="13" t="s">
        <v>90</v>
      </c>
      <c r="G19" s="13" t="s">
        <v>90</v>
      </c>
      <c r="H19" s="13" t="s">
        <v>91</v>
      </c>
      <c r="I19" s="13" t="s">
        <v>92</v>
      </c>
      <c r="J19" s="14" t="s">
        <v>93</v>
      </c>
      <c r="K19" s="13"/>
      <c r="L19" s="13">
        <v>0</v>
      </c>
      <c r="M19" s="13" t="s">
        <v>99</v>
      </c>
      <c r="N19" s="13" t="s">
        <v>91</v>
      </c>
      <c r="O19" s="13">
        <v>0</v>
      </c>
      <c r="P19" s="11">
        <v>115</v>
      </c>
      <c r="Q19" s="12">
        <v>55.84</v>
      </c>
      <c r="R19" s="12">
        <v>1293.8869999999999</v>
      </c>
      <c r="S19" s="12">
        <v>0.09</v>
      </c>
      <c r="T19" s="12">
        <v>5.15</v>
      </c>
      <c r="U19" s="12">
        <v>0.12</v>
      </c>
      <c r="V19" s="12">
        <v>0.1</v>
      </c>
      <c r="W19" s="12">
        <v>7.0000000000000007E-2</v>
      </c>
      <c r="X19" s="12">
        <v>399</v>
      </c>
      <c r="Y19" s="12">
        <v>399</v>
      </c>
      <c r="Z19" s="12">
        <v>399</v>
      </c>
      <c r="AA19" s="12">
        <v>399</v>
      </c>
      <c r="AB19" s="12">
        <v>399</v>
      </c>
      <c r="AC19" s="12">
        <v>399</v>
      </c>
      <c r="AD19" s="12">
        <v>399</v>
      </c>
      <c r="AE19" s="12">
        <v>399</v>
      </c>
      <c r="AF19" s="13"/>
      <c r="AG19" s="13"/>
      <c r="AH19" s="13"/>
    </row>
    <row r="20" spans="1:34">
      <c r="A20" s="13" t="s">
        <v>87</v>
      </c>
      <c r="B20" s="13">
        <v>220029640</v>
      </c>
      <c r="C20" s="13" t="s">
        <v>88</v>
      </c>
      <c r="D20" s="13" t="s">
        <v>89</v>
      </c>
      <c r="E20" s="13">
        <v>400454000062</v>
      </c>
      <c r="F20" s="13" t="s">
        <v>90</v>
      </c>
      <c r="G20" s="13" t="s">
        <v>90</v>
      </c>
      <c r="H20" s="13" t="s">
        <v>91</v>
      </c>
      <c r="I20" s="13" t="s">
        <v>92</v>
      </c>
      <c r="J20" s="14" t="s">
        <v>93</v>
      </c>
      <c r="K20" s="13"/>
      <c r="L20" s="13">
        <v>0</v>
      </c>
      <c r="M20" s="13" t="s">
        <v>99</v>
      </c>
      <c r="N20" s="13" t="s">
        <v>91</v>
      </c>
      <c r="O20" s="13">
        <v>0</v>
      </c>
      <c r="P20" s="11">
        <v>120</v>
      </c>
      <c r="Q20" s="12">
        <v>55.01</v>
      </c>
      <c r="R20" s="12">
        <v>1293.808</v>
      </c>
      <c r="S20" s="12">
        <v>0.1</v>
      </c>
      <c r="T20" s="12">
        <v>5.28</v>
      </c>
      <c r="U20" s="12">
        <v>0.12</v>
      </c>
      <c r="V20" s="12">
        <v>0.1</v>
      </c>
      <c r="W20" s="12">
        <v>7.0000000000000007E-2</v>
      </c>
      <c r="X20" s="12">
        <v>399</v>
      </c>
      <c r="Y20" s="12">
        <v>399</v>
      </c>
      <c r="Z20" s="12">
        <v>399</v>
      </c>
      <c r="AA20" s="12">
        <v>399</v>
      </c>
      <c r="AB20" s="12">
        <v>399</v>
      </c>
      <c r="AC20" s="12">
        <v>399</v>
      </c>
      <c r="AD20" s="12">
        <v>399</v>
      </c>
      <c r="AE20" s="12">
        <v>399</v>
      </c>
      <c r="AF20" s="13"/>
      <c r="AG20" s="13"/>
      <c r="AH20" s="13"/>
    </row>
    <row r="21" spans="1:34">
      <c r="A21" s="13" t="s">
        <v>87</v>
      </c>
      <c r="B21" s="13">
        <v>220029640</v>
      </c>
      <c r="C21" s="13" t="s">
        <v>88</v>
      </c>
      <c r="D21" s="13" t="s">
        <v>89</v>
      </c>
      <c r="E21" s="13">
        <v>400454000062</v>
      </c>
      <c r="F21" s="13" t="s">
        <v>90</v>
      </c>
      <c r="G21" s="13" t="s">
        <v>90</v>
      </c>
      <c r="H21" s="13" t="s">
        <v>91</v>
      </c>
      <c r="I21" s="13" t="s">
        <v>92</v>
      </c>
      <c r="J21" s="14" t="s">
        <v>93</v>
      </c>
      <c r="K21" s="13"/>
      <c r="L21" s="13">
        <v>0</v>
      </c>
      <c r="M21" s="13" t="s">
        <v>99</v>
      </c>
      <c r="N21" s="13" t="s">
        <v>91</v>
      </c>
      <c r="O21" s="13">
        <v>0</v>
      </c>
      <c r="P21" s="11">
        <v>125</v>
      </c>
      <c r="Q21" s="12">
        <v>54.16</v>
      </c>
      <c r="R21" s="12">
        <v>1293.7260000000001</v>
      </c>
      <c r="S21" s="12">
        <v>0.1</v>
      </c>
      <c r="T21" s="12">
        <v>5.38</v>
      </c>
      <c r="U21" s="12">
        <v>0.12</v>
      </c>
      <c r="V21" s="12">
        <v>0.1</v>
      </c>
      <c r="W21" s="12">
        <v>7.0000000000000007E-2</v>
      </c>
      <c r="X21" s="12">
        <v>399</v>
      </c>
      <c r="Y21" s="12">
        <v>399</v>
      </c>
      <c r="Z21" s="12">
        <v>399</v>
      </c>
      <c r="AA21" s="12">
        <v>399</v>
      </c>
      <c r="AB21" s="12">
        <v>399</v>
      </c>
      <c r="AC21" s="12">
        <v>399</v>
      </c>
      <c r="AD21" s="12">
        <v>399</v>
      </c>
      <c r="AE21" s="12">
        <v>399</v>
      </c>
      <c r="AF21" s="13"/>
      <c r="AG21" s="13"/>
      <c r="AH21" s="13"/>
    </row>
    <row r="22" spans="1:34">
      <c r="A22" s="13" t="s">
        <v>87</v>
      </c>
      <c r="B22" s="13">
        <v>220029640</v>
      </c>
      <c r="C22" s="13" t="s">
        <v>88</v>
      </c>
      <c r="D22" s="13" t="s">
        <v>89</v>
      </c>
      <c r="E22" s="13">
        <v>400454000062</v>
      </c>
      <c r="F22" s="13" t="s">
        <v>90</v>
      </c>
      <c r="G22" s="13" t="s">
        <v>90</v>
      </c>
      <c r="H22" s="13" t="s">
        <v>91</v>
      </c>
      <c r="I22" s="13" t="s">
        <v>92</v>
      </c>
      <c r="J22" s="14" t="s">
        <v>93</v>
      </c>
      <c r="K22" s="13"/>
      <c r="L22" s="13">
        <v>0</v>
      </c>
      <c r="M22" s="13" t="s">
        <v>99</v>
      </c>
      <c r="N22" s="13" t="s">
        <v>91</v>
      </c>
      <c r="O22" s="13">
        <v>0</v>
      </c>
      <c r="P22" s="11">
        <v>130</v>
      </c>
      <c r="Q22" s="12">
        <v>53.32</v>
      </c>
      <c r="R22" s="12">
        <v>1293.644</v>
      </c>
      <c r="S22" s="12">
        <v>0.1</v>
      </c>
      <c r="T22" s="12">
        <v>5.48</v>
      </c>
      <c r="U22" s="12">
        <v>0.12</v>
      </c>
      <c r="V22" s="12">
        <v>0.1</v>
      </c>
      <c r="W22" s="12">
        <v>7.0000000000000007E-2</v>
      </c>
      <c r="X22" s="12">
        <v>399</v>
      </c>
      <c r="Y22" s="12">
        <v>399</v>
      </c>
      <c r="Z22" s="12">
        <v>399</v>
      </c>
      <c r="AA22" s="12">
        <v>399</v>
      </c>
      <c r="AB22" s="12">
        <v>399</v>
      </c>
      <c r="AC22" s="12">
        <v>399</v>
      </c>
      <c r="AD22" s="12">
        <v>399</v>
      </c>
      <c r="AE22" s="12">
        <v>399</v>
      </c>
      <c r="AF22" s="13"/>
      <c r="AG22" s="13"/>
      <c r="AH22" s="13"/>
    </row>
    <row r="23" spans="1:34">
      <c r="A23" s="13" t="s">
        <v>87</v>
      </c>
      <c r="B23" s="13">
        <v>220029640</v>
      </c>
      <c r="C23" s="13" t="s">
        <v>88</v>
      </c>
      <c r="D23" s="13" t="s">
        <v>89</v>
      </c>
      <c r="E23" s="13">
        <v>400454000062</v>
      </c>
      <c r="F23" s="13" t="s">
        <v>90</v>
      </c>
      <c r="G23" s="13" t="s">
        <v>90</v>
      </c>
      <c r="H23" s="13" t="s">
        <v>91</v>
      </c>
      <c r="I23" s="13" t="s">
        <v>92</v>
      </c>
      <c r="J23" s="14" t="s">
        <v>93</v>
      </c>
      <c r="K23" s="13"/>
      <c r="L23" s="13">
        <v>0</v>
      </c>
      <c r="M23" s="13" t="s">
        <v>99</v>
      </c>
      <c r="N23" s="13" t="s">
        <v>91</v>
      </c>
      <c r="O23" s="13">
        <v>0</v>
      </c>
      <c r="P23" s="11">
        <v>135</v>
      </c>
      <c r="Q23" s="12">
        <v>52.46</v>
      </c>
      <c r="R23" s="12">
        <v>1293.5640000000001</v>
      </c>
      <c r="S23" s="12">
        <v>0.09</v>
      </c>
      <c r="T23" s="12">
        <v>5.59</v>
      </c>
      <c r="U23" s="12">
        <v>0.12</v>
      </c>
      <c r="V23" s="12">
        <v>0.1</v>
      </c>
      <c r="W23" s="12">
        <v>7.0000000000000007E-2</v>
      </c>
      <c r="X23" s="12">
        <v>399</v>
      </c>
      <c r="Y23" s="12">
        <v>399</v>
      </c>
      <c r="Z23" s="12">
        <v>399</v>
      </c>
      <c r="AA23" s="12">
        <v>399</v>
      </c>
      <c r="AB23" s="12">
        <v>399</v>
      </c>
      <c r="AC23" s="12">
        <v>399</v>
      </c>
      <c r="AD23" s="12">
        <v>399</v>
      </c>
      <c r="AE23" s="12">
        <v>399</v>
      </c>
      <c r="AF23" s="13"/>
      <c r="AG23" s="13"/>
      <c r="AH23" s="13"/>
    </row>
    <row r="24" spans="1:34">
      <c r="A24" s="13" t="s">
        <v>87</v>
      </c>
      <c r="B24" s="13">
        <v>220029640</v>
      </c>
      <c r="C24" s="13" t="s">
        <v>88</v>
      </c>
      <c r="D24" s="13" t="s">
        <v>89</v>
      </c>
      <c r="E24" s="13">
        <v>400454000062</v>
      </c>
      <c r="F24" s="13" t="s">
        <v>90</v>
      </c>
      <c r="G24" s="13" t="s">
        <v>90</v>
      </c>
      <c r="H24" s="13" t="s">
        <v>91</v>
      </c>
      <c r="I24" s="13" t="s">
        <v>92</v>
      </c>
      <c r="J24" s="14" t="s">
        <v>93</v>
      </c>
      <c r="K24" s="13"/>
      <c r="L24" s="13">
        <v>0</v>
      </c>
      <c r="M24" s="13" t="s">
        <v>99</v>
      </c>
      <c r="N24" s="13" t="s">
        <v>91</v>
      </c>
      <c r="O24" s="13">
        <v>0</v>
      </c>
      <c r="P24" s="11">
        <v>140</v>
      </c>
      <c r="Q24" s="12">
        <v>51.61</v>
      </c>
      <c r="R24" s="12">
        <v>1293.4849999999999</v>
      </c>
      <c r="S24" s="12">
        <v>0.09</v>
      </c>
      <c r="T24" s="12">
        <v>5.68</v>
      </c>
      <c r="U24" s="12">
        <v>0.12</v>
      </c>
      <c r="V24" s="12">
        <v>0.1</v>
      </c>
      <c r="W24" s="12">
        <v>7.0000000000000007E-2</v>
      </c>
      <c r="X24" s="12">
        <v>399</v>
      </c>
      <c r="Y24" s="12">
        <v>399</v>
      </c>
      <c r="Z24" s="12">
        <v>399</v>
      </c>
      <c r="AA24" s="12">
        <v>399</v>
      </c>
      <c r="AB24" s="12">
        <v>399</v>
      </c>
      <c r="AC24" s="12">
        <v>399</v>
      </c>
      <c r="AD24" s="12">
        <v>399</v>
      </c>
      <c r="AE24" s="12">
        <v>399</v>
      </c>
      <c r="AF24" s="13"/>
      <c r="AG24" s="13"/>
      <c r="AH24" s="13"/>
    </row>
    <row r="25" spans="1:34">
      <c r="A25" s="13" t="s">
        <v>87</v>
      </c>
      <c r="B25" s="13">
        <v>220029640</v>
      </c>
      <c r="C25" s="13" t="s">
        <v>88</v>
      </c>
      <c r="D25" s="13" t="s">
        <v>89</v>
      </c>
      <c r="E25" s="13">
        <v>400454000062</v>
      </c>
      <c r="F25" s="13" t="s">
        <v>90</v>
      </c>
      <c r="G25" s="13" t="s">
        <v>90</v>
      </c>
      <c r="H25" s="13" t="s">
        <v>91</v>
      </c>
      <c r="I25" s="13" t="s">
        <v>92</v>
      </c>
      <c r="J25" s="14" t="s">
        <v>93</v>
      </c>
      <c r="K25" s="13"/>
      <c r="L25" s="13">
        <v>0</v>
      </c>
      <c r="M25" s="13" t="s">
        <v>99</v>
      </c>
      <c r="N25" s="13" t="s">
        <v>91</v>
      </c>
      <c r="O25" s="13">
        <v>0</v>
      </c>
      <c r="P25" s="11">
        <v>145</v>
      </c>
      <c r="Q25" s="12">
        <v>50.75</v>
      </c>
      <c r="R25" s="12">
        <v>1293.404</v>
      </c>
      <c r="S25" s="12">
        <v>0.09</v>
      </c>
      <c r="T25" s="12">
        <v>5.79</v>
      </c>
      <c r="U25" s="12">
        <v>0.12</v>
      </c>
      <c r="V25" s="12">
        <v>0.1</v>
      </c>
      <c r="W25" s="12">
        <v>7.0000000000000007E-2</v>
      </c>
      <c r="X25" s="12">
        <v>399</v>
      </c>
      <c r="Y25" s="12">
        <v>399</v>
      </c>
      <c r="Z25" s="12">
        <v>399</v>
      </c>
      <c r="AA25" s="12">
        <v>399</v>
      </c>
      <c r="AB25" s="12">
        <v>399</v>
      </c>
      <c r="AC25" s="12">
        <v>399</v>
      </c>
      <c r="AD25" s="12">
        <v>399</v>
      </c>
      <c r="AE25" s="12">
        <v>399</v>
      </c>
      <c r="AF25" s="13"/>
      <c r="AG25" s="13"/>
      <c r="AH25" s="13"/>
    </row>
    <row r="26" spans="1:34">
      <c r="A26" s="13" t="s">
        <v>87</v>
      </c>
      <c r="B26" s="13">
        <v>220029640</v>
      </c>
      <c r="C26" s="13" t="s">
        <v>88</v>
      </c>
      <c r="D26" s="13" t="s">
        <v>89</v>
      </c>
      <c r="E26" s="13">
        <v>400454000062</v>
      </c>
      <c r="F26" s="13" t="s">
        <v>90</v>
      </c>
      <c r="G26" s="13" t="s">
        <v>90</v>
      </c>
      <c r="H26" s="13" t="s">
        <v>91</v>
      </c>
      <c r="I26" s="13" t="s">
        <v>92</v>
      </c>
      <c r="J26" s="14" t="s">
        <v>93</v>
      </c>
      <c r="K26" s="13"/>
      <c r="L26" s="13">
        <v>0</v>
      </c>
      <c r="M26" s="13" t="s">
        <v>99</v>
      </c>
      <c r="N26" s="13" t="s">
        <v>91</v>
      </c>
      <c r="O26" s="13">
        <v>0</v>
      </c>
      <c r="P26" s="11">
        <v>150</v>
      </c>
      <c r="Q26" s="12">
        <v>49.93</v>
      </c>
      <c r="R26" s="12">
        <v>1293.3209999999999</v>
      </c>
      <c r="S26" s="12">
        <v>0.1</v>
      </c>
      <c r="T26" s="12">
        <v>5.84</v>
      </c>
      <c r="U26" s="12">
        <v>0.12</v>
      </c>
      <c r="V26" s="12">
        <v>0.1</v>
      </c>
      <c r="W26" s="12">
        <v>7.0000000000000007E-2</v>
      </c>
      <c r="X26" s="12">
        <v>399</v>
      </c>
      <c r="Y26" s="12">
        <v>399</v>
      </c>
      <c r="Z26" s="12">
        <v>399</v>
      </c>
      <c r="AA26" s="12">
        <v>399</v>
      </c>
      <c r="AB26" s="12">
        <v>399</v>
      </c>
      <c r="AC26" s="12">
        <v>399</v>
      </c>
      <c r="AD26" s="12">
        <v>399</v>
      </c>
      <c r="AE26" s="12">
        <v>399</v>
      </c>
      <c r="AF26" s="13"/>
      <c r="AG26" s="13"/>
      <c r="AH26" s="13"/>
    </row>
    <row r="27" spans="1:34">
      <c r="A27" s="13" t="s">
        <v>87</v>
      </c>
      <c r="B27" s="13">
        <v>220029640</v>
      </c>
      <c r="C27" s="13" t="s">
        <v>88</v>
      </c>
      <c r="D27" s="13" t="s">
        <v>89</v>
      </c>
      <c r="E27" s="13">
        <v>400454000062</v>
      </c>
      <c r="F27" s="13" t="s">
        <v>90</v>
      </c>
      <c r="G27" s="13" t="s">
        <v>90</v>
      </c>
      <c r="H27" s="13" t="s">
        <v>91</v>
      </c>
      <c r="I27" s="13" t="s">
        <v>92</v>
      </c>
      <c r="J27" s="14" t="s">
        <v>93</v>
      </c>
      <c r="K27" s="13"/>
      <c r="L27" s="13">
        <v>0</v>
      </c>
      <c r="M27" s="13" t="s">
        <v>99</v>
      </c>
      <c r="N27" s="13" t="s">
        <v>91</v>
      </c>
      <c r="O27" s="13">
        <v>0</v>
      </c>
      <c r="P27" s="11">
        <v>155</v>
      </c>
      <c r="Q27" s="12">
        <v>49.2</v>
      </c>
      <c r="R27" s="12">
        <v>1293.2370000000001</v>
      </c>
      <c r="S27" s="12">
        <v>0.12</v>
      </c>
      <c r="T27" s="12">
        <v>5.97</v>
      </c>
      <c r="U27" s="12">
        <v>0.12</v>
      </c>
      <c r="V27" s="12">
        <v>0.1</v>
      </c>
      <c r="W27" s="12">
        <v>7.0000000000000007E-2</v>
      </c>
      <c r="X27" s="12">
        <v>399</v>
      </c>
      <c r="Y27" s="12">
        <v>399</v>
      </c>
      <c r="Z27" s="12">
        <v>399</v>
      </c>
      <c r="AA27" s="12">
        <v>399</v>
      </c>
      <c r="AB27" s="12">
        <v>399</v>
      </c>
      <c r="AC27" s="12">
        <v>399</v>
      </c>
      <c r="AD27" s="12">
        <v>399</v>
      </c>
      <c r="AE27" s="12">
        <v>399</v>
      </c>
      <c r="AF27" s="13"/>
      <c r="AG27" s="13"/>
      <c r="AH27" s="13"/>
    </row>
    <row r="28" spans="1:34">
      <c r="A28" s="13" t="s">
        <v>87</v>
      </c>
      <c r="B28" s="13">
        <v>220029640</v>
      </c>
      <c r="C28" s="13" t="s">
        <v>88</v>
      </c>
      <c r="D28" s="13" t="s">
        <v>89</v>
      </c>
      <c r="E28" s="13">
        <v>400454000062</v>
      </c>
      <c r="F28" s="13" t="s">
        <v>90</v>
      </c>
      <c r="G28" s="13" t="s">
        <v>90</v>
      </c>
      <c r="H28" s="13" t="s">
        <v>91</v>
      </c>
      <c r="I28" s="13" t="s">
        <v>92</v>
      </c>
      <c r="J28" s="14" t="s">
        <v>93</v>
      </c>
      <c r="K28" s="13"/>
      <c r="L28" s="13">
        <v>0</v>
      </c>
      <c r="M28" s="13" t="s">
        <v>99</v>
      </c>
      <c r="N28" s="13" t="s">
        <v>91</v>
      </c>
      <c r="O28" s="13">
        <v>0</v>
      </c>
      <c r="P28" s="11">
        <v>160</v>
      </c>
      <c r="Q28" s="12">
        <v>48.12</v>
      </c>
      <c r="R28" s="12">
        <v>1293.1569999999999</v>
      </c>
      <c r="S28" s="12">
        <v>7.0000000000000007E-2</v>
      </c>
      <c r="T28" s="12">
        <v>5.98</v>
      </c>
      <c r="U28" s="12">
        <v>0.12</v>
      </c>
      <c r="V28" s="12">
        <v>0.1</v>
      </c>
      <c r="W28" s="12">
        <v>7.0000000000000007E-2</v>
      </c>
      <c r="X28" s="12">
        <v>399</v>
      </c>
      <c r="Y28" s="12">
        <v>399</v>
      </c>
      <c r="Z28" s="12">
        <v>399</v>
      </c>
      <c r="AA28" s="12">
        <v>399</v>
      </c>
      <c r="AB28" s="12">
        <v>399</v>
      </c>
      <c r="AC28" s="12">
        <v>399</v>
      </c>
      <c r="AD28" s="12">
        <v>399</v>
      </c>
      <c r="AE28" s="12">
        <v>399</v>
      </c>
      <c r="AF28" s="13"/>
      <c r="AG28" s="13"/>
      <c r="AH28" s="13"/>
    </row>
    <row r="29" spans="1:34">
      <c r="A29" s="13" t="s">
        <v>87</v>
      </c>
      <c r="B29" s="13">
        <v>220029640</v>
      </c>
      <c r="C29" s="13" t="s">
        <v>88</v>
      </c>
      <c r="D29" s="13" t="s">
        <v>89</v>
      </c>
      <c r="E29" s="13">
        <v>400454000062</v>
      </c>
      <c r="F29" s="13" t="s">
        <v>90</v>
      </c>
      <c r="G29" s="13" t="s">
        <v>90</v>
      </c>
      <c r="H29" s="13" t="s">
        <v>91</v>
      </c>
      <c r="I29" s="13" t="s">
        <v>92</v>
      </c>
      <c r="J29" s="14" t="s">
        <v>93</v>
      </c>
      <c r="K29" s="13"/>
      <c r="L29" s="13">
        <v>0</v>
      </c>
      <c r="M29" s="13" t="s">
        <v>99</v>
      </c>
      <c r="N29" s="13" t="s">
        <v>91</v>
      </c>
      <c r="O29" s="13">
        <v>0</v>
      </c>
      <c r="P29" s="11">
        <v>165</v>
      </c>
      <c r="Q29" s="12">
        <v>47.27</v>
      </c>
      <c r="R29" s="12">
        <v>1293.068</v>
      </c>
      <c r="S29" s="12">
        <v>0.1</v>
      </c>
      <c r="T29" s="12">
        <v>6.08</v>
      </c>
      <c r="U29" s="12">
        <v>0.12</v>
      </c>
      <c r="V29" s="12">
        <v>0.1</v>
      </c>
      <c r="W29" s="12">
        <v>7.0000000000000007E-2</v>
      </c>
      <c r="X29" s="12">
        <v>399</v>
      </c>
      <c r="Y29" s="12">
        <v>399</v>
      </c>
      <c r="Z29" s="12">
        <v>399</v>
      </c>
      <c r="AA29" s="12">
        <v>399</v>
      </c>
      <c r="AB29" s="12">
        <v>399</v>
      </c>
      <c r="AC29" s="12">
        <v>399</v>
      </c>
      <c r="AD29" s="12">
        <v>399</v>
      </c>
      <c r="AE29" s="12">
        <v>399</v>
      </c>
      <c r="AF29" s="13"/>
      <c r="AG29" s="13"/>
      <c r="AH29" s="13"/>
    </row>
    <row r="30" spans="1:34">
      <c r="A30" s="13" t="s">
        <v>87</v>
      </c>
      <c r="B30" s="13">
        <v>220029640</v>
      </c>
      <c r="C30" s="13" t="s">
        <v>88</v>
      </c>
      <c r="D30" s="13" t="s">
        <v>89</v>
      </c>
      <c r="E30" s="13">
        <v>400454000062</v>
      </c>
      <c r="F30" s="13" t="s">
        <v>90</v>
      </c>
      <c r="G30" s="13" t="s">
        <v>90</v>
      </c>
      <c r="H30" s="13" t="s">
        <v>91</v>
      </c>
      <c r="I30" s="13" t="s">
        <v>92</v>
      </c>
      <c r="J30" s="14" t="s">
        <v>93</v>
      </c>
      <c r="K30" s="13"/>
      <c r="L30" s="13">
        <v>0</v>
      </c>
      <c r="M30" s="13" t="s">
        <v>99</v>
      </c>
      <c r="N30" s="13" t="s">
        <v>91</v>
      </c>
      <c r="O30" s="13">
        <v>0</v>
      </c>
      <c r="P30" s="11">
        <v>170</v>
      </c>
      <c r="Q30" s="12">
        <v>46.4</v>
      </c>
      <c r="R30" s="12">
        <v>1292.9860000000001</v>
      </c>
      <c r="S30" s="12">
        <v>0.09</v>
      </c>
      <c r="T30" s="12">
        <v>6.14</v>
      </c>
      <c r="U30" s="12">
        <v>0.12</v>
      </c>
      <c r="V30" s="12">
        <v>0.1</v>
      </c>
      <c r="W30" s="12">
        <v>7.0000000000000007E-2</v>
      </c>
      <c r="X30" s="12">
        <v>399</v>
      </c>
      <c r="Y30" s="12">
        <v>399</v>
      </c>
      <c r="Z30" s="12">
        <v>399</v>
      </c>
      <c r="AA30" s="12">
        <v>399</v>
      </c>
      <c r="AB30" s="12">
        <v>399</v>
      </c>
      <c r="AC30" s="12">
        <v>399</v>
      </c>
      <c r="AD30" s="12">
        <v>399</v>
      </c>
      <c r="AE30" s="12">
        <v>399</v>
      </c>
      <c r="AF30" s="13"/>
      <c r="AG30" s="13"/>
      <c r="AH30" s="13"/>
    </row>
    <row r="31" spans="1:34">
      <c r="A31" s="13" t="s">
        <v>87</v>
      </c>
      <c r="B31" s="13">
        <v>220029640</v>
      </c>
      <c r="C31" s="13" t="s">
        <v>88</v>
      </c>
      <c r="D31" s="13" t="s">
        <v>89</v>
      </c>
      <c r="E31" s="13">
        <v>400454000062</v>
      </c>
      <c r="F31" s="13" t="s">
        <v>90</v>
      </c>
      <c r="G31" s="13" t="s">
        <v>90</v>
      </c>
      <c r="H31" s="13" t="s">
        <v>91</v>
      </c>
      <c r="I31" s="13" t="s">
        <v>92</v>
      </c>
      <c r="J31" s="14" t="s">
        <v>93</v>
      </c>
      <c r="K31" s="13"/>
      <c r="L31" s="13">
        <v>0</v>
      </c>
      <c r="M31" s="13" t="s">
        <v>99</v>
      </c>
      <c r="N31" s="13" t="s">
        <v>91</v>
      </c>
      <c r="O31" s="13">
        <v>0</v>
      </c>
      <c r="P31" s="11">
        <v>175</v>
      </c>
      <c r="Q31" s="12">
        <v>45.59</v>
      </c>
      <c r="R31" s="12">
        <v>1292.9059999999999</v>
      </c>
      <c r="S31" s="12">
        <v>0.1</v>
      </c>
      <c r="T31" s="12">
        <v>6.2</v>
      </c>
      <c r="U31" s="12">
        <v>0.12</v>
      </c>
      <c r="V31" s="12">
        <v>0.1</v>
      </c>
      <c r="W31" s="12">
        <v>7.0000000000000007E-2</v>
      </c>
      <c r="X31" s="12">
        <v>399</v>
      </c>
      <c r="Y31" s="12">
        <v>399</v>
      </c>
      <c r="Z31" s="12">
        <v>399</v>
      </c>
      <c r="AA31" s="12">
        <v>399</v>
      </c>
      <c r="AB31" s="12">
        <v>399</v>
      </c>
      <c r="AC31" s="12">
        <v>399</v>
      </c>
      <c r="AD31" s="12">
        <v>399</v>
      </c>
      <c r="AE31" s="12">
        <v>399</v>
      </c>
      <c r="AF31" s="13"/>
      <c r="AG31" s="13"/>
      <c r="AH31" s="13"/>
    </row>
    <row r="32" spans="1:34">
      <c r="A32" s="13" t="s">
        <v>87</v>
      </c>
      <c r="B32" s="13">
        <v>220029640</v>
      </c>
      <c r="C32" s="13" t="s">
        <v>88</v>
      </c>
      <c r="D32" s="13" t="s">
        <v>89</v>
      </c>
      <c r="E32" s="13">
        <v>400454000062</v>
      </c>
      <c r="F32" s="13" t="s">
        <v>90</v>
      </c>
      <c r="G32" s="13" t="s">
        <v>90</v>
      </c>
      <c r="H32" s="13" t="s">
        <v>91</v>
      </c>
      <c r="I32" s="13" t="s">
        <v>92</v>
      </c>
      <c r="J32" s="14" t="s">
        <v>93</v>
      </c>
      <c r="K32" s="13"/>
      <c r="L32" s="13">
        <v>0</v>
      </c>
      <c r="M32" s="13" t="s">
        <v>99</v>
      </c>
      <c r="N32" s="13" t="s">
        <v>91</v>
      </c>
      <c r="O32" s="13">
        <v>0</v>
      </c>
      <c r="P32" s="11">
        <v>180</v>
      </c>
      <c r="Q32" s="12">
        <v>44.75</v>
      </c>
      <c r="R32" s="12">
        <v>1292.826</v>
      </c>
      <c r="S32" s="12">
        <v>0.1</v>
      </c>
      <c r="T32" s="12">
        <v>6.26</v>
      </c>
      <c r="U32" s="12">
        <v>0.12</v>
      </c>
      <c r="V32" s="12">
        <v>0.1</v>
      </c>
      <c r="W32" s="12">
        <v>7.0000000000000007E-2</v>
      </c>
      <c r="X32" s="12">
        <v>399</v>
      </c>
      <c r="Y32" s="12">
        <v>399</v>
      </c>
      <c r="Z32" s="12">
        <v>399</v>
      </c>
      <c r="AA32" s="12">
        <v>399</v>
      </c>
      <c r="AB32" s="12">
        <v>399</v>
      </c>
      <c r="AC32" s="12">
        <v>399</v>
      </c>
      <c r="AD32" s="12">
        <v>399</v>
      </c>
      <c r="AE32" s="12">
        <v>399</v>
      </c>
      <c r="AF32" s="13"/>
      <c r="AG32" s="13"/>
      <c r="AH32" s="13"/>
    </row>
    <row r="33" spans="1:34">
      <c r="A33" s="13" t="s">
        <v>87</v>
      </c>
      <c r="B33" s="13">
        <v>220029640</v>
      </c>
      <c r="C33" s="13" t="s">
        <v>88</v>
      </c>
      <c r="D33" s="13" t="s">
        <v>89</v>
      </c>
      <c r="E33" s="13">
        <v>400454000062</v>
      </c>
      <c r="F33" s="13" t="s">
        <v>90</v>
      </c>
      <c r="G33" s="13" t="s">
        <v>90</v>
      </c>
      <c r="H33" s="13" t="s">
        <v>91</v>
      </c>
      <c r="I33" s="13" t="s">
        <v>92</v>
      </c>
      <c r="J33" s="14" t="s">
        <v>93</v>
      </c>
      <c r="K33" s="13"/>
      <c r="L33" s="13">
        <v>0</v>
      </c>
      <c r="M33" s="13" t="s">
        <v>99</v>
      </c>
      <c r="N33" s="13" t="s">
        <v>91</v>
      </c>
      <c r="O33" s="13">
        <v>0</v>
      </c>
      <c r="P33" s="11">
        <v>185</v>
      </c>
      <c r="Q33" s="12">
        <v>43.89</v>
      </c>
      <c r="R33" s="12">
        <v>1292.7460000000001</v>
      </c>
      <c r="S33" s="12">
        <v>0.09</v>
      </c>
      <c r="T33" s="12">
        <v>6.34</v>
      </c>
      <c r="U33" s="12">
        <v>0.12</v>
      </c>
      <c r="V33" s="12">
        <v>0.1</v>
      </c>
      <c r="W33" s="12">
        <v>7.0000000000000007E-2</v>
      </c>
      <c r="X33" s="12">
        <v>399</v>
      </c>
      <c r="Y33" s="12">
        <v>399</v>
      </c>
      <c r="Z33" s="12">
        <v>399</v>
      </c>
      <c r="AA33" s="12">
        <v>399</v>
      </c>
      <c r="AB33" s="12">
        <v>399</v>
      </c>
      <c r="AC33" s="12">
        <v>399</v>
      </c>
      <c r="AD33" s="12">
        <v>399</v>
      </c>
      <c r="AE33" s="12">
        <v>399</v>
      </c>
      <c r="AF33" s="13"/>
      <c r="AG33" s="13"/>
      <c r="AH33" s="13"/>
    </row>
    <row r="34" spans="1:34">
      <c r="A34" s="13" t="s">
        <v>87</v>
      </c>
      <c r="B34" s="13">
        <v>220029640</v>
      </c>
      <c r="C34" s="13" t="s">
        <v>88</v>
      </c>
      <c r="D34" s="13" t="s">
        <v>89</v>
      </c>
      <c r="E34" s="13">
        <v>400454000062</v>
      </c>
      <c r="F34" s="13" t="s">
        <v>90</v>
      </c>
      <c r="G34" s="13" t="s">
        <v>90</v>
      </c>
      <c r="H34" s="13" t="s">
        <v>91</v>
      </c>
      <c r="I34" s="13" t="s">
        <v>92</v>
      </c>
      <c r="J34" s="14" t="s">
        <v>93</v>
      </c>
      <c r="K34" s="13"/>
      <c r="L34" s="13">
        <v>0</v>
      </c>
      <c r="M34" s="13" t="s">
        <v>99</v>
      </c>
      <c r="N34" s="13" t="s">
        <v>91</v>
      </c>
      <c r="O34" s="13">
        <v>0</v>
      </c>
      <c r="P34" s="11">
        <v>190</v>
      </c>
      <c r="Q34" s="12">
        <v>43.07</v>
      </c>
      <c r="R34" s="12">
        <v>1292.6690000000001</v>
      </c>
      <c r="S34" s="12">
        <v>0.09</v>
      </c>
      <c r="T34" s="12">
        <v>6.42</v>
      </c>
      <c r="U34" s="12">
        <v>0.12</v>
      </c>
      <c r="V34" s="12">
        <v>0.1</v>
      </c>
      <c r="W34" s="12">
        <v>7.0000000000000007E-2</v>
      </c>
      <c r="X34" s="12">
        <v>399</v>
      </c>
      <c r="Y34" s="12">
        <v>399</v>
      </c>
      <c r="Z34" s="12">
        <v>399</v>
      </c>
      <c r="AA34" s="12">
        <v>399</v>
      </c>
      <c r="AB34" s="12">
        <v>399</v>
      </c>
      <c r="AC34" s="12">
        <v>399</v>
      </c>
      <c r="AD34" s="12">
        <v>399</v>
      </c>
      <c r="AE34" s="12">
        <v>399</v>
      </c>
      <c r="AF34" s="13"/>
      <c r="AG34" s="13"/>
      <c r="AH34" s="13"/>
    </row>
    <row r="35" spans="1:34">
      <c r="A35" s="13" t="s">
        <v>87</v>
      </c>
      <c r="B35" s="13">
        <v>220029640</v>
      </c>
      <c r="C35" s="13" t="s">
        <v>88</v>
      </c>
      <c r="D35" s="13" t="s">
        <v>89</v>
      </c>
      <c r="E35" s="13">
        <v>400454000062</v>
      </c>
      <c r="F35" s="13" t="s">
        <v>90</v>
      </c>
      <c r="G35" s="13" t="s">
        <v>90</v>
      </c>
      <c r="H35" s="13" t="s">
        <v>91</v>
      </c>
      <c r="I35" s="13" t="s">
        <v>92</v>
      </c>
      <c r="J35" s="14" t="s">
        <v>93</v>
      </c>
      <c r="K35" s="13"/>
      <c r="L35" s="13">
        <v>0</v>
      </c>
      <c r="M35" s="13" t="s">
        <v>99</v>
      </c>
      <c r="N35" s="13" t="s">
        <v>91</v>
      </c>
      <c r="O35" s="13">
        <v>0</v>
      </c>
      <c r="P35" s="11">
        <v>195</v>
      </c>
      <c r="Q35" s="12">
        <v>42.24</v>
      </c>
      <c r="R35" s="12">
        <v>1292.586</v>
      </c>
      <c r="S35" s="12">
        <v>0.1</v>
      </c>
      <c r="T35" s="12">
        <v>6.51</v>
      </c>
      <c r="U35" s="12">
        <v>0.12</v>
      </c>
      <c r="V35" s="12">
        <v>0.1</v>
      </c>
      <c r="W35" s="12">
        <v>7.0000000000000007E-2</v>
      </c>
      <c r="X35" s="12">
        <v>399</v>
      </c>
      <c r="Y35" s="12">
        <v>399</v>
      </c>
      <c r="Z35" s="12">
        <v>399</v>
      </c>
      <c r="AA35" s="12">
        <v>399</v>
      </c>
      <c r="AB35" s="12">
        <v>399</v>
      </c>
      <c r="AC35" s="12">
        <v>399</v>
      </c>
      <c r="AD35" s="12">
        <v>399</v>
      </c>
      <c r="AE35" s="12">
        <v>399</v>
      </c>
      <c r="AF35" s="13"/>
      <c r="AG35" s="13"/>
      <c r="AH35" s="13"/>
    </row>
    <row r="36" spans="1:34">
      <c r="A36" s="13" t="s">
        <v>87</v>
      </c>
      <c r="B36" s="13">
        <v>220029640</v>
      </c>
      <c r="C36" s="13" t="s">
        <v>88</v>
      </c>
      <c r="D36" s="13" t="s">
        <v>89</v>
      </c>
      <c r="E36" s="13">
        <v>400454000062</v>
      </c>
      <c r="F36" s="13" t="s">
        <v>90</v>
      </c>
      <c r="G36" s="13" t="s">
        <v>90</v>
      </c>
      <c r="H36" s="13" t="s">
        <v>91</v>
      </c>
      <c r="I36" s="13" t="s">
        <v>92</v>
      </c>
      <c r="J36" s="14" t="s">
        <v>93</v>
      </c>
      <c r="K36" s="13"/>
      <c r="L36" s="13">
        <v>0</v>
      </c>
      <c r="M36" s="13" t="s">
        <v>99</v>
      </c>
      <c r="N36" s="13" t="s">
        <v>91</v>
      </c>
      <c r="O36" s="13">
        <v>0</v>
      </c>
      <c r="P36" s="11">
        <v>200</v>
      </c>
      <c r="Q36" s="12">
        <v>41.42</v>
      </c>
      <c r="R36" s="12">
        <v>1292.508</v>
      </c>
      <c r="S36" s="12">
        <v>0.1</v>
      </c>
      <c r="T36" s="12">
        <v>6.59</v>
      </c>
      <c r="U36" s="12">
        <v>0.12</v>
      </c>
      <c r="V36" s="12">
        <v>0.1</v>
      </c>
      <c r="W36" s="12">
        <v>7.0000000000000007E-2</v>
      </c>
      <c r="X36" s="12">
        <v>399</v>
      </c>
      <c r="Y36" s="12">
        <v>399</v>
      </c>
      <c r="Z36" s="12">
        <v>399</v>
      </c>
      <c r="AA36" s="12">
        <v>399</v>
      </c>
      <c r="AB36" s="12">
        <v>399</v>
      </c>
      <c r="AC36" s="12">
        <v>399</v>
      </c>
      <c r="AD36" s="12">
        <v>399</v>
      </c>
      <c r="AE36" s="12">
        <v>399</v>
      </c>
      <c r="AF36" s="13"/>
      <c r="AG36" s="13"/>
      <c r="AH36" s="13"/>
    </row>
    <row r="37" spans="1:34">
      <c r="A37" s="13" t="s">
        <v>87</v>
      </c>
      <c r="B37" s="13">
        <v>220029640</v>
      </c>
      <c r="C37" s="13" t="s">
        <v>88</v>
      </c>
      <c r="D37" s="13" t="s">
        <v>89</v>
      </c>
      <c r="E37" s="13">
        <v>400454000062</v>
      </c>
      <c r="F37" s="13" t="s">
        <v>90</v>
      </c>
      <c r="G37" s="13" t="s">
        <v>90</v>
      </c>
      <c r="H37" s="13" t="s">
        <v>91</v>
      </c>
      <c r="I37" s="13" t="s">
        <v>92</v>
      </c>
      <c r="J37" s="14" t="s">
        <v>93</v>
      </c>
      <c r="K37" s="13"/>
      <c r="L37" s="13">
        <v>0</v>
      </c>
      <c r="M37" s="13" t="s">
        <v>99</v>
      </c>
      <c r="N37" s="13" t="s">
        <v>91</v>
      </c>
      <c r="O37" s="13">
        <v>0</v>
      </c>
      <c r="P37" s="11">
        <v>205</v>
      </c>
      <c r="Q37" s="12">
        <v>40.64</v>
      </c>
      <c r="R37" s="12">
        <v>1292.43</v>
      </c>
      <c r="S37" s="12">
        <v>0.1</v>
      </c>
      <c r="T37" s="12">
        <v>6.65</v>
      </c>
      <c r="U37" s="12">
        <v>0.12</v>
      </c>
      <c r="V37" s="12">
        <v>0.1</v>
      </c>
      <c r="W37" s="12">
        <v>7.0000000000000007E-2</v>
      </c>
      <c r="X37" s="12">
        <v>399</v>
      </c>
      <c r="Y37" s="12">
        <v>399</v>
      </c>
      <c r="Z37" s="12">
        <v>399</v>
      </c>
      <c r="AA37" s="12">
        <v>399</v>
      </c>
      <c r="AB37" s="12">
        <v>399</v>
      </c>
      <c r="AC37" s="12">
        <v>399</v>
      </c>
      <c r="AD37" s="12">
        <v>399</v>
      </c>
      <c r="AE37" s="12">
        <v>399</v>
      </c>
      <c r="AF37" s="13"/>
      <c r="AG37" s="13"/>
      <c r="AH37" s="13"/>
    </row>
    <row r="38" spans="1:34">
      <c r="A38" s="13" t="s">
        <v>87</v>
      </c>
      <c r="B38" s="13">
        <v>220029640</v>
      </c>
      <c r="C38" s="13" t="s">
        <v>88</v>
      </c>
      <c r="D38" s="13" t="s">
        <v>89</v>
      </c>
      <c r="E38" s="13">
        <v>400454000062</v>
      </c>
      <c r="F38" s="13" t="s">
        <v>90</v>
      </c>
      <c r="G38" s="13" t="s">
        <v>90</v>
      </c>
      <c r="H38" s="13" t="s">
        <v>91</v>
      </c>
      <c r="I38" s="13" t="s">
        <v>92</v>
      </c>
      <c r="J38" s="14" t="s">
        <v>93</v>
      </c>
      <c r="K38" s="13"/>
      <c r="L38" s="13">
        <v>0</v>
      </c>
      <c r="M38" s="13" t="s">
        <v>99</v>
      </c>
      <c r="N38" s="13" t="s">
        <v>91</v>
      </c>
      <c r="O38" s="13">
        <v>0</v>
      </c>
      <c r="P38" s="11">
        <v>210</v>
      </c>
      <c r="Q38" s="12">
        <v>39.72</v>
      </c>
      <c r="R38" s="12">
        <v>1292.3520000000001</v>
      </c>
      <c r="S38" s="12">
        <v>0.08</v>
      </c>
      <c r="T38" s="12">
        <v>6.77</v>
      </c>
      <c r="U38" s="12">
        <v>0.12</v>
      </c>
      <c r="V38" s="12">
        <v>0.1</v>
      </c>
      <c r="W38" s="12">
        <v>7.0000000000000007E-2</v>
      </c>
      <c r="X38" s="12">
        <v>399</v>
      </c>
      <c r="Y38" s="12">
        <v>399</v>
      </c>
      <c r="Z38" s="12">
        <v>399</v>
      </c>
      <c r="AA38" s="12">
        <v>399</v>
      </c>
      <c r="AB38" s="12">
        <v>399</v>
      </c>
      <c r="AC38" s="12">
        <v>399</v>
      </c>
      <c r="AD38" s="12">
        <v>399</v>
      </c>
      <c r="AE38" s="12">
        <v>399</v>
      </c>
      <c r="AF38" s="13"/>
      <c r="AG38" s="13"/>
      <c r="AH38" s="13"/>
    </row>
    <row r="39" spans="1:34">
      <c r="A39" s="13" t="s">
        <v>87</v>
      </c>
      <c r="B39" s="13">
        <v>220029640</v>
      </c>
      <c r="C39" s="13" t="s">
        <v>88</v>
      </c>
      <c r="D39" s="13" t="s">
        <v>89</v>
      </c>
      <c r="E39" s="13">
        <v>400454000062</v>
      </c>
      <c r="F39" s="13" t="s">
        <v>90</v>
      </c>
      <c r="G39" s="13" t="s">
        <v>90</v>
      </c>
      <c r="H39" s="13" t="s">
        <v>91</v>
      </c>
      <c r="I39" s="13" t="s">
        <v>92</v>
      </c>
      <c r="J39" s="14" t="s">
        <v>93</v>
      </c>
      <c r="K39" s="13"/>
      <c r="L39" s="13">
        <v>0</v>
      </c>
      <c r="M39" s="13" t="s">
        <v>99</v>
      </c>
      <c r="N39" s="13" t="s">
        <v>91</v>
      </c>
      <c r="O39" s="13">
        <v>0</v>
      </c>
      <c r="P39" s="11">
        <v>215</v>
      </c>
      <c r="Q39" s="12">
        <v>38.81</v>
      </c>
      <c r="R39" s="12">
        <v>1292.269</v>
      </c>
      <c r="S39" s="12">
        <v>0.09</v>
      </c>
      <c r="T39" s="12">
        <v>6.89</v>
      </c>
      <c r="U39" s="12">
        <v>0.12</v>
      </c>
      <c r="V39" s="12">
        <v>0.1</v>
      </c>
      <c r="W39" s="12">
        <v>7.0000000000000007E-2</v>
      </c>
      <c r="X39" s="12">
        <v>399</v>
      </c>
      <c r="Y39" s="12">
        <v>399</v>
      </c>
      <c r="Z39" s="12">
        <v>399</v>
      </c>
      <c r="AA39" s="12">
        <v>399</v>
      </c>
      <c r="AB39" s="12">
        <v>399</v>
      </c>
      <c r="AC39" s="12">
        <v>399</v>
      </c>
      <c r="AD39" s="12">
        <v>399</v>
      </c>
      <c r="AE39" s="12">
        <v>399</v>
      </c>
      <c r="AF39" s="13"/>
      <c r="AG39" s="13"/>
      <c r="AH39" s="13"/>
    </row>
    <row r="40" spans="1:34">
      <c r="A40" s="13" t="s">
        <v>87</v>
      </c>
      <c r="B40" s="13">
        <v>220029640</v>
      </c>
      <c r="C40" s="13" t="s">
        <v>88</v>
      </c>
      <c r="D40" s="13" t="s">
        <v>89</v>
      </c>
      <c r="E40" s="13">
        <v>400454000062</v>
      </c>
      <c r="F40" s="13" t="s">
        <v>90</v>
      </c>
      <c r="G40" s="13" t="s">
        <v>90</v>
      </c>
      <c r="H40" s="13" t="s">
        <v>91</v>
      </c>
      <c r="I40" s="13" t="s">
        <v>92</v>
      </c>
      <c r="J40" s="14" t="s">
        <v>93</v>
      </c>
      <c r="K40" s="13"/>
      <c r="L40" s="13">
        <v>0</v>
      </c>
      <c r="M40" s="13" t="s">
        <v>99</v>
      </c>
      <c r="N40" s="13" t="s">
        <v>91</v>
      </c>
      <c r="O40" s="13">
        <v>0</v>
      </c>
      <c r="P40" s="11">
        <v>220</v>
      </c>
      <c r="Q40" s="12">
        <v>37.950000000000003</v>
      </c>
      <c r="R40" s="12">
        <v>1292.1849999999999</v>
      </c>
      <c r="S40" s="12">
        <v>0.1</v>
      </c>
      <c r="T40" s="12">
        <v>6.96</v>
      </c>
      <c r="U40" s="12">
        <v>0.12</v>
      </c>
      <c r="V40" s="12">
        <v>0.1</v>
      </c>
      <c r="W40" s="12">
        <v>7.0000000000000007E-2</v>
      </c>
      <c r="X40" s="12">
        <v>399</v>
      </c>
      <c r="Y40" s="12">
        <v>399</v>
      </c>
      <c r="Z40" s="12">
        <v>399</v>
      </c>
      <c r="AA40" s="12">
        <v>399</v>
      </c>
      <c r="AB40" s="12">
        <v>399</v>
      </c>
      <c r="AC40" s="12">
        <v>399</v>
      </c>
      <c r="AD40" s="12">
        <v>399</v>
      </c>
      <c r="AE40" s="12">
        <v>399</v>
      </c>
      <c r="AF40" s="13"/>
      <c r="AG40" s="13"/>
      <c r="AH40" s="13"/>
    </row>
    <row r="41" spans="1:34">
      <c r="A41" s="13" t="s">
        <v>87</v>
      </c>
      <c r="B41" s="13">
        <v>220029640</v>
      </c>
      <c r="C41" s="13" t="s">
        <v>88</v>
      </c>
      <c r="D41" s="13" t="s">
        <v>89</v>
      </c>
      <c r="E41" s="13">
        <v>400454000062</v>
      </c>
      <c r="F41" s="13" t="s">
        <v>90</v>
      </c>
      <c r="G41" s="13" t="s">
        <v>90</v>
      </c>
      <c r="H41" s="13" t="s">
        <v>91</v>
      </c>
      <c r="I41" s="13" t="s">
        <v>92</v>
      </c>
      <c r="J41" s="14" t="s">
        <v>93</v>
      </c>
      <c r="K41" s="13"/>
      <c r="L41" s="13">
        <v>0</v>
      </c>
      <c r="M41" s="13" t="s">
        <v>99</v>
      </c>
      <c r="N41" s="13" t="s">
        <v>91</v>
      </c>
      <c r="O41" s="13">
        <v>0</v>
      </c>
      <c r="P41" s="11">
        <v>225</v>
      </c>
      <c r="Q41" s="12">
        <v>37.119999999999997</v>
      </c>
      <c r="R41" s="12">
        <v>1292.097</v>
      </c>
      <c r="S41" s="12">
        <v>0.11</v>
      </c>
      <c r="T41" s="12">
        <v>7.07</v>
      </c>
      <c r="U41" s="12">
        <v>0.12</v>
      </c>
      <c r="V41" s="12">
        <v>0.1</v>
      </c>
      <c r="W41" s="12">
        <v>7.0000000000000007E-2</v>
      </c>
      <c r="X41" s="12">
        <v>399</v>
      </c>
      <c r="Y41" s="12">
        <v>399</v>
      </c>
      <c r="Z41" s="12">
        <v>399</v>
      </c>
      <c r="AA41" s="12">
        <v>399</v>
      </c>
      <c r="AB41" s="12">
        <v>399</v>
      </c>
      <c r="AC41" s="12">
        <v>399</v>
      </c>
      <c r="AD41" s="12">
        <v>399</v>
      </c>
      <c r="AE41" s="12">
        <v>399</v>
      </c>
      <c r="AF41" s="13"/>
      <c r="AG41" s="13"/>
      <c r="AH41" s="13"/>
    </row>
    <row r="42" spans="1:34">
      <c r="A42" s="13" t="s">
        <v>87</v>
      </c>
      <c r="B42" s="13">
        <v>220029640</v>
      </c>
      <c r="C42" s="13" t="s">
        <v>88</v>
      </c>
      <c r="D42" s="13" t="s">
        <v>89</v>
      </c>
      <c r="E42" s="13">
        <v>400454000062</v>
      </c>
      <c r="F42" s="13" t="s">
        <v>90</v>
      </c>
      <c r="G42" s="13" t="s">
        <v>90</v>
      </c>
      <c r="H42" s="13" t="s">
        <v>91</v>
      </c>
      <c r="I42" s="13" t="s">
        <v>92</v>
      </c>
      <c r="J42" s="14" t="s">
        <v>93</v>
      </c>
      <c r="K42" s="13"/>
      <c r="L42" s="13">
        <v>0</v>
      </c>
      <c r="M42" s="13" t="s">
        <v>99</v>
      </c>
      <c r="N42" s="13" t="s">
        <v>91</v>
      </c>
      <c r="O42" s="13">
        <v>0</v>
      </c>
      <c r="P42" s="11">
        <v>230</v>
      </c>
      <c r="Q42" s="12">
        <v>36.28</v>
      </c>
      <c r="R42" s="12">
        <v>1292.0170000000001</v>
      </c>
      <c r="S42" s="12">
        <v>0.1</v>
      </c>
      <c r="T42" s="12">
        <v>7.09</v>
      </c>
      <c r="U42" s="12">
        <v>0.12</v>
      </c>
      <c r="V42" s="12">
        <v>0.1</v>
      </c>
      <c r="W42" s="12">
        <v>7.0000000000000007E-2</v>
      </c>
      <c r="X42" s="12">
        <v>399</v>
      </c>
      <c r="Y42" s="12">
        <v>399</v>
      </c>
      <c r="Z42" s="12">
        <v>399</v>
      </c>
      <c r="AA42" s="12">
        <v>399</v>
      </c>
      <c r="AB42" s="12">
        <v>399</v>
      </c>
      <c r="AC42" s="12">
        <v>399</v>
      </c>
      <c r="AD42" s="12">
        <v>399</v>
      </c>
      <c r="AE42" s="12">
        <v>399</v>
      </c>
      <c r="AF42" s="13"/>
      <c r="AG42" s="13"/>
      <c r="AH42" s="13"/>
    </row>
    <row r="43" spans="1:34">
      <c r="A43" s="13" t="s">
        <v>87</v>
      </c>
      <c r="B43" s="13">
        <v>220029640</v>
      </c>
      <c r="C43" s="13" t="s">
        <v>88</v>
      </c>
      <c r="D43" s="13" t="s">
        <v>89</v>
      </c>
      <c r="E43" s="13">
        <v>400454000062</v>
      </c>
      <c r="F43" s="13" t="s">
        <v>90</v>
      </c>
      <c r="G43" s="13" t="s">
        <v>90</v>
      </c>
      <c r="H43" s="13" t="s">
        <v>91</v>
      </c>
      <c r="I43" s="13" t="s">
        <v>92</v>
      </c>
      <c r="J43" s="14" t="s">
        <v>93</v>
      </c>
      <c r="K43" s="13"/>
      <c r="L43" s="13">
        <v>0</v>
      </c>
      <c r="M43" s="13" t="s">
        <v>99</v>
      </c>
      <c r="N43" s="13" t="s">
        <v>91</v>
      </c>
      <c r="O43" s="13">
        <v>0</v>
      </c>
      <c r="P43" s="11">
        <v>235</v>
      </c>
      <c r="Q43" s="12">
        <v>35.450000000000003</v>
      </c>
      <c r="R43" s="12">
        <v>1291.9349999999999</v>
      </c>
      <c r="S43" s="12">
        <v>0.1</v>
      </c>
      <c r="T43" s="12">
        <v>7.18</v>
      </c>
      <c r="U43" s="12">
        <v>0.12</v>
      </c>
      <c r="V43" s="12">
        <v>0.1</v>
      </c>
      <c r="W43" s="12">
        <v>7.0000000000000007E-2</v>
      </c>
      <c r="X43" s="12">
        <v>399</v>
      </c>
      <c r="Y43" s="12">
        <v>399</v>
      </c>
      <c r="Z43" s="12">
        <v>399</v>
      </c>
      <c r="AA43" s="12">
        <v>399</v>
      </c>
      <c r="AB43" s="12">
        <v>399</v>
      </c>
      <c r="AC43" s="12">
        <v>399</v>
      </c>
      <c r="AD43" s="12">
        <v>399</v>
      </c>
      <c r="AE43" s="12">
        <v>399</v>
      </c>
      <c r="AF43" s="13"/>
      <c r="AG43" s="13"/>
      <c r="AH43" s="13"/>
    </row>
    <row r="44" spans="1:34">
      <c r="A44" s="13" t="s">
        <v>87</v>
      </c>
      <c r="B44" s="13">
        <v>220029640</v>
      </c>
      <c r="C44" s="13" t="s">
        <v>88</v>
      </c>
      <c r="D44" s="13" t="s">
        <v>89</v>
      </c>
      <c r="E44" s="13">
        <v>400454000062</v>
      </c>
      <c r="F44" s="13" t="s">
        <v>90</v>
      </c>
      <c r="G44" s="13" t="s">
        <v>90</v>
      </c>
      <c r="H44" s="13" t="s">
        <v>91</v>
      </c>
      <c r="I44" s="13" t="s">
        <v>92</v>
      </c>
      <c r="J44" s="14" t="s">
        <v>93</v>
      </c>
      <c r="K44" s="13"/>
      <c r="L44" s="13">
        <v>0</v>
      </c>
      <c r="M44" s="13" t="s">
        <v>99</v>
      </c>
      <c r="N44" s="13" t="s">
        <v>91</v>
      </c>
      <c r="O44" s="13">
        <v>0</v>
      </c>
      <c r="P44" s="11">
        <v>240</v>
      </c>
      <c r="Q44" s="12">
        <v>34.619999999999997</v>
      </c>
      <c r="R44" s="12">
        <v>1291.857</v>
      </c>
      <c r="S44" s="12">
        <v>0.09</v>
      </c>
      <c r="T44" s="12">
        <v>7.21</v>
      </c>
      <c r="U44" s="12">
        <v>0.12</v>
      </c>
      <c r="V44" s="12">
        <v>0.1</v>
      </c>
      <c r="W44" s="12">
        <v>7.0000000000000007E-2</v>
      </c>
      <c r="X44" s="12">
        <v>399</v>
      </c>
      <c r="Y44" s="12">
        <v>399</v>
      </c>
      <c r="Z44" s="12">
        <v>399</v>
      </c>
      <c r="AA44" s="12">
        <v>399</v>
      </c>
      <c r="AB44" s="12">
        <v>399</v>
      </c>
      <c r="AC44" s="12">
        <v>399</v>
      </c>
      <c r="AD44" s="12">
        <v>399</v>
      </c>
      <c r="AE44" s="12">
        <v>399</v>
      </c>
      <c r="AF44" s="13"/>
      <c r="AG44" s="13"/>
      <c r="AH44" s="13"/>
    </row>
    <row r="45" spans="1:34">
      <c r="A45" s="13" t="s">
        <v>87</v>
      </c>
      <c r="B45" s="13">
        <v>220029640</v>
      </c>
      <c r="C45" s="13" t="s">
        <v>88</v>
      </c>
      <c r="D45" s="13" t="s">
        <v>89</v>
      </c>
      <c r="E45" s="13">
        <v>400454000062</v>
      </c>
      <c r="F45" s="13" t="s">
        <v>90</v>
      </c>
      <c r="G45" s="13" t="s">
        <v>90</v>
      </c>
      <c r="H45" s="13" t="s">
        <v>91</v>
      </c>
      <c r="I45" s="13" t="s">
        <v>92</v>
      </c>
      <c r="J45" s="14" t="s">
        <v>93</v>
      </c>
      <c r="K45" s="13"/>
      <c r="L45" s="13">
        <v>0</v>
      </c>
      <c r="M45" s="13" t="s">
        <v>99</v>
      </c>
      <c r="N45" s="13" t="s">
        <v>91</v>
      </c>
      <c r="O45" s="13">
        <v>0</v>
      </c>
      <c r="P45" s="11">
        <v>245</v>
      </c>
      <c r="Q45" s="12">
        <v>33.79</v>
      </c>
      <c r="R45" s="12">
        <v>1291.778</v>
      </c>
      <c r="S45" s="12">
        <v>0.1</v>
      </c>
      <c r="T45" s="12">
        <v>7.25</v>
      </c>
      <c r="U45" s="12">
        <v>0.12</v>
      </c>
      <c r="V45" s="12">
        <v>0.1</v>
      </c>
      <c r="W45" s="12">
        <v>7.0000000000000007E-2</v>
      </c>
      <c r="X45" s="12">
        <v>399</v>
      </c>
      <c r="Y45" s="12">
        <v>399</v>
      </c>
      <c r="Z45" s="12">
        <v>399</v>
      </c>
      <c r="AA45" s="12">
        <v>399</v>
      </c>
      <c r="AB45" s="12">
        <v>399</v>
      </c>
      <c r="AC45" s="12">
        <v>399</v>
      </c>
      <c r="AD45" s="12">
        <v>399</v>
      </c>
      <c r="AE45" s="12">
        <v>399</v>
      </c>
      <c r="AF45" s="13"/>
      <c r="AG45" s="13"/>
      <c r="AH45" s="13"/>
    </row>
    <row r="46" spans="1:34">
      <c r="A46" s="13" t="s">
        <v>87</v>
      </c>
      <c r="B46" s="13">
        <v>220029640</v>
      </c>
      <c r="C46" s="13" t="s">
        <v>88</v>
      </c>
      <c r="D46" s="13" t="s">
        <v>89</v>
      </c>
      <c r="E46" s="13">
        <v>400454000062</v>
      </c>
      <c r="F46" s="13" t="s">
        <v>90</v>
      </c>
      <c r="G46" s="13" t="s">
        <v>90</v>
      </c>
      <c r="H46" s="13" t="s">
        <v>91</v>
      </c>
      <c r="I46" s="13" t="s">
        <v>92</v>
      </c>
      <c r="J46" s="14" t="s">
        <v>93</v>
      </c>
      <c r="K46" s="13"/>
      <c r="L46" s="13">
        <v>0</v>
      </c>
      <c r="M46" s="13" t="s">
        <v>99</v>
      </c>
      <c r="N46" s="13" t="s">
        <v>91</v>
      </c>
      <c r="O46" s="13">
        <v>0</v>
      </c>
      <c r="P46" s="11">
        <v>250</v>
      </c>
      <c r="Q46" s="12">
        <v>32.950000000000003</v>
      </c>
      <c r="R46" s="12">
        <v>1291.6990000000001</v>
      </c>
      <c r="S46" s="12">
        <v>0.09</v>
      </c>
      <c r="T46" s="12">
        <v>7.29</v>
      </c>
      <c r="U46" s="12">
        <v>0.12</v>
      </c>
      <c r="V46" s="12">
        <v>0.1</v>
      </c>
      <c r="W46" s="12">
        <v>7.0000000000000007E-2</v>
      </c>
      <c r="X46" s="12">
        <v>399</v>
      </c>
      <c r="Y46" s="12">
        <v>399</v>
      </c>
      <c r="Z46" s="12">
        <v>399</v>
      </c>
      <c r="AA46" s="12">
        <v>399</v>
      </c>
      <c r="AB46" s="12">
        <v>399</v>
      </c>
      <c r="AC46" s="12">
        <v>399</v>
      </c>
      <c r="AD46" s="12">
        <v>399</v>
      </c>
      <c r="AE46" s="12">
        <v>399</v>
      </c>
      <c r="AF46" s="13"/>
      <c r="AG46" s="13"/>
      <c r="AH46" s="13"/>
    </row>
    <row r="47" spans="1:34">
      <c r="A47" s="13" t="s">
        <v>87</v>
      </c>
      <c r="B47" s="13">
        <v>220029640</v>
      </c>
      <c r="C47" s="13" t="s">
        <v>88</v>
      </c>
      <c r="D47" s="13" t="s">
        <v>89</v>
      </c>
      <c r="E47" s="13">
        <v>400454000062</v>
      </c>
      <c r="F47" s="13" t="s">
        <v>90</v>
      </c>
      <c r="G47" s="13" t="s">
        <v>90</v>
      </c>
      <c r="H47" s="13" t="s">
        <v>91</v>
      </c>
      <c r="I47" s="13" t="s">
        <v>92</v>
      </c>
      <c r="J47" s="14" t="s">
        <v>93</v>
      </c>
      <c r="K47" s="13"/>
      <c r="L47" s="13">
        <v>0</v>
      </c>
      <c r="M47" s="13" t="s">
        <v>99</v>
      </c>
      <c r="N47" s="13" t="s">
        <v>91</v>
      </c>
      <c r="O47" s="13">
        <v>0</v>
      </c>
      <c r="P47" s="11">
        <v>255</v>
      </c>
      <c r="Q47" s="12">
        <v>32.11</v>
      </c>
      <c r="R47" s="12">
        <v>1291.6179999999999</v>
      </c>
      <c r="S47" s="12">
        <v>0.1</v>
      </c>
      <c r="T47" s="12">
        <v>7.43</v>
      </c>
      <c r="U47" s="12">
        <v>0.12</v>
      </c>
      <c r="V47" s="12">
        <v>0.1</v>
      </c>
      <c r="W47" s="12">
        <v>7.0000000000000007E-2</v>
      </c>
      <c r="X47" s="12">
        <v>399</v>
      </c>
      <c r="Y47" s="12">
        <v>399</v>
      </c>
      <c r="Z47" s="12">
        <v>399</v>
      </c>
      <c r="AA47" s="12">
        <v>399</v>
      </c>
      <c r="AB47" s="12">
        <v>399</v>
      </c>
      <c r="AC47" s="12">
        <v>399</v>
      </c>
      <c r="AD47" s="12">
        <v>399</v>
      </c>
      <c r="AE47" s="12">
        <v>399</v>
      </c>
      <c r="AF47" s="13"/>
      <c r="AG47" s="13"/>
      <c r="AH47" s="13"/>
    </row>
    <row r="48" spans="1:34">
      <c r="A48" s="13" t="s">
        <v>87</v>
      </c>
      <c r="B48" s="13">
        <v>220029640</v>
      </c>
      <c r="C48" s="13" t="s">
        <v>88</v>
      </c>
      <c r="D48" s="13" t="s">
        <v>89</v>
      </c>
      <c r="E48" s="13">
        <v>400454000062</v>
      </c>
      <c r="F48" s="13" t="s">
        <v>90</v>
      </c>
      <c r="G48" s="13" t="s">
        <v>90</v>
      </c>
      <c r="H48" s="13" t="s">
        <v>91</v>
      </c>
      <c r="I48" s="13" t="s">
        <v>92</v>
      </c>
      <c r="J48" s="14" t="s">
        <v>93</v>
      </c>
      <c r="K48" s="13"/>
      <c r="L48" s="13">
        <v>0</v>
      </c>
      <c r="M48" s="13" t="s">
        <v>99</v>
      </c>
      <c r="N48" s="13" t="s">
        <v>91</v>
      </c>
      <c r="O48" s="13">
        <v>0</v>
      </c>
      <c r="P48" s="11">
        <v>260</v>
      </c>
      <c r="Q48" s="12">
        <v>31.29</v>
      </c>
      <c r="R48" s="12">
        <v>1291.54</v>
      </c>
      <c r="S48" s="12">
        <v>0.1</v>
      </c>
      <c r="T48" s="12">
        <v>7.45</v>
      </c>
      <c r="U48" s="12">
        <v>0.12</v>
      </c>
      <c r="V48" s="12">
        <v>0.1</v>
      </c>
      <c r="W48" s="12">
        <v>7.0000000000000007E-2</v>
      </c>
      <c r="X48" s="12">
        <v>399</v>
      </c>
      <c r="Y48" s="12">
        <v>399</v>
      </c>
      <c r="Z48" s="12">
        <v>399</v>
      </c>
      <c r="AA48" s="12">
        <v>399</v>
      </c>
      <c r="AB48" s="12">
        <v>399</v>
      </c>
      <c r="AC48" s="12">
        <v>399</v>
      </c>
      <c r="AD48" s="12">
        <v>399</v>
      </c>
      <c r="AE48" s="12">
        <v>399</v>
      </c>
      <c r="AF48" s="13"/>
      <c r="AG48" s="13"/>
      <c r="AH48" s="13"/>
    </row>
    <row r="49" spans="1:34">
      <c r="A49" s="13" t="s">
        <v>87</v>
      </c>
      <c r="B49" s="13">
        <v>220029640</v>
      </c>
      <c r="C49" s="13" t="s">
        <v>88</v>
      </c>
      <c r="D49" s="13" t="s">
        <v>89</v>
      </c>
      <c r="E49" s="13">
        <v>400454000062</v>
      </c>
      <c r="F49" s="13" t="s">
        <v>90</v>
      </c>
      <c r="G49" s="13" t="s">
        <v>90</v>
      </c>
      <c r="H49" s="13" t="s">
        <v>91</v>
      </c>
      <c r="I49" s="13" t="s">
        <v>92</v>
      </c>
      <c r="J49" s="14" t="s">
        <v>93</v>
      </c>
      <c r="K49" s="13"/>
      <c r="L49" s="13">
        <v>0</v>
      </c>
      <c r="M49" s="13" t="s">
        <v>99</v>
      </c>
      <c r="N49" s="13" t="s">
        <v>91</v>
      </c>
      <c r="O49" s="13">
        <v>0</v>
      </c>
      <c r="P49" s="11">
        <v>265</v>
      </c>
      <c r="Q49" s="12">
        <v>30.43</v>
      </c>
      <c r="R49" s="12">
        <v>1291.461</v>
      </c>
      <c r="S49" s="12">
        <v>0.09</v>
      </c>
      <c r="T49" s="12">
        <v>7.52</v>
      </c>
      <c r="U49" s="12">
        <v>0.12</v>
      </c>
      <c r="V49" s="12">
        <v>0.1</v>
      </c>
      <c r="W49" s="12">
        <v>7.0000000000000007E-2</v>
      </c>
      <c r="X49" s="12">
        <v>399</v>
      </c>
      <c r="Y49" s="12">
        <v>399</v>
      </c>
      <c r="Z49" s="12">
        <v>399</v>
      </c>
      <c r="AA49" s="12">
        <v>399</v>
      </c>
      <c r="AB49" s="12">
        <v>399</v>
      </c>
      <c r="AC49" s="12">
        <v>399</v>
      </c>
      <c r="AD49" s="12">
        <v>399</v>
      </c>
      <c r="AE49" s="12">
        <v>399</v>
      </c>
      <c r="AF49" s="13"/>
      <c r="AG49" s="13"/>
      <c r="AH49" s="13"/>
    </row>
    <row r="50" spans="1:34">
      <c r="A50" s="13" t="s">
        <v>87</v>
      </c>
      <c r="B50" s="13">
        <v>220029640</v>
      </c>
      <c r="C50" s="13" t="s">
        <v>88</v>
      </c>
      <c r="D50" s="13" t="s">
        <v>89</v>
      </c>
      <c r="E50" s="13">
        <v>400454000062</v>
      </c>
      <c r="F50" s="13" t="s">
        <v>90</v>
      </c>
      <c r="G50" s="13" t="s">
        <v>90</v>
      </c>
      <c r="H50" s="13" t="s">
        <v>91</v>
      </c>
      <c r="I50" s="13" t="s">
        <v>92</v>
      </c>
      <c r="J50" s="14" t="s">
        <v>93</v>
      </c>
      <c r="K50" s="13"/>
      <c r="L50" s="13">
        <v>0</v>
      </c>
      <c r="M50" s="13" t="s">
        <v>99</v>
      </c>
      <c r="N50" s="13" t="s">
        <v>91</v>
      </c>
      <c r="O50" s="13">
        <v>0</v>
      </c>
      <c r="P50" s="11">
        <v>270</v>
      </c>
      <c r="Q50" s="12">
        <v>29.59</v>
      </c>
      <c r="R50" s="12">
        <v>1291.383</v>
      </c>
      <c r="S50" s="12">
        <v>0.09</v>
      </c>
      <c r="T50" s="12">
        <v>7.54</v>
      </c>
      <c r="U50" s="12">
        <v>0.12</v>
      </c>
      <c r="V50" s="12">
        <v>0.1</v>
      </c>
      <c r="W50" s="12">
        <v>7.0000000000000007E-2</v>
      </c>
      <c r="X50" s="12">
        <v>399</v>
      </c>
      <c r="Y50" s="12">
        <v>399</v>
      </c>
      <c r="Z50" s="12">
        <v>399</v>
      </c>
      <c r="AA50" s="12">
        <v>399</v>
      </c>
      <c r="AB50" s="12">
        <v>399</v>
      </c>
      <c r="AC50" s="12">
        <v>399</v>
      </c>
      <c r="AD50" s="12">
        <v>399</v>
      </c>
      <c r="AE50" s="12">
        <v>399</v>
      </c>
      <c r="AF50" s="13"/>
      <c r="AG50" s="13"/>
      <c r="AH50" s="13"/>
    </row>
    <row r="51" spans="1:34">
      <c r="A51" s="13" t="s">
        <v>87</v>
      </c>
      <c r="B51" s="13">
        <v>220029640</v>
      </c>
      <c r="C51" s="13" t="s">
        <v>88</v>
      </c>
      <c r="D51" s="13" t="s">
        <v>89</v>
      </c>
      <c r="E51" s="13">
        <v>400454000062</v>
      </c>
      <c r="F51" s="13" t="s">
        <v>90</v>
      </c>
      <c r="G51" s="13" t="s">
        <v>90</v>
      </c>
      <c r="H51" s="13" t="s">
        <v>91</v>
      </c>
      <c r="I51" s="13" t="s">
        <v>92</v>
      </c>
      <c r="J51" s="14" t="s">
        <v>93</v>
      </c>
      <c r="K51" s="13"/>
      <c r="L51" s="13">
        <v>0</v>
      </c>
      <c r="M51" s="13" t="s">
        <v>99</v>
      </c>
      <c r="N51" s="13" t="s">
        <v>91</v>
      </c>
      <c r="O51" s="13">
        <v>0</v>
      </c>
      <c r="P51" s="11">
        <v>275</v>
      </c>
      <c r="Q51" s="12">
        <v>28.74</v>
      </c>
      <c r="R51" s="12">
        <v>1291.3</v>
      </c>
      <c r="S51" s="12">
        <v>0.1</v>
      </c>
      <c r="T51" s="12">
        <v>7.63</v>
      </c>
      <c r="U51" s="12">
        <v>0.12</v>
      </c>
      <c r="V51" s="12">
        <v>0.1</v>
      </c>
      <c r="W51" s="12">
        <v>7.0000000000000007E-2</v>
      </c>
      <c r="X51" s="12">
        <v>399</v>
      </c>
      <c r="Y51" s="12">
        <v>399</v>
      </c>
      <c r="Z51" s="12">
        <v>399</v>
      </c>
      <c r="AA51" s="12">
        <v>399</v>
      </c>
      <c r="AB51" s="12">
        <v>399</v>
      </c>
      <c r="AC51" s="12">
        <v>399</v>
      </c>
      <c r="AD51" s="12">
        <v>399</v>
      </c>
      <c r="AE51" s="12">
        <v>399</v>
      </c>
      <c r="AF51" s="13"/>
      <c r="AG51" s="13"/>
      <c r="AH51" s="13"/>
    </row>
    <row r="52" spans="1:34">
      <c r="A52" s="13" t="s">
        <v>87</v>
      </c>
      <c r="B52" s="13">
        <v>220029640</v>
      </c>
      <c r="C52" s="13" t="s">
        <v>88</v>
      </c>
      <c r="D52" s="13" t="s">
        <v>89</v>
      </c>
      <c r="E52" s="13">
        <v>400454000062</v>
      </c>
      <c r="F52" s="13" t="s">
        <v>90</v>
      </c>
      <c r="G52" s="13" t="s">
        <v>90</v>
      </c>
      <c r="H52" s="13" t="s">
        <v>91</v>
      </c>
      <c r="I52" s="13" t="s">
        <v>92</v>
      </c>
      <c r="J52" s="14" t="s">
        <v>93</v>
      </c>
      <c r="K52" s="13"/>
      <c r="L52" s="13">
        <v>0</v>
      </c>
      <c r="M52" s="13" t="s">
        <v>99</v>
      </c>
      <c r="N52" s="13" t="s">
        <v>91</v>
      </c>
      <c r="O52" s="13">
        <v>0</v>
      </c>
      <c r="P52" s="11">
        <v>280</v>
      </c>
      <c r="Q52" s="12">
        <v>27.91</v>
      </c>
      <c r="R52" s="12">
        <v>1291.22</v>
      </c>
      <c r="S52" s="12">
        <v>0.1</v>
      </c>
      <c r="T52" s="12">
        <v>7.75</v>
      </c>
      <c r="U52" s="12">
        <v>0.12</v>
      </c>
      <c r="V52" s="12">
        <v>0.1</v>
      </c>
      <c r="W52" s="12">
        <v>7.0000000000000007E-2</v>
      </c>
      <c r="X52" s="12">
        <v>399</v>
      </c>
      <c r="Y52" s="12">
        <v>399</v>
      </c>
      <c r="Z52" s="12">
        <v>399</v>
      </c>
      <c r="AA52" s="12">
        <v>399</v>
      </c>
      <c r="AB52" s="12">
        <v>399</v>
      </c>
      <c r="AC52" s="12">
        <v>399</v>
      </c>
      <c r="AD52" s="12">
        <v>399</v>
      </c>
      <c r="AE52" s="12">
        <v>399</v>
      </c>
      <c r="AF52" s="13"/>
      <c r="AG52" s="13"/>
      <c r="AH52" s="13"/>
    </row>
    <row r="53" spans="1:34">
      <c r="A53" s="13" t="s">
        <v>87</v>
      </c>
      <c r="B53" s="13">
        <v>220029640</v>
      </c>
      <c r="C53" s="13" t="s">
        <v>88</v>
      </c>
      <c r="D53" s="13" t="s">
        <v>89</v>
      </c>
      <c r="E53" s="13">
        <v>400454000062</v>
      </c>
      <c r="F53" s="13" t="s">
        <v>90</v>
      </c>
      <c r="G53" s="13" t="s">
        <v>90</v>
      </c>
      <c r="H53" s="13" t="s">
        <v>91</v>
      </c>
      <c r="I53" s="13" t="s">
        <v>92</v>
      </c>
      <c r="J53" s="14" t="s">
        <v>93</v>
      </c>
      <c r="K53" s="13"/>
      <c r="L53" s="13">
        <v>0</v>
      </c>
      <c r="M53" s="13" t="s">
        <v>99</v>
      </c>
      <c r="N53" s="13" t="s">
        <v>91</v>
      </c>
      <c r="O53" s="13">
        <v>0</v>
      </c>
      <c r="P53" s="11">
        <v>285</v>
      </c>
      <c r="Q53" s="12">
        <v>27.08</v>
      </c>
      <c r="R53" s="12">
        <v>1291.1389999999999</v>
      </c>
      <c r="S53" s="12">
        <v>0.1</v>
      </c>
      <c r="T53" s="12">
        <v>7.77</v>
      </c>
      <c r="U53" s="12">
        <v>0.12</v>
      </c>
      <c r="V53" s="12">
        <v>0.1</v>
      </c>
      <c r="W53" s="12">
        <v>7.0000000000000007E-2</v>
      </c>
      <c r="X53" s="12">
        <v>399</v>
      </c>
      <c r="Y53" s="12">
        <v>399</v>
      </c>
      <c r="Z53" s="12">
        <v>399</v>
      </c>
      <c r="AA53" s="12">
        <v>399</v>
      </c>
      <c r="AB53" s="12">
        <v>399</v>
      </c>
      <c r="AC53" s="12">
        <v>399</v>
      </c>
      <c r="AD53" s="12">
        <v>399</v>
      </c>
      <c r="AE53" s="12">
        <v>399</v>
      </c>
      <c r="AF53" s="13"/>
      <c r="AG53" s="13"/>
      <c r="AH53" s="13"/>
    </row>
    <row r="54" spans="1:34">
      <c r="A54" s="13" t="s">
        <v>87</v>
      </c>
      <c r="B54" s="13">
        <v>220029640</v>
      </c>
      <c r="C54" s="13" t="s">
        <v>88</v>
      </c>
      <c r="D54" s="13" t="s">
        <v>89</v>
      </c>
      <c r="E54" s="13">
        <v>400454000062</v>
      </c>
      <c r="F54" s="13" t="s">
        <v>90</v>
      </c>
      <c r="G54" s="13" t="s">
        <v>90</v>
      </c>
      <c r="H54" s="13" t="s">
        <v>91</v>
      </c>
      <c r="I54" s="13" t="s">
        <v>92</v>
      </c>
      <c r="J54" s="14" t="s">
        <v>93</v>
      </c>
      <c r="K54" s="13"/>
      <c r="L54" s="13">
        <v>0</v>
      </c>
      <c r="M54" s="13" t="s">
        <v>99</v>
      </c>
      <c r="N54" s="13" t="s">
        <v>91</v>
      </c>
      <c r="O54" s="13">
        <v>0</v>
      </c>
      <c r="P54" s="11">
        <v>290</v>
      </c>
      <c r="Q54" s="12">
        <v>26.24</v>
      </c>
      <c r="R54" s="12">
        <v>1291.06</v>
      </c>
      <c r="S54" s="12">
        <v>0.09</v>
      </c>
      <c r="T54" s="12">
        <v>7.75</v>
      </c>
      <c r="U54" s="12">
        <v>0.12</v>
      </c>
      <c r="V54" s="12">
        <v>0.1</v>
      </c>
      <c r="W54" s="12">
        <v>7.0000000000000007E-2</v>
      </c>
      <c r="X54" s="12">
        <v>399</v>
      </c>
      <c r="Y54" s="12">
        <v>399</v>
      </c>
      <c r="Z54" s="12">
        <v>399</v>
      </c>
      <c r="AA54" s="12">
        <v>399</v>
      </c>
      <c r="AB54" s="12">
        <v>399</v>
      </c>
      <c r="AC54" s="12">
        <v>399</v>
      </c>
      <c r="AD54" s="12">
        <v>399</v>
      </c>
      <c r="AE54" s="12">
        <v>399</v>
      </c>
      <c r="AF54" s="13"/>
      <c r="AG54" s="13"/>
      <c r="AH54" s="13"/>
    </row>
    <row r="55" spans="1:34">
      <c r="A55" s="13" t="s">
        <v>87</v>
      </c>
      <c r="B55" s="13">
        <v>220029640</v>
      </c>
      <c r="C55" s="13" t="s">
        <v>88</v>
      </c>
      <c r="D55" s="13" t="s">
        <v>89</v>
      </c>
      <c r="E55" s="13">
        <v>400454000062</v>
      </c>
      <c r="F55" s="13" t="s">
        <v>90</v>
      </c>
      <c r="G55" s="13" t="s">
        <v>90</v>
      </c>
      <c r="H55" s="13" t="s">
        <v>91</v>
      </c>
      <c r="I55" s="13" t="s">
        <v>92</v>
      </c>
      <c r="J55" s="14" t="s">
        <v>93</v>
      </c>
      <c r="K55" s="13"/>
      <c r="L55" s="13">
        <v>0</v>
      </c>
      <c r="M55" s="13" t="s">
        <v>99</v>
      </c>
      <c r="N55" s="13" t="s">
        <v>91</v>
      </c>
      <c r="O55" s="13">
        <v>0</v>
      </c>
      <c r="P55" s="11">
        <v>295</v>
      </c>
      <c r="Q55" s="12">
        <v>25.4</v>
      </c>
      <c r="R55" s="12">
        <v>1290.981</v>
      </c>
      <c r="S55" s="12">
        <v>0.09</v>
      </c>
      <c r="T55" s="12">
        <v>7.83</v>
      </c>
      <c r="U55" s="12">
        <v>0.12</v>
      </c>
      <c r="V55" s="12">
        <v>0.1</v>
      </c>
      <c r="W55" s="12">
        <v>7.0000000000000007E-2</v>
      </c>
      <c r="X55" s="12">
        <v>399</v>
      </c>
      <c r="Y55" s="12">
        <v>399</v>
      </c>
      <c r="Z55" s="12">
        <v>399</v>
      </c>
      <c r="AA55" s="12">
        <v>399</v>
      </c>
      <c r="AB55" s="12">
        <v>399</v>
      </c>
      <c r="AC55" s="12">
        <v>399</v>
      </c>
      <c r="AD55" s="12">
        <v>399</v>
      </c>
      <c r="AE55" s="12">
        <v>399</v>
      </c>
      <c r="AF55" s="13"/>
      <c r="AG55" s="13"/>
      <c r="AH55" s="13"/>
    </row>
    <row r="56" spans="1:34">
      <c r="A56" s="13" t="s">
        <v>87</v>
      </c>
      <c r="B56" s="13">
        <v>220029640</v>
      </c>
      <c r="C56" s="13" t="s">
        <v>88</v>
      </c>
      <c r="D56" s="13" t="s">
        <v>89</v>
      </c>
      <c r="E56" s="13">
        <v>400454000062</v>
      </c>
      <c r="F56" s="13" t="s">
        <v>90</v>
      </c>
      <c r="G56" s="13" t="s">
        <v>90</v>
      </c>
      <c r="H56" s="13" t="s">
        <v>91</v>
      </c>
      <c r="I56" s="13" t="s">
        <v>92</v>
      </c>
      <c r="J56" s="14" t="s">
        <v>93</v>
      </c>
      <c r="K56" s="13"/>
      <c r="L56" s="13">
        <v>0</v>
      </c>
      <c r="M56" s="13" t="s">
        <v>99</v>
      </c>
      <c r="N56" s="13" t="s">
        <v>91</v>
      </c>
      <c r="O56" s="13">
        <v>0</v>
      </c>
      <c r="P56" s="11">
        <v>300</v>
      </c>
      <c r="Q56" s="12">
        <v>24.52</v>
      </c>
      <c r="R56" s="12">
        <v>1290.9010000000001</v>
      </c>
      <c r="S56" s="12">
        <v>0.09</v>
      </c>
      <c r="T56" s="12">
        <v>7.95</v>
      </c>
      <c r="U56" s="12">
        <v>0.12</v>
      </c>
      <c r="V56" s="12">
        <v>0.1</v>
      </c>
      <c r="W56" s="12">
        <v>7.0000000000000007E-2</v>
      </c>
      <c r="X56" s="12">
        <v>399</v>
      </c>
      <c r="Y56" s="12">
        <v>399</v>
      </c>
      <c r="Z56" s="12">
        <v>399</v>
      </c>
      <c r="AA56" s="12">
        <v>399</v>
      </c>
      <c r="AB56" s="12">
        <v>399</v>
      </c>
      <c r="AC56" s="12">
        <v>399</v>
      </c>
      <c r="AD56" s="12">
        <v>399</v>
      </c>
      <c r="AE56" s="12">
        <v>399</v>
      </c>
      <c r="AF56" s="13"/>
      <c r="AG56" s="13"/>
      <c r="AH56" s="13"/>
    </row>
    <row r="57" spans="1:34">
      <c r="A57" s="13" t="s">
        <v>87</v>
      </c>
      <c r="B57" s="13">
        <v>220029640</v>
      </c>
      <c r="C57" s="13" t="s">
        <v>88</v>
      </c>
      <c r="D57" s="13" t="s">
        <v>89</v>
      </c>
      <c r="E57" s="13">
        <v>400454000062</v>
      </c>
      <c r="F57" s="13" t="s">
        <v>90</v>
      </c>
      <c r="G57" s="13" t="s">
        <v>90</v>
      </c>
      <c r="H57" s="13" t="s">
        <v>91</v>
      </c>
      <c r="I57" s="13" t="s">
        <v>92</v>
      </c>
      <c r="J57" s="14" t="s">
        <v>93</v>
      </c>
      <c r="K57" s="13"/>
      <c r="L57" s="13">
        <v>0</v>
      </c>
      <c r="M57" s="13" t="s">
        <v>99</v>
      </c>
      <c r="N57" s="13" t="s">
        <v>91</v>
      </c>
      <c r="O57" s="13">
        <v>0</v>
      </c>
      <c r="P57" s="11">
        <v>305</v>
      </c>
      <c r="Q57" s="12">
        <v>23.69</v>
      </c>
      <c r="R57" s="12">
        <v>1290.8150000000001</v>
      </c>
      <c r="S57" s="12">
        <v>0.1</v>
      </c>
      <c r="T57" s="12">
        <v>7.99</v>
      </c>
      <c r="U57" s="12">
        <v>0.12</v>
      </c>
      <c r="V57" s="12">
        <v>0.1</v>
      </c>
      <c r="W57" s="12">
        <v>7.0000000000000007E-2</v>
      </c>
      <c r="X57" s="12">
        <v>399</v>
      </c>
      <c r="Y57" s="12">
        <v>399</v>
      </c>
      <c r="Z57" s="12">
        <v>399</v>
      </c>
      <c r="AA57" s="12">
        <v>399</v>
      </c>
      <c r="AB57" s="12">
        <v>399</v>
      </c>
      <c r="AC57" s="12">
        <v>399</v>
      </c>
      <c r="AD57" s="12">
        <v>399</v>
      </c>
      <c r="AE57" s="12">
        <v>399</v>
      </c>
      <c r="AF57" s="13"/>
      <c r="AG57" s="13"/>
      <c r="AH57" s="13"/>
    </row>
    <row r="58" spans="1:34">
      <c r="A58" s="13" t="s">
        <v>87</v>
      </c>
      <c r="B58" s="13">
        <v>220029640</v>
      </c>
      <c r="C58" s="13" t="s">
        <v>88</v>
      </c>
      <c r="D58" s="13" t="s">
        <v>89</v>
      </c>
      <c r="E58" s="13">
        <v>400454000062</v>
      </c>
      <c r="F58" s="13" t="s">
        <v>90</v>
      </c>
      <c r="G58" s="13" t="s">
        <v>90</v>
      </c>
      <c r="H58" s="13" t="s">
        <v>91</v>
      </c>
      <c r="I58" s="13" t="s">
        <v>92</v>
      </c>
      <c r="J58" s="14" t="s">
        <v>93</v>
      </c>
      <c r="K58" s="13"/>
      <c r="L58" s="13">
        <v>0</v>
      </c>
      <c r="M58" s="13" t="s">
        <v>99</v>
      </c>
      <c r="N58" s="13" t="s">
        <v>91</v>
      </c>
      <c r="O58" s="13">
        <v>0</v>
      </c>
      <c r="P58" s="11">
        <v>310</v>
      </c>
      <c r="Q58" s="12">
        <v>22.87</v>
      </c>
      <c r="R58" s="12">
        <v>1290.7370000000001</v>
      </c>
      <c r="S58" s="12">
        <v>0.1</v>
      </c>
      <c r="T58" s="12">
        <v>8</v>
      </c>
      <c r="U58" s="12">
        <v>0.12</v>
      </c>
      <c r="V58" s="12">
        <v>0.1</v>
      </c>
      <c r="W58" s="12">
        <v>7.0000000000000007E-2</v>
      </c>
      <c r="X58" s="12">
        <v>399</v>
      </c>
      <c r="Y58" s="12">
        <v>399</v>
      </c>
      <c r="Z58" s="12">
        <v>399</v>
      </c>
      <c r="AA58" s="12">
        <v>399</v>
      </c>
      <c r="AB58" s="12">
        <v>399</v>
      </c>
      <c r="AC58" s="12">
        <v>399</v>
      </c>
      <c r="AD58" s="12">
        <v>399</v>
      </c>
      <c r="AE58" s="12">
        <v>399</v>
      </c>
      <c r="AF58" s="13"/>
      <c r="AG58" s="13"/>
      <c r="AH58" s="13"/>
    </row>
    <row r="59" spans="1:34">
      <c r="A59" s="13" t="s">
        <v>87</v>
      </c>
      <c r="B59" s="13">
        <v>220029640</v>
      </c>
      <c r="C59" s="13" t="s">
        <v>88</v>
      </c>
      <c r="D59" s="13" t="s">
        <v>89</v>
      </c>
      <c r="E59" s="13">
        <v>400454000062</v>
      </c>
      <c r="F59" s="13" t="s">
        <v>90</v>
      </c>
      <c r="G59" s="13" t="s">
        <v>90</v>
      </c>
      <c r="H59" s="13" t="s">
        <v>91</v>
      </c>
      <c r="I59" s="13" t="s">
        <v>92</v>
      </c>
      <c r="J59" s="14" t="s">
        <v>93</v>
      </c>
      <c r="K59" s="13"/>
      <c r="L59" s="13">
        <v>0</v>
      </c>
      <c r="M59" s="13" t="s">
        <v>99</v>
      </c>
      <c r="N59" s="13" t="s">
        <v>91</v>
      </c>
      <c r="O59" s="13">
        <v>0</v>
      </c>
      <c r="P59" s="11">
        <v>315</v>
      </c>
      <c r="Q59" s="12">
        <v>22.03</v>
      </c>
      <c r="R59" s="12">
        <v>1290.6579999999999</v>
      </c>
      <c r="S59" s="12">
        <v>0.09</v>
      </c>
      <c r="T59" s="12">
        <v>8.0500000000000007</v>
      </c>
      <c r="U59" s="12">
        <v>0.12</v>
      </c>
      <c r="V59" s="12">
        <v>0.1</v>
      </c>
      <c r="W59" s="12">
        <v>7.0000000000000007E-2</v>
      </c>
      <c r="X59" s="12">
        <v>399</v>
      </c>
      <c r="Y59" s="12">
        <v>399</v>
      </c>
      <c r="Z59" s="12">
        <v>399</v>
      </c>
      <c r="AA59" s="12">
        <v>399</v>
      </c>
      <c r="AB59" s="12">
        <v>399</v>
      </c>
      <c r="AC59" s="12">
        <v>399</v>
      </c>
      <c r="AD59" s="12">
        <v>399</v>
      </c>
      <c r="AE59" s="12">
        <v>399</v>
      </c>
      <c r="AF59" s="13"/>
      <c r="AG59" s="13"/>
      <c r="AH59" s="13"/>
    </row>
    <row r="60" spans="1:34">
      <c r="A60" s="13" t="s">
        <v>87</v>
      </c>
      <c r="B60" s="13">
        <v>220029640</v>
      </c>
      <c r="C60" s="13" t="s">
        <v>88</v>
      </c>
      <c r="D60" s="13" t="s">
        <v>89</v>
      </c>
      <c r="E60" s="13">
        <v>400454000062</v>
      </c>
      <c r="F60" s="13" t="s">
        <v>90</v>
      </c>
      <c r="G60" s="13" t="s">
        <v>90</v>
      </c>
      <c r="H60" s="13" t="s">
        <v>91</v>
      </c>
      <c r="I60" s="13" t="s">
        <v>92</v>
      </c>
      <c r="J60" s="14" t="s">
        <v>93</v>
      </c>
      <c r="K60" s="13"/>
      <c r="L60" s="13">
        <v>0</v>
      </c>
      <c r="M60" s="13" t="s">
        <v>99</v>
      </c>
      <c r="N60" s="13" t="s">
        <v>91</v>
      </c>
      <c r="O60" s="13">
        <v>0</v>
      </c>
      <c r="P60" s="11">
        <v>320</v>
      </c>
      <c r="Q60" s="12">
        <v>21.19</v>
      </c>
      <c r="R60" s="12">
        <v>1290.5809999999999</v>
      </c>
      <c r="S60" s="12">
        <v>0.09</v>
      </c>
      <c r="T60" s="12">
        <v>8.09</v>
      </c>
      <c r="U60" s="12">
        <v>0.12</v>
      </c>
      <c r="V60" s="12">
        <v>0.1</v>
      </c>
      <c r="W60" s="12">
        <v>7.0000000000000007E-2</v>
      </c>
      <c r="X60" s="12">
        <v>399</v>
      </c>
      <c r="Y60" s="12">
        <v>399</v>
      </c>
      <c r="Z60" s="12">
        <v>399</v>
      </c>
      <c r="AA60" s="12">
        <v>399</v>
      </c>
      <c r="AB60" s="12">
        <v>399</v>
      </c>
      <c r="AC60" s="12">
        <v>399</v>
      </c>
      <c r="AD60" s="12">
        <v>399</v>
      </c>
      <c r="AE60" s="12">
        <v>399</v>
      </c>
      <c r="AF60" s="13"/>
      <c r="AG60" s="13"/>
      <c r="AH60" s="13"/>
    </row>
    <row r="61" spans="1:34">
      <c r="A61" s="13" t="s">
        <v>87</v>
      </c>
      <c r="B61" s="13">
        <v>220029640</v>
      </c>
      <c r="C61" s="13" t="s">
        <v>88</v>
      </c>
      <c r="D61" s="13" t="s">
        <v>89</v>
      </c>
      <c r="E61" s="13">
        <v>400454000062</v>
      </c>
      <c r="F61" s="13" t="s">
        <v>90</v>
      </c>
      <c r="G61" s="13" t="s">
        <v>90</v>
      </c>
      <c r="H61" s="13" t="s">
        <v>91</v>
      </c>
      <c r="I61" s="13" t="s">
        <v>92</v>
      </c>
      <c r="J61" s="14" t="s">
        <v>93</v>
      </c>
      <c r="K61" s="13"/>
      <c r="L61" s="13">
        <v>0</v>
      </c>
      <c r="M61" s="13" t="s">
        <v>99</v>
      </c>
      <c r="N61" s="13" t="s">
        <v>91</v>
      </c>
      <c r="O61" s="13">
        <v>0</v>
      </c>
      <c r="P61" s="11">
        <v>325</v>
      </c>
      <c r="Q61" s="12">
        <v>20.36</v>
      </c>
      <c r="R61" s="12">
        <v>1290.5</v>
      </c>
      <c r="S61" s="12">
        <v>0.1</v>
      </c>
      <c r="T61" s="12">
        <v>8.09</v>
      </c>
      <c r="U61" s="12">
        <v>0.12</v>
      </c>
      <c r="V61" s="12">
        <v>0.1</v>
      </c>
      <c r="W61" s="12">
        <v>7.0000000000000007E-2</v>
      </c>
      <c r="X61" s="12">
        <v>399</v>
      </c>
      <c r="Y61" s="12">
        <v>399</v>
      </c>
      <c r="Z61" s="12">
        <v>399</v>
      </c>
      <c r="AA61" s="12">
        <v>399</v>
      </c>
      <c r="AB61" s="12">
        <v>399</v>
      </c>
      <c r="AC61" s="12">
        <v>399</v>
      </c>
      <c r="AD61" s="12">
        <v>399</v>
      </c>
      <c r="AE61" s="12">
        <v>399</v>
      </c>
      <c r="AF61" s="13"/>
      <c r="AG61" s="13"/>
      <c r="AH61" s="13"/>
    </row>
    <row r="62" spans="1:34">
      <c r="A62" s="13" t="s">
        <v>87</v>
      </c>
      <c r="B62" s="13">
        <v>220029640</v>
      </c>
      <c r="C62" s="13" t="s">
        <v>88</v>
      </c>
      <c r="D62" s="13" t="s">
        <v>89</v>
      </c>
      <c r="E62" s="13">
        <v>400454000062</v>
      </c>
      <c r="F62" s="13" t="s">
        <v>90</v>
      </c>
      <c r="G62" s="13" t="s">
        <v>90</v>
      </c>
      <c r="H62" s="13" t="s">
        <v>91</v>
      </c>
      <c r="I62" s="13" t="s">
        <v>92</v>
      </c>
      <c r="J62" s="14" t="s">
        <v>93</v>
      </c>
      <c r="K62" s="13"/>
      <c r="L62" s="13">
        <v>0</v>
      </c>
      <c r="M62" s="13" t="s">
        <v>99</v>
      </c>
      <c r="N62" s="13" t="s">
        <v>91</v>
      </c>
      <c r="O62" s="13">
        <v>0</v>
      </c>
      <c r="P62" s="11">
        <v>330</v>
      </c>
      <c r="Q62" s="12">
        <v>19.53</v>
      </c>
      <c r="R62" s="12">
        <v>1290.422</v>
      </c>
      <c r="S62" s="12">
        <v>0.09</v>
      </c>
      <c r="T62" s="12">
        <v>8.17</v>
      </c>
      <c r="U62" s="12">
        <v>0.12</v>
      </c>
      <c r="V62" s="12">
        <v>0.1</v>
      </c>
      <c r="W62" s="12">
        <v>7.0000000000000007E-2</v>
      </c>
      <c r="X62" s="12">
        <v>399</v>
      </c>
      <c r="Y62" s="12">
        <v>399</v>
      </c>
      <c r="Z62" s="12">
        <v>399</v>
      </c>
      <c r="AA62" s="12">
        <v>399</v>
      </c>
      <c r="AB62" s="12">
        <v>399</v>
      </c>
      <c r="AC62" s="12">
        <v>399</v>
      </c>
      <c r="AD62" s="12">
        <v>399</v>
      </c>
      <c r="AE62" s="12">
        <v>399</v>
      </c>
      <c r="AF62" s="13"/>
      <c r="AG62" s="13"/>
      <c r="AH62" s="13"/>
    </row>
    <row r="63" spans="1:34">
      <c r="A63" s="13" t="s">
        <v>87</v>
      </c>
      <c r="B63" s="13">
        <v>220029640</v>
      </c>
      <c r="C63" s="13" t="s">
        <v>88</v>
      </c>
      <c r="D63" s="13" t="s">
        <v>89</v>
      </c>
      <c r="E63" s="13">
        <v>400454000062</v>
      </c>
      <c r="F63" s="13" t="s">
        <v>90</v>
      </c>
      <c r="G63" s="13" t="s">
        <v>90</v>
      </c>
      <c r="H63" s="13" t="s">
        <v>91</v>
      </c>
      <c r="I63" s="13" t="s">
        <v>92</v>
      </c>
      <c r="J63" s="14" t="s">
        <v>93</v>
      </c>
      <c r="K63" s="13"/>
      <c r="L63" s="13">
        <v>0</v>
      </c>
      <c r="M63" s="13" t="s">
        <v>99</v>
      </c>
      <c r="N63" s="13" t="s">
        <v>91</v>
      </c>
      <c r="O63" s="13">
        <v>0</v>
      </c>
      <c r="P63" s="11">
        <v>335</v>
      </c>
      <c r="Q63" s="12">
        <v>18.68</v>
      </c>
      <c r="R63" s="12">
        <v>1290.3420000000001</v>
      </c>
      <c r="S63" s="12">
        <v>0.09</v>
      </c>
      <c r="T63" s="12">
        <v>8.1999999999999993</v>
      </c>
      <c r="U63" s="12">
        <v>0.12</v>
      </c>
      <c r="V63" s="12">
        <v>0.1</v>
      </c>
      <c r="W63" s="12">
        <v>7.0000000000000007E-2</v>
      </c>
      <c r="X63" s="12">
        <v>399</v>
      </c>
      <c r="Y63" s="12">
        <v>399</v>
      </c>
      <c r="Z63" s="12">
        <v>399</v>
      </c>
      <c r="AA63" s="12">
        <v>399</v>
      </c>
      <c r="AB63" s="12">
        <v>399</v>
      </c>
      <c r="AC63" s="12">
        <v>399</v>
      </c>
      <c r="AD63" s="12">
        <v>399</v>
      </c>
      <c r="AE63" s="12">
        <v>399</v>
      </c>
      <c r="AF63" s="13"/>
      <c r="AG63" s="13"/>
      <c r="AH63" s="13"/>
    </row>
    <row r="64" spans="1:34">
      <c r="A64" s="13" t="s">
        <v>87</v>
      </c>
      <c r="B64" s="13">
        <v>220029640</v>
      </c>
      <c r="C64" s="13" t="s">
        <v>88</v>
      </c>
      <c r="D64" s="13" t="s">
        <v>89</v>
      </c>
      <c r="E64" s="13">
        <v>400454000062</v>
      </c>
      <c r="F64" s="13" t="s">
        <v>90</v>
      </c>
      <c r="G64" s="13" t="s">
        <v>90</v>
      </c>
      <c r="H64" s="13" t="s">
        <v>91</v>
      </c>
      <c r="I64" s="13" t="s">
        <v>92</v>
      </c>
      <c r="J64" s="14" t="s">
        <v>93</v>
      </c>
      <c r="K64" s="13"/>
      <c r="L64" s="13">
        <v>0</v>
      </c>
      <c r="M64" s="13" t="s">
        <v>99</v>
      </c>
      <c r="N64" s="13" t="s">
        <v>91</v>
      </c>
      <c r="O64" s="13">
        <v>0</v>
      </c>
      <c r="P64" s="11">
        <v>340</v>
      </c>
      <c r="Q64" s="12">
        <v>17.86</v>
      </c>
      <c r="R64" s="12">
        <v>1290.2660000000001</v>
      </c>
      <c r="S64" s="12">
        <v>0.09</v>
      </c>
      <c r="T64" s="12">
        <v>8.2100000000000009</v>
      </c>
      <c r="U64" s="12">
        <v>0.12</v>
      </c>
      <c r="V64" s="12">
        <v>0.1</v>
      </c>
      <c r="W64" s="12">
        <v>7.0000000000000007E-2</v>
      </c>
      <c r="X64" s="12">
        <v>399</v>
      </c>
      <c r="Y64" s="12">
        <v>399</v>
      </c>
      <c r="Z64" s="12">
        <v>399</v>
      </c>
      <c r="AA64" s="12">
        <v>399</v>
      </c>
      <c r="AB64" s="12">
        <v>399</v>
      </c>
      <c r="AC64" s="12">
        <v>399</v>
      </c>
      <c r="AD64" s="12">
        <v>399</v>
      </c>
      <c r="AE64" s="12">
        <v>399</v>
      </c>
      <c r="AF64" s="13"/>
      <c r="AG64" s="13"/>
      <c r="AH64" s="13"/>
    </row>
    <row r="65" spans="1:34">
      <c r="A65" s="13" t="s">
        <v>87</v>
      </c>
      <c r="B65" s="13">
        <v>220029640</v>
      </c>
      <c r="C65" s="13" t="s">
        <v>88</v>
      </c>
      <c r="D65" s="13" t="s">
        <v>89</v>
      </c>
      <c r="E65" s="13">
        <v>400454000062</v>
      </c>
      <c r="F65" s="13" t="s">
        <v>90</v>
      </c>
      <c r="G65" s="13" t="s">
        <v>90</v>
      </c>
      <c r="H65" s="13" t="s">
        <v>91</v>
      </c>
      <c r="I65" s="13" t="s">
        <v>92</v>
      </c>
      <c r="J65" s="14" t="s">
        <v>93</v>
      </c>
      <c r="K65" s="13"/>
      <c r="L65" s="13">
        <v>0</v>
      </c>
      <c r="M65" s="13" t="s">
        <v>99</v>
      </c>
      <c r="N65" s="13" t="s">
        <v>91</v>
      </c>
      <c r="O65" s="13">
        <v>0</v>
      </c>
      <c r="P65" s="11">
        <v>345</v>
      </c>
      <c r="Q65" s="11">
        <v>17.010000000000002</v>
      </c>
      <c r="R65" s="11">
        <v>1290.1869999999999</v>
      </c>
      <c r="S65" s="11">
        <v>0.09</v>
      </c>
      <c r="T65" s="11">
        <v>8.19</v>
      </c>
      <c r="U65" s="11">
        <v>0.12</v>
      </c>
      <c r="V65" s="11">
        <v>0.1</v>
      </c>
      <c r="W65" s="11">
        <v>7.0000000000000007E-2</v>
      </c>
      <c r="X65" s="11">
        <v>399</v>
      </c>
      <c r="Y65" s="11">
        <v>399</v>
      </c>
      <c r="Z65" s="11">
        <v>399</v>
      </c>
      <c r="AA65" s="11">
        <v>399</v>
      </c>
      <c r="AB65" s="11">
        <v>399</v>
      </c>
      <c r="AC65" s="11">
        <v>399</v>
      </c>
      <c r="AD65" s="11">
        <v>399</v>
      </c>
      <c r="AE65" s="11">
        <v>399</v>
      </c>
      <c r="AF65" s="13"/>
      <c r="AG65" s="13"/>
      <c r="AH65" s="13"/>
    </row>
    <row r="66" spans="1:34">
      <c r="A66" s="13" t="s">
        <v>87</v>
      </c>
      <c r="B66" s="13">
        <v>220029640</v>
      </c>
      <c r="C66" s="13" t="s">
        <v>88</v>
      </c>
      <c r="D66" s="13" t="s">
        <v>89</v>
      </c>
      <c r="E66" s="13">
        <v>400454000062</v>
      </c>
      <c r="F66" s="13" t="s">
        <v>90</v>
      </c>
      <c r="G66" s="13" t="s">
        <v>90</v>
      </c>
      <c r="H66" s="13" t="s">
        <v>91</v>
      </c>
      <c r="I66" s="13" t="s">
        <v>92</v>
      </c>
      <c r="J66" s="14" t="s">
        <v>93</v>
      </c>
      <c r="K66" s="13"/>
      <c r="L66" s="13">
        <v>0</v>
      </c>
      <c r="M66" s="13" t="s">
        <v>99</v>
      </c>
      <c r="N66" s="13" t="s">
        <v>91</v>
      </c>
      <c r="O66" s="13">
        <v>0</v>
      </c>
      <c r="P66" s="11">
        <v>350</v>
      </c>
      <c r="Q66" s="11">
        <v>16.22</v>
      </c>
      <c r="R66" s="11">
        <v>1290.1120000000001</v>
      </c>
      <c r="S66" s="11">
        <v>0.09</v>
      </c>
      <c r="T66" s="11">
        <v>8.2899999999999991</v>
      </c>
      <c r="U66" s="11">
        <v>0.12</v>
      </c>
      <c r="V66" s="11">
        <v>0.1</v>
      </c>
      <c r="W66" s="11">
        <v>7.0000000000000007E-2</v>
      </c>
      <c r="X66" s="11">
        <v>399</v>
      </c>
      <c r="Y66" s="11">
        <v>399</v>
      </c>
      <c r="Z66" s="11">
        <v>399</v>
      </c>
      <c r="AA66" s="11">
        <v>399</v>
      </c>
      <c r="AB66" s="11">
        <v>399</v>
      </c>
      <c r="AC66" s="11">
        <v>399</v>
      </c>
      <c r="AD66" s="11">
        <v>399</v>
      </c>
      <c r="AE66" s="11">
        <v>399</v>
      </c>
      <c r="AF66" s="13"/>
      <c r="AG66" s="13"/>
      <c r="AH66" s="13"/>
    </row>
    <row r="67" spans="1:34">
      <c r="A67" s="13" t="s">
        <v>87</v>
      </c>
      <c r="B67" s="13">
        <v>220029640</v>
      </c>
      <c r="C67" s="13" t="s">
        <v>88</v>
      </c>
      <c r="D67" s="13" t="s">
        <v>89</v>
      </c>
      <c r="E67" s="13">
        <v>400454000062</v>
      </c>
      <c r="F67" s="13" t="s">
        <v>90</v>
      </c>
      <c r="G67" s="13" t="s">
        <v>90</v>
      </c>
      <c r="H67" s="13" t="s">
        <v>91</v>
      </c>
      <c r="I67" s="13" t="s">
        <v>92</v>
      </c>
      <c r="J67" s="14" t="s">
        <v>93</v>
      </c>
      <c r="K67" s="13"/>
      <c r="L67" s="13">
        <v>0</v>
      </c>
      <c r="M67" s="13" t="s">
        <v>99</v>
      </c>
      <c r="N67" s="13" t="s">
        <v>91</v>
      </c>
      <c r="O67" s="13">
        <v>0</v>
      </c>
      <c r="P67" s="11">
        <v>355</v>
      </c>
      <c r="Q67" s="11">
        <v>15.38</v>
      </c>
      <c r="R67" s="11">
        <v>1290.037</v>
      </c>
      <c r="S67" s="11">
        <v>0.09</v>
      </c>
      <c r="T67" s="11">
        <v>8.3800000000000008</v>
      </c>
      <c r="U67" s="11">
        <v>0.12</v>
      </c>
      <c r="V67" s="11">
        <v>0.1</v>
      </c>
      <c r="W67" s="11">
        <v>7.0000000000000007E-2</v>
      </c>
      <c r="X67" s="11">
        <v>399</v>
      </c>
      <c r="Y67" s="11">
        <v>399</v>
      </c>
      <c r="Z67" s="11">
        <v>399</v>
      </c>
      <c r="AA67" s="11">
        <v>399</v>
      </c>
      <c r="AB67" s="11">
        <v>399</v>
      </c>
      <c r="AC67" s="11">
        <v>399</v>
      </c>
      <c r="AD67" s="11">
        <v>399</v>
      </c>
      <c r="AE67" s="11">
        <v>399</v>
      </c>
      <c r="AF67" s="13"/>
      <c r="AG67" s="13"/>
      <c r="AH67" s="13"/>
    </row>
    <row r="68" spans="1:34">
      <c r="A68" s="13" t="s">
        <v>87</v>
      </c>
      <c r="B68" s="13">
        <v>220029640</v>
      </c>
      <c r="C68" s="13" t="s">
        <v>88</v>
      </c>
      <c r="D68" s="13" t="s">
        <v>89</v>
      </c>
      <c r="E68" s="13">
        <v>400454000062</v>
      </c>
      <c r="F68" s="13" t="s">
        <v>90</v>
      </c>
      <c r="G68" s="13" t="s">
        <v>90</v>
      </c>
      <c r="H68" s="13" t="s">
        <v>91</v>
      </c>
      <c r="I68" s="13" t="s">
        <v>92</v>
      </c>
      <c r="J68" s="14" t="s">
        <v>93</v>
      </c>
      <c r="K68" s="13"/>
      <c r="L68" s="13">
        <v>0</v>
      </c>
      <c r="M68" s="13" t="s">
        <v>99</v>
      </c>
      <c r="N68" s="13" t="s">
        <v>91</v>
      </c>
      <c r="O68" s="13">
        <v>0</v>
      </c>
      <c r="P68" s="11">
        <v>360</v>
      </c>
      <c r="Q68" s="11">
        <v>14.57</v>
      </c>
      <c r="R68" s="11">
        <v>1289.9590000000001</v>
      </c>
      <c r="S68" s="11">
        <v>0.1</v>
      </c>
      <c r="T68" s="11">
        <v>8.4</v>
      </c>
      <c r="U68" s="11">
        <v>0.12</v>
      </c>
      <c r="V68" s="11">
        <v>0.1</v>
      </c>
      <c r="W68" s="11">
        <v>7.0000000000000007E-2</v>
      </c>
      <c r="X68" s="11">
        <v>399</v>
      </c>
      <c r="Y68" s="11">
        <v>399</v>
      </c>
      <c r="Z68" s="11">
        <v>399</v>
      </c>
      <c r="AA68" s="11">
        <v>399</v>
      </c>
      <c r="AB68" s="11">
        <v>399</v>
      </c>
      <c r="AC68" s="11">
        <v>399</v>
      </c>
      <c r="AD68" s="11">
        <v>399</v>
      </c>
      <c r="AE68" s="11">
        <v>399</v>
      </c>
      <c r="AF68" s="13"/>
      <c r="AG68" s="13"/>
      <c r="AH68" s="13"/>
    </row>
    <row r="69" spans="1:34">
      <c r="A69" s="13" t="s">
        <v>87</v>
      </c>
      <c r="B69" s="13">
        <v>220029640</v>
      </c>
      <c r="C69" s="13" t="s">
        <v>88</v>
      </c>
      <c r="D69" s="13" t="s">
        <v>89</v>
      </c>
      <c r="E69" s="13">
        <v>400454000062</v>
      </c>
      <c r="F69" s="13" t="s">
        <v>90</v>
      </c>
      <c r="G69" s="13" t="s">
        <v>90</v>
      </c>
      <c r="H69" s="13" t="s">
        <v>91</v>
      </c>
      <c r="I69" s="13" t="s">
        <v>92</v>
      </c>
      <c r="J69" s="14" t="s">
        <v>93</v>
      </c>
      <c r="K69" s="13"/>
      <c r="L69" s="13">
        <v>0</v>
      </c>
      <c r="M69" s="13" t="s">
        <v>99</v>
      </c>
      <c r="N69" s="13" t="s">
        <v>91</v>
      </c>
      <c r="O69" s="13">
        <v>0</v>
      </c>
      <c r="P69" s="11">
        <v>365</v>
      </c>
      <c r="Q69" s="11">
        <v>13.78</v>
      </c>
      <c r="R69" s="11">
        <v>1289.883</v>
      </c>
      <c r="S69" s="11">
        <v>0.1</v>
      </c>
      <c r="T69" s="11">
        <v>8.42</v>
      </c>
      <c r="U69" s="11">
        <v>0.12</v>
      </c>
      <c r="V69" s="11">
        <v>0.1</v>
      </c>
      <c r="W69" s="11">
        <v>7.0000000000000007E-2</v>
      </c>
      <c r="X69" s="11">
        <v>399</v>
      </c>
      <c r="Y69" s="11">
        <v>399</v>
      </c>
      <c r="Z69" s="11">
        <v>399</v>
      </c>
      <c r="AA69" s="11">
        <v>399</v>
      </c>
      <c r="AB69" s="11">
        <v>399</v>
      </c>
      <c r="AC69" s="11">
        <v>399</v>
      </c>
      <c r="AD69" s="11">
        <v>399</v>
      </c>
      <c r="AE69" s="11">
        <v>399</v>
      </c>
      <c r="AF69" s="13"/>
      <c r="AG69" s="13"/>
      <c r="AH69" s="13"/>
    </row>
    <row r="70" spans="1:34">
      <c r="A70" s="13" t="s">
        <v>87</v>
      </c>
      <c r="B70" s="13">
        <v>220029640</v>
      </c>
      <c r="C70" s="13" t="s">
        <v>88</v>
      </c>
      <c r="D70" s="13" t="s">
        <v>89</v>
      </c>
      <c r="E70" s="13">
        <v>400454000062</v>
      </c>
      <c r="F70" s="13" t="s">
        <v>90</v>
      </c>
      <c r="G70" s="13" t="s">
        <v>90</v>
      </c>
      <c r="H70" s="13" t="s">
        <v>91</v>
      </c>
      <c r="I70" s="13" t="s">
        <v>92</v>
      </c>
      <c r="J70" s="14" t="s">
        <v>93</v>
      </c>
      <c r="K70" s="13"/>
      <c r="L70" s="13">
        <v>0</v>
      </c>
      <c r="M70" s="13" t="s">
        <v>99</v>
      </c>
      <c r="N70" s="13" t="s">
        <v>91</v>
      </c>
      <c r="O70" s="13">
        <v>0</v>
      </c>
      <c r="P70" s="11">
        <v>370</v>
      </c>
      <c r="Q70" s="11">
        <v>12.93</v>
      </c>
      <c r="R70" s="11">
        <v>1289.806</v>
      </c>
      <c r="S70" s="11">
        <v>0.09</v>
      </c>
      <c r="T70" s="11">
        <v>8.48</v>
      </c>
      <c r="U70" s="11">
        <v>0.12</v>
      </c>
      <c r="V70" s="11">
        <v>0.1</v>
      </c>
      <c r="W70" s="11">
        <v>7.0000000000000007E-2</v>
      </c>
      <c r="X70" s="11">
        <v>399</v>
      </c>
      <c r="Y70" s="11">
        <v>399</v>
      </c>
      <c r="Z70" s="11">
        <v>399</v>
      </c>
      <c r="AA70" s="11">
        <v>399</v>
      </c>
      <c r="AB70" s="11">
        <v>399</v>
      </c>
      <c r="AC70" s="11">
        <v>399</v>
      </c>
      <c r="AD70" s="11">
        <v>399</v>
      </c>
      <c r="AE70" s="11">
        <v>399</v>
      </c>
      <c r="AF70" s="13"/>
      <c r="AG70" s="13"/>
      <c r="AH70" s="13"/>
    </row>
    <row r="71" spans="1:34">
      <c r="A71" s="13" t="s">
        <v>87</v>
      </c>
      <c r="B71" s="13">
        <v>220029640</v>
      </c>
      <c r="C71" s="13" t="s">
        <v>88</v>
      </c>
      <c r="D71" s="13" t="s">
        <v>89</v>
      </c>
      <c r="E71" s="13">
        <v>400454000062</v>
      </c>
      <c r="F71" s="13" t="s">
        <v>90</v>
      </c>
      <c r="G71" s="13" t="s">
        <v>90</v>
      </c>
      <c r="H71" s="13" t="s">
        <v>91</v>
      </c>
      <c r="I71" s="13" t="s">
        <v>92</v>
      </c>
      <c r="J71" s="14" t="s">
        <v>93</v>
      </c>
      <c r="K71" s="13"/>
      <c r="L71" s="13">
        <v>0</v>
      </c>
      <c r="M71" s="13" t="s">
        <v>99</v>
      </c>
      <c r="N71" s="13" t="s">
        <v>91</v>
      </c>
      <c r="O71" s="13">
        <v>0</v>
      </c>
      <c r="P71" s="11">
        <v>375</v>
      </c>
      <c r="Q71" s="11">
        <v>12.11</v>
      </c>
      <c r="R71" s="11">
        <v>1289.7280000000001</v>
      </c>
      <c r="S71" s="11">
        <v>0.1</v>
      </c>
      <c r="T71" s="11">
        <v>8.48</v>
      </c>
      <c r="U71" s="11">
        <v>0.12</v>
      </c>
      <c r="V71" s="11">
        <v>0.1</v>
      </c>
      <c r="W71" s="11">
        <v>7.0000000000000007E-2</v>
      </c>
      <c r="X71" s="11">
        <v>399</v>
      </c>
      <c r="Y71" s="11">
        <v>399</v>
      </c>
      <c r="Z71" s="11">
        <v>399</v>
      </c>
      <c r="AA71" s="11">
        <v>399</v>
      </c>
      <c r="AB71" s="11">
        <v>399</v>
      </c>
      <c r="AC71" s="11">
        <v>399</v>
      </c>
      <c r="AD71" s="11">
        <v>399</v>
      </c>
      <c r="AE71" s="11">
        <v>399</v>
      </c>
      <c r="AF71" s="13"/>
      <c r="AG71" s="13"/>
      <c r="AH71" s="13"/>
    </row>
    <row r="72" spans="1:34">
      <c r="A72" s="13" t="s">
        <v>87</v>
      </c>
      <c r="B72" s="13">
        <v>220029640</v>
      </c>
      <c r="C72" s="13" t="s">
        <v>88</v>
      </c>
      <c r="D72" s="13" t="s">
        <v>89</v>
      </c>
      <c r="E72" s="13">
        <v>400454000062</v>
      </c>
      <c r="F72" s="13" t="s">
        <v>90</v>
      </c>
      <c r="G72" s="13" t="s">
        <v>90</v>
      </c>
      <c r="H72" s="13" t="s">
        <v>91</v>
      </c>
      <c r="I72" s="13" t="s">
        <v>92</v>
      </c>
      <c r="J72" s="14" t="s">
        <v>93</v>
      </c>
      <c r="K72" s="13"/>
      <c r="L72" s="13">
        <v>0</v>
      </c>
      <c r="M72" s="13" t="s">
        <v>99</v>
      </c>
      <c r="N72" s="13" t="s">
        <v>91</v>
      </c>
      <c r="O72" s="13">
        <v>0</v>
      </c>
      <c r="P72" s="11">
        <v>380</v>
      </c>
      <c r="Q72" s="11">
        <v>11.26</v>
      </c>
      <c r="R72" s="11">
        <v>1289.652</v>
      </c>
      <c r="S72" s="11">
        <v>0.09</v>
      </c>
      <c r="T72" s="11">
        <v>8.5500000000000007</v>
      </c>
      <c r="U72" s="11">
        <v>0.12</v>
      </c>
      <c r="V72" s="11">
        <v>0.1</v>
      </c>
      <c r="W72" s="11">
        <v>7.0000000000000007E-2</v>
      </c>
      <c r="X72" s="11">
        <v>399</v>
      </c>
      <c r="Y72" s="11">
        <v>399</v>
      </c>
      <c r="Z72" s="11">
        <v>399</v>
      </c>
      <c r="AA72" s="11">
        <v>399</v>
      </c>
      <c r="AB72" s="11">
        <v>399</v>
      </c>
      <c r="AC72" s="11">
        <v>399</v>
      </c>
      <c r="AD72" s="11">
        <v>399</v>
      </c>
      <c r="AE72" s="11">
        <v>399</v>
      </c>
      <c r="AF72" s="13"/>
      <c r="AG72" s="13"/>
      <c r="AH72" s="13"/>
    </row>
    <row r="73" spans="1:34">
      <c r="A73" s="13" t="s">
        <v>87</v>
      </c>
      <c r="B73" s="13">
        <v>220029640</v>
      </c>
      <c r="C73" s="13" t="s">
        <v>88</v>
      </c>
      <c r="D73" s="13" t="s">
        <v>89</v>
      </c>
      <c r="E73" s="13">
        <v>400454000062</v>
      </c>
      <c r="F73" s="13" t="s">
        <v>90</v>
      </c>
      <c r="G73" s="13" t="s">
        <v>90</v>
      </c>
      <c r="H73" s="13" t="s">
        <v>91</v>
      </c>
      <c r="I73" s="13" t="s">
        <v>92</v>
      </c>
      <c r="J73" s="14" t="s">
        <v>93</v>
      </c>
      <c r="K73" s="13"/>
      <c r="L73" s="13">
        <v>0</v>
      </c>
      <c r="M73" s="13" t="s">
        <v>99</v>
      </c>
      <c r="N73" s="13" t="s">
        <v>91</v>
      </c>
      <c r="O73" s="13">
        <v>0</v>
      </c>
      <c r="P73" s="11">
        <v>385</v>
      </c>
      <c r="Q73" s="11">
        <v>10.44</v>
      </c>
      <c r="R73" s="11">
        <v>1289.569</v>
      </c>
      <c r="S73" s="11">
        <v>0.1</v>
      </c>
      <c r="T73" s="11">
        <v>8.6</v>
      </c>
      <c r="U73" s="11">
        <v>0.12</v>
      </c>
      <c r="V73" s="11">
        <v>0.1</v>
      </c>
      <c r="W73" s="11">
        <v>7.0000000000000007E-2</v>
      </c>
      <c r="X73" s="11">
        <v>399</v>
      </c>
      <c r="Y73" s="11">
        <v>399</v>
      </c>
      <c r="Z73" s="11">
        <v>399</v>
      </c>
      <c r="AA73" s="11">
        <v>399</v>
      </c>
      <c r="AB73" s="11">
        <v>399</v>
      </c>
      <c r="AC73" s="11">
        <v>399</v>
      </c>
      <c r="AD73" s="11">
        <v>399</v>
      </c>
      <c r="AE73" s="11">
        <v>399</v>
      </c>
      <c r="AF73" s="13"/>
      <c r="AG73" s="13"/>
      <c r="AH73" s="13"/>
    </row>
    <row r="74" spans="1:34">
      <c r="A74" s="13" t="s">
        <v>87</v>
      </c>
      <c r="B74" s="13">
        <v>220029640</v>
      </c>
      <c r="C74" s="13" t="s">
        <v>88</v>
      </c>
      <c r="D74" s="13" t="s">
        <v>89</v>
      </c>
      <c r="E74" s="13">
        <v>400454000062</v>
      </c>
      <c r="F74" s="13" t="s">
        <v>90</v>
      </c>
      <c r="G74" s="13" t="s">
        <v>90</v>
      </c>
      <c r="H74" s="13" t="s">
        <v>91</v>
      </c>
      <c r="I74" s="13" t="s">
        <v>92</v>
      </c>
      <c r="J74" s="14" t="s">
        <v>93</v>
      </c>
      <c r="K74" s="13"/>
      <c r="L74" s="13">
        <v>0</v>
      </c>
      <c r="M74" s="13" t="s">
        <v>99</v>
      </c>
      <c r="N74" s="13" t="s">
        <v>91</v>
      </c>
      <c r="O74" s="13">
        <v>0</v>
      </c>
      <c r="P74" s="11">
        <v>390</v>
      </c>
      <c r="Q74" s="11">
        <v>9.61</v>
      </c>
      <c r="R74" s="11">
        <v>1289.491</v>
      </c>
      <c r="S74" s="11">
        <v>0.09</v>
      </c>
      <c r="T74" s="11">
        <v>8.67</v>
      </c>
      <c r="U74" s="11">
        <v>0.12</v>
      </c>
      <c r="V74" s="11">
        <v>0.1</v>
      </c>
      <c r="W74" s="11">
        <v>7.0000000000000007E-2</v>
      </c>
      <c r="X74" s="11">
        <v>399</v>
      </c>
      <c r="Y74" s="11">
        <v>399</v>
      </c>
      <c r="Z74" s="11">
        <v>399</v>
      </c>
      <c r="AA74" s="11">
        <v>399</v>
      </c>
      <c r="AB74" s="11">
        <v>399</v>
      </c>
      <c r="AC74" s="11">
        <v>399</v>
      </c>
      <c r="AD74" s="11">
        <v>399</v>
      </c>
      <c r="AE74" s="11">
        <v>399</v>
      </c>
      <c r="AF74" s="13"/>
      <c r="AG74" s="13"/>
      <c r="AH74" s="13"/>
    </row>
    <row r="75" spans="1:34">
      <c r="A75" s="13" t="s">
        <v>87</v>
      </c>
      <c r="B75" s="13">
        <v>220029640</v>
      </c>
      <c r="C75" s="13" t="s">
        <v>88</v>
      </c>
      <c r="D75" s="13" t="s">
        <v>89</v>
      </c>
      <c r="E75" s="13">
        <v>400454000062</v>
      </c>
      <c r="F75" s="13" t="s">
        <v>90</v>
      </c>
      <c r="G75" s="13" t="s">
        <v>90</v>
      </c>
      <c r="H75" s="13" t="s">
        <v>91</v>
      </c>
      <c r="I75" s="13" t="s">
        <v>92</v>
      </c>
      <c r="J75" s="14" t="s">
        <v>93</v>
      </c>
      <c r="K75" s="13"/>
      <c r="L75" s="13">
        <v>0</v>
      </c>
      <c r="M75" s="13" t="s">
        <v>99</v>
      </c>
      <c r="N75" s="13" t="s">
        <v>91</v>
      </c>
      <c r="O75" s="13">
        <v>0</v>
      </c>
      <c r="P75" s="11">
        <v>395</v>
      </c>
      <c r="Q75" s="11">
        <v>8.81</v>
      </c>
      <c r="R75" s="11">
        <v>1289.4110000000001</v>
      </c>
      <c r="S75" s="11">
        <v>0.1</v>
      </c>
      <c r="T75" s="11">
        <v>8.6999999999999993</v>
      </c>
      <c r="U75" s="11">
        <v>0.12</v>
      </c>
      <c r="V75" s="11">
        <v>0.1</v>
      </c>
      <c r="W75" s="11">
        <v>7.0000000000000007E-2</v>
      </c>
      <c r="X75" s="11">
        <v>399</v>
      </c>
      <c r="Y75" s="11">
        <v>399</v>
      </c>
      <c r="Z75" s="11">
        <v>399</v>
      </c>
      <c r="AA75" s="11">
        <v>399</v>
      </c>
      <c r="AB75" s="11">
        <v>399</v>
      </c>
      <c r="AC75" s="11">
        <v>399</v>
      </c>
      <c r="AD75" s="11">
        <v>399</v>
      </c>
      <c r="AE75" s="11">
        <v>399</v>
      </c>
      <c r="AF75" s="13"/>
      <c r="AG75" s="13"/>
      <c r="AH75" s="13"/>
    </row>
    <row r="76" spans="1:34">
      <c r="A76" s="13" t="s">
        <v>87</v>
      </c>
      <c r="B76" s="13">
        <v>220029640</v>
      </c>
      <c r="C76" s="13" t="s">
        <v>88</v>
      </c>
      <c r="D76" s="13" t="s">
        <v>89</v>
      </c>
      <c r="E76" s="13">
        <v>400454000062</v>
      </c>
      <c r="F76" s="13" t="s">
        <v>90</v>
      </c>
      <c r="G76" s="13" t="s">
        <v>90</v>
      </c>
      <c r="H76" s="13" t="s">
        <v>91</v>
      </c>
      <c r="I76" s="13" t="s">
        <v>92</v>
      </c>
      <c r="J76" s="14" t="s">
        <v>93</v>
      </c>
      <c r="K76" s="13"/>
      <c r="L76" s="13">
        <v>0</v>
      </c>
      <c r="M76" s="13" t="s">
        <v>99</v>
      </c>
      <c r="N76" s="13" t="s">
        <v>91</v>
      </c>
      <c r="O76" s="13">
        <v>0</v>
      </c>
      <c r="P76" s="11">
        <v>400</v>
      </c>
      <c r="Q76" s="11">
        <v>7.98</v>
      </c>
      <c r="R76" s="11">
        <v>1289.3340000000001</v>
      </c>
      <c r="S76" s="11">
        <v>0.09</v>
      </c>
      <c r="T76" s="11">
        <v>8.67</v>
      </c>
      <c r="U76" s="11">
        <v>0.12</v>
      </c>
      <c r="V76" s="11">
        <v>0.1</v>
      </c>
      <c r="W76" s="11">
        <v>7.0000000000000007E-2</v>
      </c>
      <c r="X76" s="11">
        <v>399</v>
      </c>
      <c r="Y76" s="11">
        <v>399</v>
      </c>
      <c r="Z76" s="11">
        <v>399</v>
      </c>
      <c r="AA76" s="11">
        <v>399</v>
      </c>
      <c r="AB76" s="11">
        <v>399</v>
      </c>
      <c r="AC76" s="11">
        <v>399</v>
      </c>
      <c r="AD76" s="11">
        <v>399</v>
      </c>
      <c r="AE76" s="11">
        <v>399</v>
      </c>
      <c r="AF76" s="13"/>
      <c r="AG76" s="13"/>
      <c r="AH76" s="13"/>
    </row>
    <row r="77" spans="1:34">
      <c r="A77" s="13" t="s">
        <v>87</v>
      </c>
      <c r="B77" s="13">
        <v>220029640</v>
      </c>
      <c r="C77" s="13" t="s">
        <v>88</v>
      </c>
      <c r="D77" s="13" t="s">
        <v>89</v>
      </c>
      <c r="E77" s="13">
        <v>400454000062</v>
      </c>
      <c r="F77" s="13" t="s">
        <v>90</v>
      </c>
      <c r="G77" s="13" t="s">
        <v>90</v>
      </c>
      <c r="H77" s="13" t="s">
        <v>91</v>
      </c>
      <c r="I77" s="13" t="s">
        <v>92</v>
      </c>
      <c r="J77" s="14" t="s">
        <v>93</v>
      </c>
      <c r="K77" s="13"/>
      <c r="L77" s="13">
        <v>0</v>
      </c>
      <c r="M77" s="13" t="s">
        <v>99</v>
      </c>
      <c r="N77" s="13" t="s">
        <v>91</v>
      </c>
      <c r="O77" s="13">
        <v>0</v>
      </c>
      <c r="P77" s="13">
        <v>405</v>
      </c>
      <c r="Q77" s="13">
        <v>7.17</v>
      </c>
      <c r="R77" s="13">
        <v>1289.258</v>
      </c>
      <c r="S77" s="13">
        <v>0.09</v>
      </c>
      <c r="T77" s="13">
        <v>8.69</v>
      </c>
      <c r="U77" s="13">
        <v>0.12</v>
      </c>
      <c r="V77" s="13">
        <v>0.1</v>
      </c>
      <c r="W77" s="13">
        <v>7.0000000000000007E-2</v>
      </c>
      <c r="X77" s="13">
        <v>399</v>
      </c>
      <c r="Y77" s="13">
        <v>399</v>
      </c>
      <c r="Z77" s="13">
        <v>399</v>
      </c>
      <c r="AA77" s="13">
        <v>399</v>
      </c>
      <c r="AB77" s="13">
        <v>399</v>
      </c>
      <c r="AC77" s="13">
        <v>399</v>
      </c>
      <c r="AD77" s="13">
        <v>399</v>
      </c>
      <c r="AE77" s="13">
        <v>399</v>
      </c>
      <c r="AF77" s="13"/>
      <c r="AG77" s="13"/>
      <c r="AH77" s="13"/>
    </row>
    <row r="78" spans="1:34">
      <c r="A78" s="13" t="s">
        <v>87</v>
      </c>
      <c r="B78" s="13">
        <v>220029640</v>
      </c>
      <c r="C78" s="13" t="s">
        <v>88</v>
      </c>
      <c r="D78" s="13" t="s">
        <v>89</v>
      </c>
      <c r="E78" s="13">
        <v>400454000062</v>
      </c>
      <c r="F78" s="13" t="s">
        <v>90</v>
      </c>
      <c r="G78" s="13" t="s">
        <v>90</v>
      </c>
      <c r="H78" s="13" t="s">
        <v>91</v>
      </c>
      <c r="I78" s="13" t="s">
        <v>92</v>
      </c>
      <c r="J78" s="14" t="s">
        <v>93</v>
      </c>
      <c r="K78" s="13"/>
      <c r="L78" s="13">
        <v>0</v>
      </c>
      <c r="M78" s="13" t="s">
        <v>99</v>
      </c>
      <c r="N78" s="13" t="s">
        <v>91</v>
      </c>
      <c r="O78" s="13">
        <v>0</v>
      </c>
      <c r="P78" s="13">
        <v>410</v>
      </c>
      <c r="Q78" s="13">
        <v>6.33</v>
      </c>
      <c r="R78" s="13">
        <v>1289.181</v>
      </c>
      <c r="S78" s="13">
        <v>0.09</v>
      </c>
      <c r="T78" s="13">
        <v>8.69</v>
      </c>
      <c r="U78" s="13">
        <v>0.12</v>
      </c>
      <c r="V78" s="13">
        <v>0.1</v>
      </c>
      <c r="W78" s="13">
        <v>7.0000000000000007E-2</v>
      </c>
      <c r="X78" s="13">
        <v>399</v>
      </c>
      <c r="Y78" s="13">
        <v>399</v>
      </c>
      <c r="Z78" s="13">
        <v>399</v>
      </c>
      <c r="AA78" s="13">
        <v>399</v>
      </c>
      <c r="AB78" s="13">
        <v>399</v>
      </c>
      <c r="AC78" s="13">
        <v>399</v>
      </c>
      <c r="AD78" s="13">
        <v>399</v>
      </c>
      <c r="AE78" s="13">
        <v>399</v>
      </c>
      <c r="AF78" s="13"/>
      <c r="AG78" s="13"/>
      <c r="AH78" s="13"/>
    </row>
    <row r="79" spans="1:34">
      <c r="A79" s="13" t="s">
        <v>87</v>
      </c>
      <c r="B79" s="13">
        <v>220029640</v>
      </c>
      <c r="C79" s="13" t="s">
        <v>88</v>
      </c>
      <c r="D79" s="13" t="s">
        <v>89</v>
      </c>
      <c r="E79" s="13">
        <v>400454000062</v>
      </c>
      <c r="F79" s="13" t="s">
        <v>90</v>
      </c>
      <c r="G79" s="13" t="s">
        <v>90</v>
      </c>
      <c r="H79" s="13" t="s">
        <v>91</v>
      </c>
      <c r="I79" s="13" t="s">
        <v>92</v>
      </c>
      <c r="J79" s="14" t="s">
        <v>93</v>
      </c>
      <c r="K79" s="13"/>
      <c r="L79" s="13">
        <v>0</v>
      </c>
      <c r="M79" s="13" t="s">
        <v>99</v>
      </c>
      <c r="N79" s="13" t="s">
        <v>91</v>
      </c>
      <c r="O79" s="13">
        <v>0</v>
      </c>
      <c r="P79" s="13">
        <v>415</v>
      </c>
      <c r="Q79" s="13">
        <v>5.54</v>
      </c>
      <c r="R79" s="13">
        <v>1289.0999999999999</v>
      </c>
      <c r="S79" s="13">
        <v>0.1</v>
      </c>
      <c r="T79" s="13">
        <v>8.6999999999999993</v>
      </c>
      <c r="U79" s="13">
        <v>0.12</v>
      </c>
      <c r="V79" s="13">
        <v>0.1</v>
      </c>
      <c r="W79" s="13">
        <v>7.0000000000000007E-2</v>
      </c>
      <c r="X79" s="13">
        <v>399</v>
      </c>
      <c r="Y79" s="13">
        <v>399</v>
      </c>
      <c r="Z79" s="13">
        <v>399</v>
      </c>
      <c r="AA79" s="13">
        <v>399</v>
      </c>
      <c r="AB79" s="13">
        <v>399</v>
      </c>
      <c r="AC79" s="13">
        <v>399</v>
      </c>
      <c r="AD79" s="13">
        <v>399</v>
      </c>
      <c r="AE79" s="13">
        <v>399</v>
      </c>
      <c r="AF79" s="13"/>
      <c r="AG79" s="13"/>
      <c r="AH79" s="13"/>
    </row>
    <row r="80" spans="1:34">
      <c r="A80" s="13" t="s">
        <v>87</v>
      </c>
      <c r="B80" s="13">
        <v>220029640</v>
      </c>
      <c r="C80" s="13" t="s">
        <v>88</v>
      </c>
      <c r="D80" s="13" t="s">
        <v>89</v>
      </c>
      <c r="E80" s="13">
        <v>400454000062</v>
      </c>
      <c r="F80" s="13" t="s">
        <v>90</v>
      </c>
      <c r="G80" s="13" t="s">
        <v>90</v>
      </c>
      <c r="H80" s="13" t="s">
        <v>91</v>
      </c>
      <c r="I80" s="13" t="s">
        <v>92</v>
      </c>
      <c r="J80" s="14" t="s">
        <v>93</v>
      </c>
      <c r="K80" s="13"/>
      <c r="L80" s="13">
        <v>0</v>
      </c>
      <c r="M80" s="13" t="s">
        <v>99</v>
      </c>
      <c r="N80" s="13" t="s">
        <v>91</v>
      </c>
      <c r="O80" s="13">
        <v>0</v>
      </c>
      <c r="P80" s="13">
        <v>420</v>
      </c>
      <c r="Q80" s="13">
        <v>4.6900000000000004</v>
      </c>
      <c r="R80" s="13">
        <v>1289.0239999999999</v>
      </c>
      <c r="S80" s="13">
        <v>0.09</v>
      </c>
      <c r="T80" s="13">
        <v>8.7100000000000009</v>
      </c>
      <c r="U80" s="13">
        <v>0.12</v>
      </c>
      <c r="V80" s="13">
        <v>0.1</v>
      </c>
      <c r="W80" s="13">
        <v>7.0000000000000007E-2</v>
      </c>
      <c r="X80" s="13">
        <v>399</v>
      </c>
      <c r="Y80" s="13">
        <v>399</v>
      </c>
      <c r="Z80" s="13">
        <v>399</v>
      </c>
      <c r="AA80" s="13">
        <v>399</v>
      </c>
      <c r="AB80" s="13">
        <v>399</v>
      </c>
      <c r="AC80" s="13">
        <v>399</v>
      </c>
      <c r="AD80" s="13">
        <v>399</v>
      </c>
      <c r="AE80" s="13">
        <v>399</v>
      </c>
      <c r="AF80" s="13"/>
      <c r="AG80" s="13"/>
      <c r="AH80" s="13"/>
    </row>
    <row r="81" spans="1:34">
      <c r="A81" s="13" t="s">
        <v>87</v>
      </c>
      <c r="B81" s="13">
        <v>220029640</v>
      </c>
      <c r="C81" s="13" t="s">
        <v>88</v>
      </c>
      <c r="D81" s="13" t="s">
        <v>89</v>
      </c>
      <c r="E81" s="13">
        <v>400454000062</v>
      </c>
      <c r="F81" s="13" t="s">
        <v>90</v>
      </c>
      <c r="G81" s="13" t="s">
        <v>90</v>
      </c>
      <c r="H81" s="13" t="s">
        <v>91</v>
      </c>
      <c r="I81" s="13" t="s">
        <v>92</v>
      </c>
      <c r="J81" s="14" t="s">
        <v>93</v>
      </c>
      <c r="K81" s="13"/>
      <c r="L81" s="13">
        <v>0</v>
      </c>
      <c r="M81" s="13" t="s">
        <v>99</v>
      </c>
      <c r="N81" s="13" t="s">
        <v>91</v>
      </c>
      <c r="O81" s="13">
        <v>0</v>
      </c>
      <c r="P81" s="13">
        <v>425</v>
      </c>
      <c r="Q81" s="13">
        <v>3.91</v>
      </c>
      <c r="R81" s="13">
        <v>1288.9459999999999</v>
      </c>
      <c r="S81" s="13">
        <v>0.1</v>
      </c>
      <c r="T81" s="13">
        <v>8.77</v>
      </c>
      <c r="U81" s="13">
        <v>0.12</v>
      </c>
      <c r="V81" s="13">
        <v>0.1</v>
      </c>
      <c r="W81" s="13">
        <v>7.0000000000000007E-2</v>
      </c>
      <c r="X81" s="13">
        <v>399</v>
      </c>
      <c r="Y81" s="13">
        <v>399</v>
      </c>
      <c r="Z81" s="13">
        <v>399</v>
      </c>
      <c r="AA81" s="13">
        <v>399</v>
      </c>
      <c r="AB81" s="13">
        <v>399</v>
      </c>
      <c r="AC81" s="13">
        <v>399</v>
      </c>
      <c r="AD81" s="13">
        <v>399</v>
      </c>
      <c r="AE81" s="13">
        <v>399</v>
      </c>
      <c r="AF81" s="13"/>
      <c r="AG81" s="13"/>
      <c r="AH81" s="13"/>
    </row>
    <row r="82" spans="1:34">
      <c r="A82" s="13" t="s">
        <v>87</v>
      </c>
      <c r="B82" s="13">
        <v>220029640</v>
      </c>
      <c r="C82" s="13" t="s">
        <v>88</v>
      </c>
      <c r="D82" s="13" t="s">
        <v>89</v>
      </c>
      <c r="E82" s="13">
        <v>400454000062</v>
      </c>
      <c r="F82" s="13" t="s">
        <v>90</v>
      </c>
      <c r="G82" s="13" t="s">
        <v>90</v>
      </c>
      <c r="H82" s="13" t="s">
        <v>91</v>
      </c>
      <c r="I82" s="13" t="s">
        <v>92</v>
      </c>
      <c r="J82" s="14" t="s">
        <v>93</v>
      </c>
      <c r="K82" s="13"/>
      <c r="L82" s="13">
        <v>0</v>
      </c>
      <c r="M82" s="13" t="s">
        <v>99</v>
      </c>
      <c r="N82" s="13" t="s">
        <v>91</v>
      </c>
      <c r="O82" s="13">
        <v>0</v>
      </c>
      <c r="P82" s="13">
        <v>430</v>
      </c>
      <c r="Q82" s="13">
        <v>3.06</v>
      </c>
      <c r="R82" s="13">
        <v>1288.8720000000001</v>
      </c>
      <c r="S82" s="13">
        <v>0.09</v>
      </c>
      <c r="T82" s="13">
        <v>8.73</v>
      </c>
      <c r="U82" s="13">
        <v>0.12</v>
      </c>
      <c r="V82" s="13">
        <v>0.1</v>
      </c>
      <c r="W82" s="13">
        <v>7.0000000000000007E-2</v>
      </c>
      <c r="X82" s="13">
        <v>399</v>
      </c>
      <c r="Y82" s="13">
        <v>399</v>
      </c>
      <c r="Z82" s="13">
        <v>399</v>
      </c>
      <c r="AA82" s="13">
        <v>399</v>
      </c>
      <c r="AB82" s="13">
        <v>399</v>
      </c>
      <c r="AC82" s="13">
        <v>399</v>
      </c>
      <c r="AD82" s="13">
        <v>399</v>
      </c>
      <c r="AE82" s="13">
        <v>399</v>
      </c>
      <c r="AF82" s="13"/>
      <c r="AG82" s="13"/>
      <c r="AH82" s="13"/>
    </row>
    <row r="83" spans="1:34">
      <c r="A83" s="13" t="s">
        <v>87</v>
      </c>
      <c r="B83" s="13">
        <v>220029640</v>
      </c>
      <c r="C83" s="13" t="s">
        <v>88</v>
      </c>
      <c r="D83" s="13" t="s">
        <v>89</v>
      </c>
      <c r="E83" s="13">
        <v>400454000062</v>
      </c>
      <c r="F83" s="13" t="s">
        <v>90</v>
      </c>
      <c r="G83" s="13" t="s">
        <v>90</v>
      </c>
      <c r="H83" s="13" t="s">
        <v>91</v>
      </c>
      <c r="I83" s="13" t="s">
        <v>92</v>
      </c>
      <c r="J83" s="14" t="s">
        <v>93</v>
      </c>
      <c r="K83" s="13"/>
      <c r="L83" s="13">
        <v>0</v>
      </c>
      <c r="M83" s="13" t="s">
        <v>99</v>
      </c>
      <c r="N83" s="13" t="s">
        <v>91</v>
      </c>
      <c r="O83" s="13">
        <v>0</v>
      </c>
      <c r="P83" s="13">
        <v>435</v>
      </c>
      <c r="Q83" s="13">
        <v>2.2999999999999998</v>
      </c>
      <c r="R83" s="13">
        <v>1288.7909999999999</v>
      </c>
      <c r="S83" s="13">
        <v>0.11</v>
      </c>
      <c r="T83" s="13">
        <v>8.8000000000000007</v>
      </c>
      <c r="U83" s="13">
        <v>0.12</v>
      </c>
      <c r="V83" s="13">
        <v>0.1</v>
      </c>
      <c r="W83" s="13">
        <v>7.0000000000000007E-2</v>
      </c>
      <c r="X83" s="13">
        <v>399</v>
      </c>
      <c r="Y83" s="13">
        <v>399</v>
      </c>
      <c r="Z83" s="13">
        <v>399</v>
      </c>
      <c r="AA83" s="13">
        <v>399</v>
      </c>
      <c r="AB83" s="13">
        <v>399</v>
      </c>
      <c r="AC83" s="13">
        <v>399</v>
      </c>
      <c r="AD83" s="13">
        <v>399</v>
      </c>
      <c r="AE83" s="13">
        <v>399</v>
      </c>
      <c r="AF83" s="13"/>
      <c r="AG83" s="13"/>
      <c r="AH83" s="13"/>
    </row>
    <row r="84" spans="1:34">
      <c r="A84" s="13" t="s">
        <v>87</v>
      </c>
      <c r="B84" s="13">
        <v>220029640</v>
      </c>
      <c r="C84" s="13" t="s">
        <v>88</v>
      </c>
      <c r="D84" s="13" t="s">
        <v>89</v>
      </c>
      <c r="E84" s="13">
        <v>400454000062</v>
      </c>
      <c r="F84" s="13" t="s">
        <v>90</v>
      </c>
      <c r="G84" s="13" t="s">
        <v>90</v>
      </c>
      <c r="H84" s="13" t="s">
        <v>91</v>
      </c>
      <c r="I84" s="13" t="s">
        <v>92</v>
      </c>
      <c r="J84" s="14" t="s">
        <v>93</v>
      </c>
      <c r="K84" s="13"/>
      <c r="L84" s="13">
        <v>0</v>
      </c>
      <c r="M84" s="13" t="s">
        <v>99</v>
      </c>
      <c r="N84" s="13" t="s">
        <v>91</v>
      </c>
      <c r="O84" s="13">
        <v>0</v>
      </c>
      <c r="P84" s="13">
        <v>440</v>
      </c>
      <c r="Q84" s="13">
        <v>1.45</v>
      </c>
      <c r="R84" s="13">
        <v>1288.7170000000001</v>
      </c>
      <c r="S84" s="13">
        <v>0.09</v>
      </c>
      <c r="T84" s="13">
        <v>8.76</v>
      </c>
      <c r="U84" s="13">
        <v>0.12</v>
      </c>
      <c r="V84" s="13">
        <v>0.1</v>
      </c>
      <c r="W84" s="13">
        <v>7.0000000000000007E-2</v>
      </c>
      <c r="X84" s="13">
        <v>399</v>
      </c>
      <c r="Y84" s="13">
        <v>399</v>
      </c>
      <c r="Z84" s="13">
        <v>399</v>
      </c>
      <c r="AA84" s="13">
        <v>399</v>
      </c>
      <c r="AB84" s="13">
        <v>399</v>
      </c>
      <c r="AC84" s="13">
        <v>399</v>
      </c>
      <c r="AD84" s="13">
        <v>399</v>
      </c>
      <c r="AE84" s="13">
        <v>399</v>
      </c>
      <c r="AF84" s="13"/>
      <c r="AG84" s="13"/>
      <c r="AH84" s="13"/>
    </row>
    <row r="85" spans="1:34">
      <c r="A85" s="13" t="s">
        <v>87</v>
      </c>
      <c r="B85" s="13">
        <v>220029640</v>
      </c>
      <c r="C85" s="13" t="s">
        <v>88</v>
      </c>
      <c r="D85" s="13" t="s">
        <v>89</v>
      </c>
      <c r="E85" s="13">
        <v>400454000062</v>
      </c>
      <c r="F85" s="13" t="s">
        <v>90</v>
      </c>
      <c r="G85" s="13" t="s">
        <v>90</v>
      </c>
      <c r="H85" s="13" t="s">
        <v>91</v>
      </c>
      <c r="I85" s="13" t="s">
        <v>92</v>
      </c>
      <c r="J85" s="14" t="s">
        <v>93</v>
      </c>
      <c r="K85" s="13"/>
      <c r="L85" s="13">
        <v>0</v>
      </c>
      <c r="M85" s="13" t="s">
        <v>99</v>
      </c>
      <c r="N85" s="13" t="s">
        <v>91</v>
      </c>
      <c r="O85" s="13">
        <v>0</v>
      </c>
      <c r="P85" s="13">
        <v>445</v>
      </c>
      <c r="Q85" s="13">
        <v>0.65</v>
      </c>
      <c r="R85" s="13">
        <v>1288.6410000000001</v>
      </c>
      <c r="S85" s="13">
        <v>0.1</v>
      </c>
      <c r="T85" s="13">
        <v>8.8000000000000007</v>
      </c>
      <c r="U85" s="13">
        <v>0.12</v>
      </c>
      <c r="V85" s="13">
        <v>0.1</v>
      </c>
      <c r="W85" s="13">
        <v>7.0000000000000007E-2</v>
      </c>
      <c r="X85" s="13">
        <v>399</v>
      </c>
      <c r="Y85" s="13">
        <v>399</v>
      </c>
      <c r="Z85" s="13">
        <v>399</v>
      </c>
      <c r="AA85" s="13">
        <v>399</v>
      </c>
      <c r="AB85" s="13">
        <v>399</v>
      </c>
      <c r="AC85" s="13">
        <v>399</v>
      </c>
      <c r="AD85" s="13">
        <v>399</v>
      </c>
      <c r="AE85" s="13">
        <v>399</v>
      </c>
      <c r="AF85" s="13"/>
      <c r="AG85" s="13"/>
      <c r="AH85" s="13"/>
    </row>
    <row r="86" spans="1:34">
      <c r="A86" s="13" t="s">
        <v>87</v>
      </c>
      <c r="B86" s="13">
        <v>220029640</v>
      </c>
      <c r="C86" s="13" t="s">
        <v>88</v>
      </c>
      <c r="D86" s="13" t="s">
        <v>89</v>
      </c>
      <c r="E86" s="13">
        <v>400454000062</v>
      </c>
      <c r="F86" s="13" t="s">
        <v>90</v>
      </c>
      <c r="G86" s="13" t="s">
        <v>90</v>
      </c>
      <c r="H86" s="13" t="s">
        <v>91</v>
      </c>
      <c r="I86" s="13" t="s">
        <v>92</v>
      </c>
      <c r="J86" s="14" t="s">
        <v>93</v>
      </c>
      <c r="K86" s="13"/>
      <c r="L86" s="13">
        <v>0</v>
      </c>
      <c r="M86" s="13" t="s">
        <v>99</v>
      </c>
      <c r="N86" s="13" t="s">
        <v>91</v>
      </c>
      <c r="O86" s="13">
        <v>0</v>
      </c>
      <c r="P86" s="13">
        <v>450</v>
      </c>
      <c r="Q86" s="13">
        <v>-0.16</v>
      </c>
      <c r="R86" s="13">
        <v>1288.5640000000001</v>
      </c>
      <c r="S86" s="13">
        <v>0.1</v>
      </c>
      <c r="T86" s="13">
        <v>8.83</v>
      </c>
      <c r="U86" s="13">
        <v>0.12</v>
      </c>
      <c r="V86" s="13">
        <v>0.1</v>
      </c>
      <c r="W86" s="13">
        <v>7.0000000000000007E-2</v>
      </c>
      <c r="X86" s="13">
        <v>399</v>
      </c>
      <c r="Y86" s="13">
        <v>399</v>
      </c>
      <c r="Z86" s="13">
        <v>399</v>
      </c>
      <c r="AA86" s="13">
        <v>399</v>
      </c>
      <c r="AB86" s="13">
        <v>399</v>
      </c>
      <c r="AC86" s="13">
        <v>399</v>
      </c>
      <c r="AD86" s="13">
        <v>399</v>
      </c>
      <c r="AE86" s="13">
        <v>399</v>
      </c>
      <c r="AF86" s="13"/>
      <c r="AG86" s="13"/>
      <c r="AH86" s="13"/>
    </row>
    <row r="87" spans="1:34">
      <c r="A87" s="13"/>
      <c r="B87" s="13"/>
      <c r="C87" s="13"/>
      <c r="D87" s="13"/>
      <c r="E87" s="13"/>
      <c r="F87" s="13"/>
      <c r="G87" s="13"/>
      <c r="H87" s="13"/>
      <c r="I87" s="13"/>
      <c r="J87" s="14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>
      <c r="A88" s="13"/>
      <c r="B88" s="13"/>
      <c r="C88" s="13"/>
      <c r="D88" s="13"/>
      <c r="E88" s="13"/>
      <c r="F88" s="13"/>
      <c r="G88" s="13"/>
      <c r="H88" s="13"/>
      <c r="I88" s="13"/>
      <c r="J88" s="14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>
      <c r="A89" s="13"/>
      <c r="B89" s="13"/>
      <c r="C89" s="13"/>
      <c r="D89" s="13"/>
      <c r="E89" s="13"/>
      <c r="F89" s="13"/>
      <c r="G89" s="13"/>
      <c r="H89" s="13"/>
      <c r="I89" s="13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>
      <c r="A90" s="13"/>
      <c r="B90" s="13"/>
      <c r="C90" s="13"/>
      <c r="D90" s="13"/>
      <c r="E90" s="13"/>
      <c r="F90" s="13"/>
      <c r="G90" s="13"/>
      <c r="H90" s="13"/>
      <c r="I90" s="13"/>
      <c r="J90" s="14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M93" s="20"/>
      <c r="N93" s="20"/>
      <c r="O93" s="20"/>
      <c r="P93" s="7"/>
      <c r="Q93" s="7"/>
      <c r="R93" s="7"/>
      <c r="S93" s="7"/>
      <c r="T93" s="7"/>
      <c r="U93" s="7"/>
      <c r="V93" s="7"/>
      <c r="W93" s="7"/>
      <c r="X93" s="8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5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5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5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3:34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5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3:34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5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3:34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5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3:34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5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3:34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5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3:34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5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3:34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5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3:34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5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3:34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5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3:34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5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3:34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5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3:34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5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3:34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5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3:34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5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3:34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5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3:34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5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3:31">
      <c r="M113" s="20"/>
      <c r="N113" s="20"/>
      <c r="O113" s="20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3:31">
      <c r="M114" s="20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3:31">
      <c r="M115" s="20"/>
      <c r="N115" s="20"/>
      <c r="O115" s="2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3:31">
      <c r="M116" s="20"/>
      <c r="N116" s="20"/>
      <c r="O116" s="2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3:31">
      <c r="M117" s="20"/>
      <c r="N117" s="20"/>
      <c r="O117" s="2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3:31">
      <c r="M118" s="20"/>
      <c r="N118" s="20"/>
      <c r="O118" s="20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3:31">
      <c r="M119" s="20"/>
      <c r="N119" s="20"/>
      <c r="O119" s="2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3:31">
      <c r="M120" s="20"/>
      <c r="N120" s="20"/>
      <c r="O120" s="20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3:31">
      <c r="M121" s="20"/>
      <c r="N121" s="20"/>
      <c r="O121" s="20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3:31">
      <c r="M122" s="20"/>
      <c r="N122" s="20"/>
      <c r="O122" s="20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3:31">
      <c r="M123" s="20"/>
      <c r="N123" s="20"/>
      <c r="O123" s="20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3:31">
      <c r="M124" s="20"/>
      <c r="N124" s="20"/>
      <c r="O124" s="20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3:31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3:31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3:31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3:31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6:31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6:31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6:31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6:31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6:31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6:31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6:31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6:31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6:31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6:31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6:31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6:31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6:31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6:31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6:31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6:31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6:31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6:31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6:31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6:31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6:31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6:31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6:31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6:31"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6:31"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26"/>
  <sheetViews>
    <sheetView workbookViewId="0">
      <selection activeCell="A2" sqref="A2:XFD124"/>
    </sheetView>
  </sheetViews>
  <sheetFormatPr defaultRowHeight="15.6"/>
  <cols>
    <col min="1" max="34" width="12.09765625" style="1" customWidth="1"/>
  </cols>
  <sheetData>
    <row r="1" spans="1:34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</row>
    <row r="2" spans="1:34">
      <c r="A2" s="13" t="s">
        <v>87</v>
      </c>
      <c r="B2" s="13">
        <v>220029640</v>
      </c>
      <c r="C2" s="13" t="s">
        <v>88</v>
      </c>
      <c r="D2" s="13" t="s">
        <v>89</v>
      </c>
      <c r="E2" s="13">
        <v>400454000062</v>
      </c>
      <c r="F2" s="13" t="s">
        <v>90</v>
      </c>
      <c r="G2" s="13" t="s">
        <v>90</v>
      </c>
      <c r="H2" s="13" t="s">
        <v>91</v>
      </c>
      <c r="I2" s="13" t="s">
        <v>92</v>
      </c>
      <c r="J2" s="14" t="s">
        <v>93</v>
      </c>
      <c r="K2" s="13"/>
      <c r="L2" s="13">
        <v>0</v>
      </c>
      <c r="M2" s="13" t="s">
        <v>100</v>
      </c>
      <c r="N2" s="13" t="s">
        <v>91</v>
      </c>
      <c r="O2" s="13">
        <v>0</v>
      </c>
      <c r="P2" s="11">
        <v>30</v>
      </c>
      <c r="Q2" s="12">
        <v>70.77</v>
      </c>
      <c r="R2" s="12">
        <v>1315.9480000000001</v>
      </c>
      <c r="S2" s="12">
        <v>0.1</v>
      </c>
      <c r="T2" s="12">
        <v>3.98</v>
      </c>
      <c r="U2" s="12">
        <v>0.11</v>
      </c>
      <c r="V2" s="12">
        <v>0.09</v>
      </c>
      <c r="W2" s="12">
        <v>7.0000000000000007E-2</v>
      </c>
      <c r="X2" s="12">
        <v>399</v>
      </c>
      <c r="Y2" s="12">
        <v>399</v>
      </c>
      <c r="Z2" s="12">
        <v>399</v>
      </c>
      <c r="AA2" s="12">
        <v>399</v>
      </c>
      <c r="AB2" s="12">
        <v>399</v>
      </c>
      <c r="AC2" s="12">
        <v>399</v>
      </c>
      <c r="AD2" s="12">
        <v>399</v>
      </c>
      <c r="AE2" s="12">
        <v>399</v>
      </c>
      <c r="AF2" s="13"/>
      <c r="AG2" s="13"/>
      <c r="AH2" s="13"/>
    </row>
    <row r="3" spans="1:34">
      <c r="A3" s="13" t="s">
        <v>87</v>
      </c>
      <c r="B3" s="13">
        <v>220029640</v>
      </c>
      <c r="C3" s="13" t="s">
        <v>88</v>
      </c>
      <c r="D3" s="13" t="s">
        <v>89</v>
      </c>
      <c r="E3" s="13">
        <v>400454000062</v>
      </c>
      <c r="F3" s="13" t="s">
        <v>90</v>
      </c>
      <c r="G3" s="13" t="s">
        <v>90</v>
      </c>
      <c r="H3" s="13" t="s">
        <v>91</v>
      </c>
      <c r="I3" s="13" t="s">
        <v>92</v>
      </c>
      <c r="J3" s="14" t="s">
        <v>93</v>
      </c>
      <c r="K3" s="13"/>
      <c r="L3" s="13">
        <v>0</v>
      </c>
      <c r="M3" s="13" t="s">
        <v>100</v>
      </c>
      <c r="N3" s="13" t="s">
        <v>91</v>
      </c>
      <c r="O3" s="13">
        <v>0</v>
      </c>
      <c r="P3" s="11">
        <v>35</v>
      </c>
      <c r="Q3" s="12">
        <v>69.81</v>
      </c>
      <c r="R3" s="12">
        <v>1315.8630000000001</v>
      </c>
      <c r="S3" s="12">
        <v>0.09</v>
      </c>
      <c r="T3" s="12">
        <v>4.1399999999999997</v>
      </c>
      <c r="U3" s="12">
        <v>0.11</v>
      </c>
      <c r="V3" s="12">
        <v>0.09</v>
      </c>
      <c r="W3" s="12">
        <v>7.0000000000000007E-2</v>
      </c>
      <c r="X3" s="12">
        <v>399</v>
      </c>
      <c r="Y3" s="12">
        <v>399</v>
      </c>
      <c r="Z3" s="12">
        <v>399</v>
      </c>
      <c r="AA3" s="12">
        <v>399</v>
      </c>
      <c r="AB3" s="12">
        <v>399</v>
      </c>
      <c r="AC3" s="12">
        <v>399</v>
      </c>
      <c r="AD3" s="12">
        <v>399</v>
      </c>
      <c r="AE3" s="12">
        <v>399</v>
      </c>
      <c r="AF3" s="13"/>
      <c r="AG3" s="13"/>
      <c r="AH3" s="13"/>
    </row>
    <row r="4" spans="1:34">
      <c r="A4" s="13" t="s">
        <v>87</v>
      </c>
      <c r="B4" s="13">
        <v>220029640</v>
      </c>
      <c r="C4" s="13" t="s">
        <v>88</v>
      </c>
      <c r="D4" s="13" t="s">
        <v>89</v>
      </c>
      <c r="E4" s="13">
        <v>400454000062</v>
      </c>
      <c r="F4" s="13" t="s">
        <v>90</v>
      </c>
      <c r="G4" s="13" t="s">
        <v>90</v>
      </c>
      <c r="H4" s="13" t="s">
        <v>91</v>
      </c>
      <c r="I4" s="13" t="s">
        <v>92</v>
      </c>
      <c r="J4" s="14" t="s">
        <v>93</v>
      </c>
      <c r="K4" s="13"/>
      <c r="L4" s="13">
        <v>0</v>
      </c>
      <c r="M4" s="13" t="s">
        <v>100</v>
      </c>
      <c r="N4" s="13" t="s">
        <v>91</v>
      </c>
      <c r="O4" s="13">
        <v>0</v>
      </c>
      <c r="P4" s="11">
        <v>40</v>
      </c>
      <c r="Q4" s="12">
        <v>69</v>
      </c>
      <c r="R4" s="12">
        <v>1315.7750000000001</v>
      </c>
      <c r="S4" s="12">
        <v>0.11</v>
      </c>
      <c r="T4" s="12">
        <v>4.28</v>
      </c>
      <c r="U4" s="12">
        <v>0.11</v>
      </c>
      <c r="V4" s="12">
        <v>0.09</v>
      </c>
      <c r="W4" s="12">
        <v>7.0000000000000007E-2</v>
      </c>
      <c r="X4" s="12">
        <v>399</v>
      </c>
      <c r="Y4" s="12">
        <v>399</v>
      </c>
      <c r="Z4" s="12">
        <v>399</v>
      </c>
      <c r="AA4" s="12">
        <v>399</v>
      </c>
      <c r="AB4" s="12">
        <v>399</v>
      </c>
      <c r="AC4" s="12">
        <v>399</v>
      </c>
      <c r="AD4" s="12">
        <v>399</v>
      </c>
      <c r="AE4" s="12">
        <v>399</v>
      </c>
      <c r="AF4" s="13"/>
      <c r="AG4" s="13"/>
      <c r="AH4" s="13"/>
    </row>
    <row r="5" spans="1:34">
      <c r="A5" s="13" t="s">
        <v>87</v>
      </c>
      <c r="B5" s="13">
        <v>220029640</v>
      </c>
      <c r="C5" s="13" t="s">
        <v>88</v>
      </c>
      <c r="D5" s="13" t="s">
        <v>89</v>
      </c>
      <c r="E5" s="13">
        <v>400454000062</v>
      </c>
      <c r="F5" s="13" t="s">
        <v>90</v>
      </c>
      <c r="G5" s="13" t="s">
        <v>90</v>
      </c>
      <c r="H5" s="13" t="s">
        <v>91</v>
      </c>
      <c r="I5" s="13" t="s">
        <v>92</v>
      </c>
      <c r="J5" s="14" t="s">
        <v>93</v>
      </c>
      <c r="K5" s="13"/>
      <c r="L5" s="13">
        <v>0</v>
      </c>
      <c r="M5" s="13" t="s">
        <v>100</v>
      </c>
      <c r="N5" s="13" t="s">
        <v>91</v>
      </c>
      <c r="O5" s="13">
        <v>0</v>
      </c>
      <c r="P5" s="11">
        <v>45</v>
      </c>
      <c r="Q5" s="12">
        <v>68.02</v>
      </c>
      <c r="R5" s="12">
        <v>1315.6869999999999</v>
      </c>
      <c r="S5" s="12">
        <v>0.09</v>
      </c>
      <c r="T5" s="12">
        <v>4.38</v>
      </c>
      <c r="U5" s="12">
        <v>0.11</v>
      </c>
      <c r="V5" s="12">
        <v>0.09</v>
      </c>
      <c r="W5" s="12">
        <v>7.0000000000000007E-2</v>
      </c>
      <c r="X5" s="12">
        <v>399</v>
      </c>
      <c r="Y5" s="12">
        <v>399</v>
      </c>
      <c r="Z5" s="12">
        <v>399</v>
      </c>
      <c r="AA5" s="12">
        <v>399</v>
      </c>
      <c r="AB5" s="12">
        <v>399</v>
      </c>
      <c r="AC5" s="12">
        <v>399</v>
      </c>
      <c r="AD5" s="12">
        <v>399</v>
      </c>
      <c r="AE5" s="12">
        <v>399</v>
      </c>
      <c r="AF5" s="13"/>
      <c r="AG5" s="13"/>
      <c r="AH5" s="13"/>
    </row>
    <row r="6" spans="1:34">
      <c r="A6" s="13" t="s">
        <v>87</v>
      </c>
      <c r="B6" s="13">
        <v>220029640</v>
      </c>
      <c r="C6" s="13" t="s">
        <v>88</v>
      </c>
      <c r="D6" s="13" t="s">
        <v>89</v>
      </c>
      <c r="E6" s="13">
        <v>400454000062</v>
      </c>
      <c r="F6" s="13" t="s">
        <v>90</v>
      </c>
      <c r="G6" s="13" t="s">
        <v>90</v>
      </c>
      <c r="H6" s="13" t="s">
        <v>91</v>
      </c>
      <c r="I6" s="13" t="s">
        <v>92</v>
      </c>
      <c r="J6" s="14" t="s">
        <v>93</v>
      </c>
      <c r="K6" s="13"/>
      <c r="L6" s="13">
        <v>0</v>
      </c>
      <c r="M6" s="13" t="s">
        <v>100</v>
      </c>
      <c r="N6" s="13" t="s">
        <v>91</v>
      </c>
      <c r="O6" s="13">
        <v>0</v>
      </c>
      <c r="P6" s="11">
        <v>50</v>
      </c>
      <c r="Q6" s="12">
        <v>67.13</v>
      </c>
      <c r="R6" s="12">
        <v>1315.6</v>
      </c>
      <c r="S6" s="12">
        <v>0.1</v>
      </c>
      <c r="T6" s="12">
        <v>4.5</v>
      </c>
      <c r="U6" s="12">
        <v>0.11</v>
      </c>
      <c r="V6" s="12">
        <v>0.09</v>
      </c>
      <c r="W6" s="12">
        <v>7.0000000000000007E-2</v>
      </c>
      <c r="X6" s="12">
        <v>399</v>
      </c>
      <c r="Y6" s="12">
        <v>399</v>
      </c>
      <c r="Z6" s="12">
        <v>399</v>
      </c>
      <c r="AA6" s="12">
        <v>399</v>
      </c>
      <c r="AB6" s="12">
        <v>399</v>
      </c>
      <c r="AC6" s="12">
        <v>399</v>
      </c>
      <c r="AD6" s="12">
        <v>399</v>
      </c>
      <c r="AE6" s="12">
        <v>399</v>
      </c>
      <c r="AF6" s="13"/>
      <c r="AG6" s="13"/>
      <c r="AH6" s="13"/>
    </row>
    <row r="7" spans="1:34">
      <c r="A7" s="13" t="s">
        <v>87</v>
      </c>
      <c r="B7" s="13">
        <v>220029640</v>
      </c>
      <c r="C7" s="13" t="s">
        <v>88</v>
      </c>
      <c r="D7" s="13" t="s">
        <v>89</v>
      </c>
      <c r="E7" s="13">
        <v>400454000062</v>
      </c>
      <c r="F7" s="13" t="s">
        <v>90</v>
      </c>
      <c r="G7" s="13" t="s">
        <v>90</v>
      </c>
      <c r="H7" s="13" t="s">
        <v>91</v>
      </c>
      <c r="I7" s="13" t="s">
        <v>92</v>
      </c>
      <c r="J7" s="14" t="s">
        <v>93</v>
      </c>
      <c r="K7" s="13"/>
      <c r="L7" s="13">
        <v>0</v>
      </c>
      <c r="M7" s="13" t="s">
        <v>100</v>
      </c>
      <c r="N7" s="13" t="s">
        <v>91</v>
      </c>
      <c r="O7" s="13">
        <v>0</v>
      </c>
      <c r="P7" s="11">
        <v>55</v>
      </c>
      <c r="Q7" s="12">
        <v>66.209999999999994</v>
      </c>
      <c r="R7" s="12">
        <v>1315.509</v>
      </c>
      <c r="S7" s="12">
        <v>0.1</v>
      </c>
      <c r="T7" s="12">
        <v>4.6500000000000004</v>
      </c>
      <c r="U7" s="12">
        <v>0.11</v>
      </c>
      <c r="V7" s="12">
        <v>0.09</v>
      </c>
      <c r="W7" s="12">
        <v>7.0000000000000007E-2</v>
      </c>
      <c r="X7" s="12">
        <v>399</v>
      </c>
      <c r="Y7" s="12">
        <v>399</v>
      </c>
      <c r="Z7" s="12">
        <v>399</v>
      </c>
      <c r="AA7" s="12">
        <v>399</v>
      </c>
      <c r="AB7" s="12">
        <v>399</v>
      </c>
      <c r="AC7" s="12">
        <v>399</v>
      </c>
      <c r="AD7" s="12">
        <v>399</v>
      </c>
      <c r="AE7" s="12">
        <v>399</v>
      </c>
      <c r="AF7" s="13"/>
      <c r="AG7" s="13"/>
      <c r="AH7" s="13"/>
    </row>
    <row r="8" spans="1:34">
      <c r="A8" s="13" t="s">
        <v>87</v>
      </c>
      <c r="B8" s="13">
        <v>220029640</v>
      </c>
      <c r="C8" s="13" t="s">
        <v>88</v>
      </c>
      <c r="D8" s="13" t="s">
        <v>89</v>
      </c>
      <c r="E8" s="13">
        <v>400454000062</v>
      </c>
      <c r="F8" s="13" t="s">
        <v>90</v>
      </c>
      <c r="G8" s="13" t="s">
        <v>90</v>
      </c>
      <c r="H8" s="13" t="s">
        <v>91</v>
      </c>
      <c r="I8" s="13" t="s">
        <v>92</v>
      </c>
      <c r="J8" s="14" t="s">
        <v>93</v>
      </c>
      <c r="K8" s="13"/>
      <c r="L8" s="13">
        <v>0</v>
      </c>
      <c r="M8" s="13" t="s">
        <v>100</v>
      </c>
      <c r="N8" s="13" t="s">
        <v>91</v>
      </c>
      <c r="O8" s="13">
        <v>0</v>
      </c>
      <c r="P8" s="11">
        <v>60</v>
      </c>
      <c r="Q8" s="12">
        <v>65.36</v>
      </c>
      <c r="R8" s="12">
        <v>1315.421</v>
      </c>
      <c r="S8" s="12">
        <v>0.1</v>
      </c>
      <c r="T8" s="12">
        <v>4.76</v>
      </c>
      <c r="U8" s="12">
        <v>0.11</v>
      </c>
      <c r="V8" s="12">
        <v>0.09</v>
      </c>
      <c r="W8" s="12">
        <v>7.0000000000000007E-2</v>
      </c>
      <c r="X8" s="12">
        <v>399</v>
      </c>
      <c r="Y8" s="12">
        <v>399</v>
      </c>
      <c r="Z8" s="12">
        <v>399</v>
      </c>
      <c r="AA8" s="12">
        <v>399</v>
      </c>
      <c r="AB8" s="12">
        <v>399</v>
      </c>
      <c r="AC8" s="12">
        <v>399</v>
      </c>
      <c r="AD8" s="12">
        <v>399</v>
      </c>
      <c r="AE8" s="12">
        <v>399</v>
      </c>
      <c r="AF8" s="13"/>
      <c r="AG8" s="13"/>
      <c r="AH8" s="13"/>
    </row>
    <row r="9" spans="1:34">
      <c r="A9" s="13" t="s">
        <v>87</v>
      </c>
      <c r="B9" s="13">
        <v>220029640</v>
      </c>
      <c r="C9" s="13" t="s">
        <v>88</v>
      </c>
      <c r="D9" s="13" t="s">
        <v>89</v>
      </c>
      <c r="E9" s="13">
        <v>400454000062</v>
      </c>
      <c r="F9" s="13" t="s">
        <v>90</v>
      </c>
      <c r="G9" s="13" t="s">
        <v>90</v>
      </c>
      <c r="H9" s="13" t="s">
        <v>91</v>
      </c>
      <c r="I9" s="13" t="s">
        <v>92</v>
      </c>
      <c r="J9" s="14" t="s">
        <v>93</v>
      </c>
      <c r="K9" s="13"/>
      <c r="L9" s="13">
        <v>0</v>
      </c>
      <c r="M9" s="13" t="s">
        <v>100</v>
      </c>
      <c r="N9" s="13" t="s">
        <v>91</v>
      </c>
      <c r="O9" s="13">
        <v>0</v>
      </c>
      <c r="P9" s="11">
        <v>65</v>
      </c>
      <c r="Q9" s="12">
        <v>64.48</v>
      </c>
      <c r="R9" s="12">
        <v>1315.335</v>
      </c>
      <c r="S9" s="12">
        <v>0.1</v>
      </c>
      <c r="T9" s="12">
        <v>4.8600000000000003</v>
      </c>
      <c r="U9" s="12">
        <v>0.11</v>
      </c>
      <c r="V9" s="12">
        <v>0.09</v>
      </c>
      <c r="W9" s="12">
        <v>7.0000000000000007E-2</v>
      </c>
      <c r="X9" s="12">
        <v>399</v>
      </c>
      <c r="Y9" s="12">
        <v>399</v>
      </c>
      <c r="Z9" s="12">
        <v>399</v>
      </c>
      <c r="AA9" s="12">
        <v>399</v>
      </c>
      <c r="AB9" s="12">
        <v>399</v>
      </c>
      <c r="AC9" s="12">
        <v>399</v>
      </c>
      <c r="AD9" s="12">
        <v>399</v>
      </c>
      <c r="AE9" s="12">
        <v>399</v>
      </c>
      <c r="AF9" s="13"/>
      <c r="AG9" s="13"/>
      <c r="AH9" s="13"/>
    </row>
    <row r="10" spans="1:34">
      <c r="A10" s="13" t="s">
        <v>87</v>
      </c>
      <c r="B10" s="13">
        <v>220029640</v>
      </c>
      <c r="C10" s="13" t="s">
        <v>88</v>
      </c>
      <c r="D10" s="13" t="s">
        <v>89</v>
      </c>
      <c r="E10" s="13">
        <v>400454000062</v>
      </c>
      <c r="F10" s="13" t="s">
        <v>90</v>
      </c>
      <c r="G10" s="13" t="s">
        <v>90</v>
      </c>
      <c r="H10" s="13" t="s">
        <v>91</v>
      </c>
      <c r="I10" s="13" t="s">
        <v>92</v>
      </c>
      <c r="J10" s="14" t="s">
        <v>93</v>
      </c>
      <c r="K10" s="13"/>
      <c r="L10" s="13">
        <v>0</v>
      </c>
      <c r="M10" s="13" t="s">
        <v>100</v>
      </c>
      <c r="N10" s="13" t="s">
        <v>91</v>
      </c>
      <c r="O10" s="13">
        <v>0</v>
      </c>
      <c r="P10" s="11">
        <v>70</v>
      </c>
      <c r="Q10" s="12">
        <v>63.61</v>
      </c>
      <c r="R10" s="12">
        <v>1315.248</v>
      </c>
      <c r="S10" s="12">
        <v>0.1</v>
      </c>
      <c r="T10" s="12">
        <v>4.96</v>
      </c>
      <c r="U10" s="12">
        <v>0.11</v>
      </c>
      <c r="V10" s="12">
        <v>0.09</v>
      </c>
      <c r="W10" s="12">
        <v>7.0000000000000007E-2</v>
      </c>
      <c r="X10" s="12">
        <v>399</v>
      </c>
      <c r="Y10" s="12">
        <v>399</v>
      </c>
      <c r="Z10" s="12">
        <v>399</v>
      </c>
      <c r="AA10" s="12">
        <v>399</v>
      </c>
      <c r="AB10" s="12">
        <v>399</v>
      </c>
      <c r="AC10" s="12">
        <v>399</v>
      </c>
      <c r="AD10" s="12">
        <v>399</v>
      </c>
      <c r="AE10" s="12">
        <v>399</v>
      </c>
      <c r="AF10" s="13"/>
      <c r="AG10" s="13"/>
      <c r="AH10" s="13"/>
    </row>
    <row r="11" spans="1:34">
      <c r="A11" s="13" t="s">
        <v>87</v>
      </c>
      <c r="B11" s="13">
        <v>220029640</v>
      </c>
      <c r="C11" s="13" t="s">
        <v>88</v>
      </c>
      <c r="D11" s="13" t="s">
        <v>89</v>
      </c>
      <c r="E11" s="13">
        <v>400454000062</v>
      </c>
      <c r="F11" s="13" t="s">
        <v>90</v>
      </c>
      <c r="G11" s="13" t="s">
        <v>90</v>
      </c>
      <c r="H11" s="13" t="s">
        <v>91</v>
      </c>
      <c r="I11" s="13" t="s">
        <v>92</v>
      </c>
      <c r="J11" s="14" t="s">
        <v>93</v>
      </c>
      <c r="K11" s="13"/>
      <c r="L11" s="13">
        <v>0</v>
      </c>
      <c r="M11" s="13" t="s">
        <v>100</v>
      </c>
      <c r="N11" s="13" t="s">
        <v>91</v>
      </c>
      <c r="O11" s="13">
        <v>0</v>
      </c>
      <c r="P11" s="11">
        <v>75</v>
      </c>
      <c r="Q11" s="12">
        <v>62.67</v>
      </c>
      <c r="R11" s="12">
        <v>1315.162</v>
      </c>
      <c r="S11" s="12">
        <v>0.09</v>
      </c>
      <c r="T11" s="12">
        <v>5.08</v>
      </c>
      <c r="U11" s="12">
        <v>0.11</v>
      </c>
      <c r="V11" s="12">
        <v>0.09</v>
      </c>
      <c r="W11" s="12">
        <v>7.0000000000000007E-2</v>
      </c>
      <c r="X11" s="12">
        <v>399</v>
      </c>
      <c r="Y11" s="12">
        <v>399</v>
      </c>
      <c r="Z11" s="12">
        <v>399</v>
      </c>
      <c r="AA11" s="12">
        <v>399</v>
      </c>
      <c r="AB11" s="12">
        <v>399</v>
      </c>
      <c r="AC11" s="12">
        <v>399</v>
      </c>
      <c r="AD11" s="12">
        <v>399</v>
      </c>
      <c r="AE11" s="12">
        <v>399</v>
      </c>
      <c r="AF11" s="13"/>
      <c r="AG11" s="13"/>
      <c r="AH11" s="13"/>
    </row>
    <row r="12" spans="1:34">
      <c r="A12" s="13" t="s">
        <v>87</v>
      </c>
      <c r="B12" s="13">
        <v>220029640</v>
      </c>
      <c r="C12" s="13" t="s">
        <v>88</v>
      </c>
      <c r="D12" s="13" t="s">
        <v>89</v>
      </c>
      <c r="E12" s="13">
        <v>400454000062</v>
      </c>
      <c r="F12" s="13" t="s">
        <v>90</v>
      </c>
      <c r="G12" s="13" t="s">
        <v>90</v>
      </c>
      <c r="H12" s="13" t="s">
        <v>91</v>
      </c>
      <c r="I12" s="13" t="s">
        <v>92</v>
      </c>
      <c r="J12" s="14" t="s">
        <v>93</v>
      </c>
      <c r="K12" s="13"/>
      <c r="L12" s="13">
        <v>0</v>
      </c>
      <c r="M12" s="13" t="s">
        <v>100</v>
      </c>
      <c r="N12" s="13" t="s">
        <v>91</v>
      </c>
      <c r="O12" s="13">
        <v>0</v>
      </c>
      <c r="P12" s="11">
        <v>80</v>
      </c>
      <c r="Q12" s="12">
        <v>61.85</v>
      </c>
      <c r="R12" s="12">
        <v>1315.0740000000001</v>
      </c>
      <c r="S12" s="12">
        <v>0.11</v>
      </c>
      <c r="T12" s="12">
        <v>5.26</v>
      </c>
      <c r="U12" s="12">
        <v>0.11</v>
      </c>
      <c r="V12" s="12">
        <v>0.09</v>
      </c>
      <c r="W12" s="12">
        <v>7.0000000000000007E-2</v>
      </c>
      <c r="X12" s="12">
        <v>399</v>
      </c>
      <c r="Y12" s="12">
        <v>399</v>
      </c>
      <c r="Z12" s="12">
        <v>399</v>
      </c>
      <c r="AA12" s="12">
        <v>399</v>
      </c>
      <c r="AB12" s="12">
        <v>399</v>
      </c>
      <c r="AC12" s="12">
        <v>399</v>
      </c>
      <c r="AD12" s="12">
        <v>399</v>
      </c>
      <c r="AE12" s="12">
        <v>399</v>
      </c>
      <c r="AF12" s="13"/>
      <c r="AG12" s="13"/>
      <c r="AH12" s="13"/>
    </row>
    <row r="13" spans="1:34">
      <c r="A13" s="13" t="s">
        <v>87</v>
      </c>
      <c r="B13" s="13">
        <v>220029640</v>
      </c>
      <c r="C13" s="13" t="s">
        <v>88</v>
      </c>
      <c r="D13" s="13" t="s">
        <v>89</v>
      </c>
      <c r="E13" s="13">
        <v>400454000062</v>
      </c>
      <c r="F13" s="13" t="s">
        <v>90</v>
      </c>
      <c r="G13" s="13" t="s">
        <v>90</v>
      </c>
      <c r="H13" s="13" t="s">
        <v>91</v>
      </c>
      <c r="I13" s="13" t="s">
        <v>92</v>
      </c>
      <c r="J13" s="14" t="s">
        <v>93</v>
      </c>
      <c r="K13" s="13"/>
      <c r="L13" s="13">
        <v>0</v>
      </c>
      <c r="M13" s="13" t="s">
        <v>100</v>
      </c>
      <c r="N13" s="13" t="s">
        <v>91</v>
      </c>
      <c r="O13" s="13">
        <v>0</v>
      </c>
      <c r="P13" s="11">
        <v>85</v>
      </c>
      <c r="Q13" s="12">
        <v>60.99</v>
      </c>
      <c r="R13" s="12">
        <v>1314.9860000000001</v>
      </c>
      <c r="S13" s="12">
        <v>0.1</v>
      </c>
      <c r="T13" s="12">
        <v>5.33</v>
      </c>
      <c r="U13" s="12">
        <v>0.11</v>
      </c>
      <c r="V13" s="12">
        <v>0.09</v>
      </c>
      <c r="W13" s="12">
        <v>7.0000000000000007E-2</v>
      </c>
      <c r="X13" s="12">
        <v>399</v>
      </c>
      <c r="Y13" s="12">
        <v>399</v>
      </c>
      <c r="Z13" s="12">
        <v>399</v>
      </c>
      <c r="AA13" s="12">
        <v>399</v>
      </c>
      <c r="AB13" s="12">
        <v>399</v>
      </c>
      <c r="AC13" s="12">
        <v>399</v>
      </c>
      <c r="AD13" s="12">
        <v>399</v>
      </c>
      <c r="AE13" s="12">
        <v>399</v>
      </c>
      <c r="AF13" s="13"/>
      <c r="AG13" s="13"/>
      <c r="AH13" s="13"/>
    </row>
    <row r="14" spans="1:34">
      <c r="A14" s="13" t="s">
        <v>87</v>
      </c>
      <c r="B14" s="13">
        <v>220029640</v>
      </c>
      <c r="C14" s="13" t="s">
        <v>88</v>
      </c>
      <c r="D14" s="13" t="s">
        <v>89</v>
      </c>
      <c r="E14" s="13">
        <v>400454000062</v>
      </c>
      <c r="F14" s="13" t="s">
        <v>90</v>
      </c>
      <c r="G14" s="13" t="s">
        <v>90</v>
      </c>
      <c r="H14" s="13" t="s">
        <v>91</v>
      </c>
      <c r="I14" s="13" t="s">
        <v>92</v>
      </c>
      <c r="J14" s="14" t="s">
        <v>93</v>
      </c>
      <c r="K14" s="13"/>
      <c r="L14" s="13">
        <v>0</v>
      </c>
      <c r="M14" s="13" t="s">
        <v>100</v>
      </c>
      <c r="N14" s="13" t="s">
        <v>91</v>
      </c>
      <c r="O14" s="13">
        <v>0</v>
      </c>
      <c r="P14" s="11">
        <v>90</v>
      </c>
      <c r="Q14" s="12">
        <v>60.11</v>
      </c>
      <c r="R14" s="12">
        <v>1314.902</v>
      </c>
      <c r="S14" s="12">
        <v>0.1</v>
      </c>
      <c r="T14" s="12">
        <v>5.43</v>
      </c>
      <c r="U14" s="12">
        <v>0.11</v>
      </c>
      <c r="V14" s="12">
        <v>0.09</v>
      </c>
      <c r="W14" s="12">
        <v>7.0000000000000007E-2</v>
      </c>
      <c r="X14" s="12">
        <v>399</v>
      </c>
      <c r="Y14" s="12">
        <v>399</v>
      </c>
      <c r="Z14" s="12">
        <v>399</v>
      </c>
      <c r="AA14" s="12">
        <v>399</v>
      </c>
      <c r="AB14" s="12">
        <v>399</v>
      </c>
      <c r="AC14" s="12">
        <v>399</v>
      </c>
      <c r="AD14" s="12">
        <v>399</v>
      </c>
      <c r="AE14" s="12">
        <v>399</v>
      </c>
      <c r="AF14" s="13"/>
      <c r="AG14" s="13"/>
      <c r="AH14" s="13"/>
    </row>
    <row r="15" spans="1:34">
      <c r="A15" s="13" t="s">
        <v>87</v>
      </c>
      <c r="B15" s="13">
        <v>220029640</v>
      </c>
      <c r="C15" s="13" t="s">
        <v>88</v>
      </c>
      <c r="D15" s="13" t="s">
        <v>89</v>
      </c>
      <c r="E15" s="13">
        <v>400454000062</v>
      </c>
      <c r="F15" s="13" t="s">
        <v>90</v>
      </c>
      <c r="G15" s="13" t="s">
        <v>90</v>
      </c>
      <c r="H15" s="13" t="s">
        <v>91</v>
      </c>
      <c r="I15" s="13" t="s">
        <v>92</v>
      </c>
      <c r="J15" s="14" t="s">
        <v>93</v>
      </c>
      <c r="K15" s="13"/>
      <c r="L15" s="13">
        <v>0</v>
      </c>
      <c r="M15" s="13" t="s">
        <v>100</v>
      </c>
      <c r="N15" s="13" t="s">
        <v>91</v>
      </c>
      <c r="O15" s="13">
        <v>0</v>
      </c>
      <c r="P15" s="11">
        <v>95</v>
      </c>
      <c r="Q15" s="12">
        <v>59.21</v>
      </c>
      <c r="R15" s="12">
        <v>1314.817</v>
      </c>
      <c r="S15" s="12">
        <v>0.09</v>
      </c>
      <c r="T15" s="12">
        <v>5.51</v>
      </c>
      <c r="U15" s="12">
        <v>0.11</v>
      </c>
      <c r="V15" s="12">
        <v>0.09</v>
      </c>
      <c r="W15" s="12">
        <v>7.0000000000000007E-2</v>
      </c>
      <c r="X15" s="12">
        <v>399</v>
      </c>
      <c r="Y15" s="12">
        <v>399</v>
      </c>
      <c r="Z15" s="12">
        <v>399</v>
      </c>
      <c r="AA15" s="12">
        <v>399</v>
      </c>
      <c r="AB15" s="12">
        <v>399</v>
      </c>
      <c r="AC15" s="12">
        <v>399</v>
      </c>
      <c r="AD15" s="12">
        <v>399</v>
      </c>
      <c r="AE15" s="12">
        <v>399</v>
      </c>
      <c r="AF15" s="13"/>
      <c r="AG15" s="13"/>
      <c r="AH15" s="13"/>
    </row>
    <row r="16" spans="1:34">
      <c r="A16" s="13" t="s">
        <v>87</v>
      </c>
      <c r="B16" s="13">
        <v>220029640</v>
      </c>
      <c r="C16" s="13" t="s">
        <v>88</v>
      </c>
      <c r="D16" s="13" t="s">
        <v>89</v>
      </c>
      <c r="E16" s="13">
        <v>400454000062</v>
      </c>
      <c r="F16" s="13" t="s">
        <v>90</v>
      </c>
      <c r="G16" s="13" t="s">
        <v>90</v>
      </c>
      <c r="H16" s="13" t="s">
        <v>91</v>
      </c>
      <c r="I16" s="13" t="s">
        <v>92</v>
      </c>
      <c r="J16" s="14" t="s">
        <v>93</v>
      </c>
      <c r="K16" s="13"/>
      <c r="L16" s="13">
        <v>0</v>
      </c>
      <c r="M16" s="13" t="s">
        <v>100</v>
      </c>
      <c r="N16" s="13" t="s">
        <v>91</v>
      </c>
      <c r="O16" s="13">
        <v>0</v>
      </c>
      <c r="P16" s="11">
        <v>100</v>
      </c>
      <c r="Q16" s="12">
        <v>58.36</v>
      </c>
      <c r="R16" s="12">
        <v>1314.731</v>
      </c>
      <c r="S16" s="12">
        <v>0.1</v>
      </c>
      <c r="T16" s="12">
        <v>5.67</v>
      </c>
      <c r="U16" s="12">
        <v>0.11</v>
      </c>
      <c r="V16" s="12">
        <v>0.09</v>
      </c>
      <c r="W16" s="12">
        <v>7.0000000000000007E-2</v>
      </c>
      <c r="X16" s="12">
        <v>399</v>
      </c>
      <c r="Y16" s="12">
        <v>399</v>
      </c>
      <c r="Z16" s="12">
        <v>399</v>
      </c>
      <c r="AA16" s="12">
        <v>399</v>
      </c>
      <c r="AB16" s="12">
        <v>399</v>
      </c>
      <c r="AC16" s="12">
        <v>399</v>
      </c>
      <c r="AD16" s="12">
        <v>399</v>
      </c>
      <c r="AE16" s="12">
        <v>399</v>
      </c>
      <c r="AF16" s="13"/>
      <c r="AG16" s="13"/>
      <c r="AH16" s="13"/>
    </row>
    <row r="17" spans="1:34">
      <c r="A17" s="13" t="s">
        <v>87</v>
      </c>
      <c r="B17" s="13">
        <v>220029640</v>
      </c>
      <c r="C17" s="13" t="s">
        <v>88</v>
      </c>
      <c r="D17" s="13" t="s">
        <v>89</v>
      </c>
      <c r="E17" s="13">
        <v>400454000062</v>
      </c>
      <c r="F17" s="13" t="s">
        <v>90</v>
      </c>
      <c r="G17" s="13" t="s">
        <v>90</v>
      </c>
      <c r="H17" s="13" t="s">
        <v>91</v>
      </c>
      <c r="I17" s="13" t="s">
        <v>92</v>
      </c>
      <c r="J17" s="14" t="s">
        <v>93</v>
      </c>
      <c r="K17" s="13"/>
      <c r="L17" s="13">
        <v>0</v>
      </c>
      <c r="M17" s="13" t="s">
        <v>100</v>
      </c>
      <c r="N17" s="13" t="s">
        <v>91</v>
      </c>
      <c r="O17" s="13">
        <v>0</v>
      </c>
      <c r="P17" s="11">
        <v>105</v>
      </c>
      <c r="Q17" s="12">
        <v>57.54</v>
      </c>
      <c r="R17" s="12">
        <v>1314.6469999999999</v>
      </c>
      <c r="S17" s="12">
        <v>0.1</v>
      </c>
      <c r="T17" s="12">
        <v>5.71</v>
      </c>
      <c r="U17" s="12">
        <v>0.11</v>
      </c>
      <c r="V17" s="12">
        <v>0.09</v>
      </c>
      <c r="W17" s="12">
        <v>7.0000000000000007E-2</v>
      </c>
      <c r="X17" s="12">
        <v>399</v>
      </c>
      <c r="Y17" s="12">
        <v>399</v>
      </c>
      <c r="Z17" s="12">
        <v>399</v>
      </c>
      <c r="AA17" s="12">
        <v>399</v>
      </c>
      <c r="AB17" s="12">
        <v>399</v>
      </c>
      <c r="AC17" s="12">
        <v>399</v>
      </c>
      <c r="AD17" s="12">
        <v>399</v>
      </c>
      <c r="AE17" s="12">
        <v>399</v>
      </c>
      <c r="AF17" s="13"/>
      <c r="AG17" s="13"/>
      <c r="AH17" s="13"/>
    </row>
    <row r="18" spans="1:34">
      <c r="A18" s="13" t="s">
        <v>87</v>
      </c>
      <c r="B18" s="13">
        <v>220029640</v>
      </c>
      <c r="C18" s="13" t="s">
        <v>88</v>
      </c>
      <c r="D18" s="13" t="s">
        <v>89</v>
      </c>
      <c r="E18" s="13">
        <v>400454000062</v>
      </c>
      <c r="F18" s="13" t="s">
        <v>90</v>
      </c>
      <c r="G18" s="13" t="s">
        <v>90</v>
      </c>
      <c r="H18" s="13" t="s">
        <v>91</v>
      </c>
      <c r="I18" s="13" t="s">
        <v>92</v>
      </c>
      <c r="J18" s="14" t="s">
        <v>93</v>
      </c>
      <c r="K18" s="13"/>
      <c r="L18" s="13">
        <v>0</v>
      </c>
      <c r="M18" s="13" t="s">
        <v>100</v>
      </c>
      <c r="N18" s="13" t="s">
        <v>91</v>
      </c>
      <c r="O18" s="13">
        <v>0</v>
      </c>
      <c r="P18" s="11">
        <v>110</v>
      </c>
      <c r="Q18" s="12">
        <v>56.68</v>
      </c>
      <c r="R18" s="12">
        <v>1314.566</v>
      </c>
      <c r="S18" s="12">
        <v>0.09</v>
      </c>
      <c r="T18" s="12">
        <v>5.79</v>
      </c>
      <c r="U18" s="12">
        <v>0.11</v>
      </c>
      <c r="V18" s="12">
        <v>0.09</v>
      </c>
      <c r="W18" s="12">
        <v>7.0000000000000007E-2</v>
      </c>
      <c r="X18" s="12">
        <v>399</v>
      </c>
      <c r="Y18" s="12">
        <v>399</v>
      </c>
      <c r="Z18" s="12">
        <v>399</v>
      </c>
      <c r="AA18" s="12">
        <v>399</v>
      </c>
      <c r="AB18" s="12">
        <v>399</v>
      </c>
      <c r="AC18" s="12">
        <v>399</v>
      </c>
      <c r="AD18" s="12">
        <v>399</v>
      </c>
      <c r="AE18" s="12">
        <v>399</v>
      </c>
      <c r="AF18" s="13"/>
      <c r="AG18" s="13"/>
      <c r="AH18" s="13"/>
    </row>
    <row r="19" spans="1:34">
      <c r="A19" s="13" t="s">
        <v>87</v>
      </c>
      <c r="B19" s="13">
        <v>220029640</v>
      </c>
      <c r="C19" s="13" t="s">
        <v>88</v>
      </c>
      <c r="D19" s="13" t="s">
        <v>89</v>
      </c>
      <c r="E19" s="13">
        <v>400454000062</v>
      </c>
      <c r="F19" s="13" t="s">
        <v>90</v>
      </c>
      <c r="G19" s="13" t="s">
        <v>90</v>
      </c>
      <c r="H19" s="13" t="s">
        <v>91</v>
      </c>
      <c r="I19" s="13" t="s">
        <v>92</v>
      </c>
      <c r="J19" s="14" t="s">
        <v>93</v>
      </c>
      <c r="K19" s="13"/>
      <c r="L19" s="13">
        <v>0</v>
      </c>
      <c r="M19" s="13" t="s">
        <v>100</v>
      </c>
      <c r="N19" s="13" t="s">
        <v>91</v>
      </c>
      <c r="O19" s="13">
        <v>0</v>
      </c>
      <c r="P19" s="11">
        <v>115</v>
      </c>
      <c r="Q19" s="12">
        <v>55.84</v>
      </c>
      <c r="R19" s="12">
        <v>1314.4880000000001</v>
      </c>
      <c r="S19" s="12">
        <v>0.09</v>
      </c>
      <c r="T19" s="12">
        <v>5.86</v>
      </c>
      <c r="U19" s="12">
        <v>0.11</v>
      </c>
      <c r="V19" s="12">
        <v>0.09</v>
      </c>
      <c r="W19" s="12">
        <v>7.0000000000000007E-2</v>
      </c>
      <c r="X19" s="12">
        <v>399</v>
      </c>
      <c r="Y19" s="12">
        <v>399</v>
      </c>
      <c r="Z19" s="12">
        <v>399</v>
      </c>
      <c r="AA19" s="12">
        <v>399</v>
      </c>
      <c r="AB19" s="12">
        <v>399</v>
      </c>
      <c r="AC19" s="12">
        <v>399</v>
      </c>
      <c r="AD19" s="12">
        <v>399</v>
      </c>
      <c r="AE19" s="12">
        <v>399</v>
      </c>
      <c r="AF19" s="13"/>
      <c r="AG19" s="13"/>
      <c r="AH19" s="13"/>
    </row>
    <row r="20" spans="1:34">
      <c r="A20" s="13" t="s">
        <v>87</v>
      </c>
      <c r="B20" s="13">
        <v>220029640</v>
      </c>
      <c r="C20" s="13" t="s">
        <v>88</v>
      </c>
      <c r="D20" s="13" t="s">
        <v>89</v>
      </c>
      <c r="E20" s="13">
        <v>400454000062</v>
      </c>
      <c r="F20" s="13" t="s">
        <v>90</v>
      </c>
      <c r="G20" s="13" t="s">
        <v>90</v>
      </c>
      <c r="H20" s="13" t="s">
        <v>91</v>
      </c>
      <c r="I20" s="13" t="s">
        <v>92</v>
      </c>
      <c r="J20" s="14" t="s">
        <v>93</v>
      </c>
      <c r="K20" s="13"/>
      <c r="L20" s="13">
        <v>0</v>
      </c>
      <c r="M20" s="13" t="s">
        <v>100</v>
      </c>
      <c r="N20" s="13" t="s">
        <v>91</v>
      </c>
      <c r="O20" s="13">
        <v>0</v>
      </c>
      <c r="P20" s="11">
        <v>120</v>
      </c>
      <c r="Q20" s="12">
        <v>55.01</v>
      </c>
      <c r="R20" s="12">
        <v>1314.413</v>
      </c>
      <c r="S20" s="12">
        <v>0.09</v>
      </c>
      <c r="T20" s="12">
        <v>5.9</v>
      </c>
      <c r="U20" s="12">
        <v>0.11</v>
      </c>
      <c r="V20" s="12">
        <v>0.09</v>
      </c>
      <c r="W20" s="12">
        <v>7.0000000000000007E-2</v>
      </c>
      <c r="X20" s="12">
        <v>399</v>
      </c>
      <c r="Y20" s="12">
        <v>399</v>
      </c>
      <c r="Z20" s="12">
        <v>399</v>
      </c>
      <c r="AA20" s="12">
        <v>399</v>
      </c>
      <c r="AB20" s="12">
        <v>399</v>
      </c>
      <c r="AC20" s="12">
        <v>399</v>
      </c>
      <c r="AD20" s="12">
        <v>399</v>
      </c>
      <c r="AE20" s="12">
        <v>399</v>
      </c>
      <c r="AF20" s="13"/>
      <c r="AG20" s="13"/>
      <c r="AH20" s="13"/>
    </row>
    <row r="21" spans="1:34">
      <c r="A21" s="13" t="s">
        <v>87</v>
      </c>
      <c r="B21" s="13">
        <v>220029640</v>
      </c>
      <c r="C21" s="13" t="s">
        <v>88</v>
      </c>
      <c r="D21" s="13" t="s">
        <v>89</v>
      </c>
      <c r="E21" s="13">
        <v>400454000062</v>
      </c>
      <c r="F21" s="13" t="s">
        <v>90</v>
      </c>
      <c r="G21" s="13" t="s">
        <v>90</v>
      </c>
      <c r="H21" s="13" t="s">
        <v>91</v>
      </c>
      <c r="I21" s="13" t="s">
        <v>92</v>
      </c>
      <c r="J21" s="14" t="s">
        <v>93</v>
      </c>
      <c r="K21" s="13"/>
      <c r="L21" s="13">
        <v>0</v>
      </c>
      <c r="M21" s="13" t="s">
        <v>100</v>
      </c>
      <c r="N21" s="13" t="s">
        <v>91</v>
      </c>
      <c r="O21" s="13">
        <v>0</v>
      </c>
      <c r="P21" s="11">
        <v>125</v>
      </c>
      <c r="Q21" s="12">
        <v>54.16</v>
      </c>
      <c r="R21" s="12">
        <v>1314.335</v>
      </c>
      <c r="S21" s="12">
        <v>0.09</v>
      </c>
      <c r="T21" s="12">
        <v>5.99</v>
      </c>
      <c r="U21" s="12">
        <v>0.11</v>
      </c>
      <c r="V21" s="12">
        <v>0.09</v>
      </c>
      <c r="W21" s="12">
        <v>7.0000000000000007E-2</v>
      </c>
      <c r="X21" s="12">
        <v>399</v>
      </c>
      <c r="Y21" s="12">
        <v>399</v>
      </c>
      <c r="Z21" s="12">
        <v>399</v>
      </c>
      <c r="AA21" s="12">
        <v>399</v>
      </c>
      <c r="AB21" s="12">
        <v>399</v>
      </c>
      <c r="AC21" s="12">
        <v>399</v>
      </c>
      <c r="AD21" s="12">
        <v>399</v>
      </c>
      <c r="AE21" s="12">
        <v>399</v>
      </c>
      <c r="AF21" s="13"/>
      <c r="AG21" s="13"/>
      <c r="AH21" s="13"/>
    </row>
    <row r="22" spans="1:34">
      <c r="A22" s="13" t="s">
        <v>87</v>
      </c>
      <c r="B22" s="13">
        <v>220029640</v>
      </c>
      <c r="C22" s="13" t="s">
        <v>88</v>
      </c>
      <c r="D22" s="13" t="s">
        <v>89</v>
      </c>
      <c r="E22" s="13">
        <v>400454000062</v>
      </c>
      <c r="F22" s="13" t="s">
        <v>90</v>
      </c>
      <c r="G22" s="13" t="s">
        <v>90</v>
      </c>
      <c r="H22" s="13" t="s">
        <v>91</v>
      </c>
      <c r="I22" s="13" t="s">
        <v>92</v>
      </c>
      <c r="J22" s="14" t="s">
        <v>93</v>
      </c>
      <c r="K22" s="13"/>
      <c r="L22" s="13">
        <v>0</v>
      </c>
      <c r="M22" s="13" t="s">
        <v>100</v>
      </c>
      <c r="N22" s="13" t="s">
        <v>91</v>
      </c>
      <c r="O22" s="13">
        <v>0</v>
      </c>
      <c r="P22" s="11">
        <v>130</v>
      </c>
      <c r="Q22" s="12">
        <v>53.32</v>
      </c>
      <c r="R22" s="12">
        <v>1314.2560000000001</v>
      </c>
      <c r="S22" s="12">
        <v>0.09</v>
      </c>
      <c r="T22" s="12">
        <v>6.1</v>
      </c>
      <c r="U22" s="12">
        <v>0.11</v>
      </c>
      <c r="V22" s="12">
        <v>0.09</v>
      </c>
      <c r="W22" s="12">
        <v>7.0000000000000007E-2</v>
      </c>
      <c r="X22" s="12">
        <v>399</v>
      </c>
      <c r="Y22" s="12">
        <v>399</v>
      </c>
      <c r="Z22" s="12">
        <v>399</v>
      </c>
      <c r="AA22" s="12">
        <v>399</v>
      </c>
      <c r="AB22" s="12">
        <v>399</v>
      </c>
      <c r="AC22" s="12">
        <v>399</v>
      </c>
      <c r="AD22" s="12">
        <v>399</v>
      </c>
      <c r="AE22" s="12">
        <v>399</v>
      </c>
      <c r="AF22" s="13"/>
      <c r="AG22" s="13"/>
      <c r="AH22" s="13"/>
    </row>
    <row r="23" spans="1:34">
      <c r="A23" s="13" t="s">
        <v>87</v>
      </c>
      <c r="B23" s="13">
        <v>220029640</v>
      </c>
      <c r="C23" s="13" t="s">
        <v>88</v>
      </c>
      <c r="D23" s="13" t="s">
        <v>89</v>
      </c>
      <c r="E23" s="13">
        <v>400454000062</v>
      </c>
      <c r="F23" s="13" t="s">
        <v>90</v>
      </c>
      <c r="G23" s="13" t="s">
        <v>90</v>
      </c>
      <c r="H23" s="13" t="s">
        <v>91</v>
      </c>
      <c r="I23" s="13" t="s">
        <v>92</v>
      </c>
      <c r="J23" s="14" t="s">
        <v>93</v>
      </c>
      <c r="K23" s="13"/>
      <c r="L23" s="13">
        <v>0</v>
      </c>
      <c r="M23" s="13" t="s">
        <v>100</v>
      </c>
      <c r="N23" s="13" t="s">
        <v>91</v>
      </c>
      <c r="O23" s="13">
        <v>0</v>
      </c>
      <c r="P23" s="11">
        <v>135</v>
      </c>
      <c r="Q23" s="12">
        <v>52.46</v>
      </c>
      <c r="R23" s="12">
        <v>1314.1790000000001</v>
      </c>
      <c r="S23" s="12">
        <v>0.09</v>
      </c>
      <c r="T23" s="12">
        <v>6.24</v>
      </c>
      <c r="U23" s="12">
        <v>0.11</v>
      </c>
      <c r="V23" s="12">
        <v>0.09</v>
      </c>
      <c r="W23" s="12">
        <v>7.0000000000000007E-2</v>
      </c>
      <c r="X23" s="12">
        <v>399</v>
      </c>
      <c r="Y23" s="12">
        <v>399</v>
      </c>
      <c r="Z23" s="12">
        <v>399</v>
      </c>
      <c r="AA23" s="12">
        <v>399</v>
      </c>
      <c r="AB23" s="12">
        <v>399</v>
      </c>
      <c r="AC23" s="12">
        <v>399</v>
      </c>
      <c r="AD23" s="12">
        <v>399</v>
      </c>
      <c r="AE23" s="12">
        <v>399</v>
      </c>
      <c r="AF23" s="13"/>
      <c r="AG23" s="13"/>
      <c r="AH23" s="13"/>
    </row>
    <row r="24" spans="1:34">
      <c r="A24" s="13" t="s">
        <v>87</v>
      </c>
      <c r="B24" s="13">
        <v>220029640</v>
      </c>
      <c r="C24" s="13" t="s">
        <v>88</v>
      </c>
      <c r="D24" s="13" t="s">
        <v>89</v>
      </c>
      <c r="E24" s="13">
        <v>400454000062</v>
      </c>
      <c r="F24" s="13" t="s">
        <v>90</v>
      </c>
      <c r="G24" s="13" t="s">
        <v>90</v>
      </c>
      <c r="H24" s="13" t="s">
        <v>91</v>
      </c>
      <c r="I24" s="13" t="s">
        <v>92</v>
      </c>
      <c r="J24" s="14" t="s">
        <v>93</v>
      </c>
      <c r="K24" s="13"/>
      <c r="L24" s="13">
        <v>0</v>
      </c>
      <c r="M24" s="13" t="s">
        <v>100</v>
      </c>
      <c r="N24" s="13" t="s">
        <v>91</v>
      </c>
      <c r="O24" s="13">
        <v>0</v>
      </c>
      <c r="P24" s="11">
        <v>140</v>
      </c>
      <c r="Q24" s="12">
        <v>51.61</v>
      </c>
      <c r="R24" s="12">
        <v>1314.1020000000001</v>
      </c>
      <c r="S24" s="12">
        <v>0.09</v>
      </c>
      <c r="T24" s="12">
        <v>6.3</v>
      </c>
      <c r="U24" s="12">
        <v>0.11</v>
      </c>
      <c r="V24" s="12">
        <v>0.09</v>
      </c>
      <c r="W24" s="12">
        <v>7.0000000000000007E-2</v>
      </c>
      <c r="X24" s="12">
        <v>399</v>
      </c>
      <c r="Y24" s="12">
        <v>399</v>
      </c>
      <c r="Z24" s="12">
        <v>399</v>
      </c>
      <c r="AA24" s="12">
        <v>399</v>
      </c>
      <c r="AB24" s="12">
        <v>399</v>
      </c>
      <c r="AC24" s="12">
        <v>399</v>
      </c>
      <c r="AD24" s="12">
        <v>399</v>
      </c>
      <c r="AE24" s="12">
        <v>399</v>
      </c>
      <c r="AF24" s="13"/>
      <c r="AG24" s="13"/>
      <c r="AH24" s="13"/>
    </row>
    <row r="25" spans="1:34">
      <c r="A25" s="13" t="s">
        <v>87</v>
      </c>
      <c r="B25" s="13">
        <v>220029640</v>
      </c>
      <c r="C25" s="13" t="s">
        <v>88</v>
      </c>
      <c r="D25" s="13" t="s">
        <v>89</v>
      </c>
      <c r="E25" s="13">
        <v>400454000062</v>
      </c>
      <c r="F25" s="13" t="s">
        <v>90</v>
      </c>
      <c r="G25" s="13" t="s">
        <v>90</v>
      </c>
      <c r="H25" s="13" t="s">
        <v>91</v>
      </c>
      <c r="I25" s="13" t="s">
        <v>92</v>
      </c>
      <c r="J25" s="14" t="s">
        <v>93</v>
      </c>
      <c r="K25" s="13"/>
      <c r="L25" s="13">
        <v>0</v>
      </c>
      <c r="M25" s="13" t="s">
        <v>100</v>
      </c>
      <c r="N25" s="13" t="s">
        <v>91</v>
      </c>
      <c r="O25" s="13">
        <v>0</v>
      </c>
      <c r="P25" s="11">
        <v>145</v>
      </c>
      <c r="Q25" s="12">
        <v>50.75</v>
      </c>
      <c r="R25" s="12">
        <v>1314.0239999999999</v>
      </c>
      <c r="S25" s="12">
        <v>0.09</v>
      </c>
      <c r="T25" s="12">
        <v>6.38</v>
      </c>
      <c r="U25" s="12">
        <v>0.11</v>
      </c>
      <c r="V25" s="12">
        <v>0.09</v>
      </c>
      <c r="W25" s="12">
        <v>7.0000000000000007E-2</v>
      </c>
      <c r="X25" s="12">
        <v>399</v>
      </c>
      <c r="Y25" s="12">
        <v>399</v>
      </c>
      <c r="Z25" s="12">
        <v>399</v>
      </c>
      <c r="AA25" s="12">
        <v>399</v>
      </c>
      <c r="AB25" s="12">
        <v>399</v>
      </c>
      <c r="AC25" s="12">
        <v>399</v>
      </c>
      <c r="AD25" s="12">
        <v>399</v>
      </c>
      <c r="AE25" s="12">
        <v>399</v>
      </c>
      <c r="AF25" s="13"/>
      <c r="AG25" s="13"/>
      <c r="AH25" s="13"/>
    </row>
    <row r="26" spans="1:34">
      <c r="A26" s="13" t="s">
        <v>87</v>
      </c>
      <c r="B26" s="13">
        <v>220029640</v>
      </c>
      <c r="C26" s="13" t="s">
        <v>88</v>
      </c>
      <c r="D26" s="13" t="s">
        <v>89</v>
      </c>
      <c r="E26" s="13">
        <v>400454000062</v>
      </c>
      <c r="F26" s="13" t="s">
        <v>90</v>
      </c>
      <c r="G26" s="13" t="s">
        <v>90</v>
      </c>
      <c r="H26" s="13" t="s">
        <v>91</v>
      </c>
      <c r="I26" s="13" t="s">
        <v>92</v>
      </c>
      <c r="J26" s="14" t="s">
        <v>93</v>
      </c>
      <c r="K26" s="13"/>
      <c r="L26" s="13">
        <v>0</v>
      </c>
      <c r="M26" s="13" t="s">
        <v>100</v>
      </c>
      <c r="N26" s="13" t="s">
        <v>91</v>
      </c>
      <c r="O26" s="13">
        <v>0</v>
      </c>
      <c r="P26" s="11">
        <v>150</v>
      </c>
      <c r="Q26" s="12">
        <v>49.93</v>
      </c>
      <c r="R26" s="12">
        <v>1313.9449999999999</v>
      </c>
      <c r="S26" s="12">
        <v>0.1</v>
      </c>
      <c r="T26" s="12">
        <v>6.42</v>
      </c>
      <c r="U26" s="12">
        <v>0.11</v>
      </c>
      <c r="V26" s="12">
        <v>0.09</v>
      </c>
      <c r="W26" s="12">
        <v>7.0000000000000007E-2</v>
      </c>
      <c r="X26" s="12">
        <v>399</v>
      </c>
      <c r="Y26" s="12">
        <v>399</v>
      </c>
      <c r="Z26" s="12">
        <v>399</v>
      </c>
      <c r="AA26" s="12">
        <v>399</v>
      </c>
      <c r="AB26" s="12">
        <v>399</v>
      </c>
      <c r="AC26" s="12">
        <v>399</v>
      </c>
      <c r="AD26" s="12">
        <v>399</v>
      </c>
      <c r="AE26" s="12">
        <v>399</v>
      </c>
      <c r="AF26" s="13"/>
      <c r="AG26" s="13"/>
      <c r="AH26" s="13"/>
    </row>
    <row r="27" spans="1:34">
      <c r="A27" s="13" t="s">
        <v>87</v>
      </c>
      <c r="B27" s="13">
        <v>220029640</v>
      </c>
      <c r="C27" s="13" t="s">
        <v>88</v>
      </c>
      <c r="D27" s="13" t="s">
        <v>89</v>
      </c>
      <c r="E27" s="13">
        <v>400454000062</v>
      </c>
      <c r="F27" s="13" t="s">
        <v>90</v>
      </c>
      <c r="G27" s="13" t="s">
        <v>90</v>
      </c>
      <c r="H27" s="13" t="s">
        <v>91</v>
      </c>
      <c r="I27" s="13" t="s">
        <v>92</v>
      </c>
      <c r="J27" s="14" t="s">
        <v>93</v>
      </c>
      <c r="K27" s="13"/>
      <c r="L27" s="13">
        <v>0</v>
      </c>
      <c r="M27" s="13" t="s">
        <v>100</v>
      </c>
      <c r="N27" s="13" t="s">
        <v>91</v>
      </c>
      <c r="O27" s="13">
        <v>0</v>
      </c>
      <c r="P27" s="11">
        <v>155</v>
      </c>
      <c r="Q27" s="12">
        <v>49.2</v>
      </c>
      <c r="R27" s="12">
        <v>1313.864</v>
      </c>
      <c r="S27" s="12">
        <v>0.11</v>
      </c>
      <c r="T27" s="12">
        <v>6.55</v>
      </c>
      <c r="U27" s="12">
        <v>0.11</v>
      </c>
      <c r="V27" s="12">
        <v>0.09</v>
      </c>
      <c r="W27" s="12">
        <v>7.0000000000000007E-2</v>
      </c>
      <c r="X27" s="12">
        <v>399</v>
      </c>
      <c r="Y27" s="12">
        <v>399</v>
      </c>
      <c r="Z27" s="12">
        <v>399</v>
      </c>
      <c r="AA27" s="12">
        <v>399</v>
      </c>
      <c r="AB27" s="12">
        <v>399</v>
      </c>
      <c r="AC27" s="12">
        <v>399</v>
      </c>
      <c r="AD27" s="12">
        <v>399</v>
      </c>
      <c r="AE27" s="12">
        <v>399</v>
      </c>
      <c r="AF27" s="13"/>
      <c r="AG27" s="13"/>
      <c r="AH27" s="13"/>
    </row>
    <row r="28" spans="1:34">
      <c r="A28" s="13" t="s">
        <v>87</v>
      </c>
      <c r="B28" s="13">
        <v>220029640</v>
      </c>
      <c r="C28" s="13" t="s">
        <v>88</v>
      </c>
      <c r="D28" s="13" t="s">
        <v>89</v>
      </c>
      <c r="E28" s="13">
        <v>400454000062</v>
      </c>
      <c r="F28" s="13" t="s">
        <v>90</v>
      </c>
      <c r="G28" s="13" t="s">
        <v>90</v>
      </c>
      <c r="H28" s="13" t="s">
        <v>91</v>
      </c>
      <c r="I28" s="13" t="s">
        <v>92</v>
      </c>
      <c r="J28" s="14" t="s">
        <v>93</v>
      </c>
      <c r="K28" s="13"/>
      <c r="L28" s="13">
        <v>0</v>
      </c>
      <c r="M28" s="13" t="s">
        <v>100</v>
      </c>
      <c r="N28" s="13" t="s">
        <v>91</v>
      </c>
      <c r="O28" s="13">
        <v>0</v>
      </c>
      <c r="P28" s="11">
        <v>160</v>
      </c>
      <c r="Q28" s="12">
        <v>48.12</v>
      </c>
      <c r="R28" s="12">
        <v>1313.7850000000001</v>
      </c>
      <c r="S28" s="12">
        <v>7.0000000000000007E-2</v>
      </c>
      <c r="T28" s="12">
        <v>6.66</v>
      </c>
      <c r="U28" s="12">
        <v>0.11</v>
      </c>
      <c r="V28" s="12">
        <v>0.09</v>
      </c>
      <c r="W28" s="12">
        <v>7.0000000000000007E-2</v>
      </c>
      <c r="X28" s="12">
        <v>399</v>
      </c>
      <c r="Y28" s="12">
        <v>399</v>
      </c>
      <c r="Z28" s="12">
        <v>399</v>
      </c>
      <c r="AA28" s="12">
        <v>399</v>
      </c>
      <c r="AB28" s="12">
        <v>399</v>
      </c>
      <c r="AC28" s="12">
        <v>399</v>
      </c>
      <c r="AD28" s="12">
        <v>399</v>
      </c>
      <c r="AE28" s="12">
        <v>399</v>
      </c>
      <c r="AF28" s="13"/>
      <c r="AG28" s="13"/>
      <c r="AH28" s="13"/>
    </row>
    <row r="29" spans="1:34">
      <c r="A29" s="13" t="s">
        <v>87</v>
      </c>
      <c r="B29" s="13">
        <v>220029640</v>
      </c>
      <c r="C29" s="13" t="s">
        <v>88</v>
      </c>
      <c r="D29" s="13" t="s">
        <v>89</v>
      </c>
      <c r="E29" s="13">
        <v>400454000062</v>
      </c>
      <c r="F29" s="13" t="s">
        <v>90</v>
      </c>
      <c r="G29" s="13" t="s">
        <v>90</v>
      </c>
      <c r="H29" s="13" t="s">
        <v>91</v>
      </c>
      <c r="I29" s="13" t="s">
        <v>92</v>
      </c>
      <c r="J29" s="14" t="s">
        <v>93</v>
      </c>
      <c r="K29" s="13"/>
      <c r="L29" s="13">
        <v>0</v>
      </c>
      <c r="M29" s="13" t="s">
        <v>100</v>
      </c>
      <c r="N29" s="13" t="s">
        <v>91</v>
      </c>
      <c r="O29" s="13">
        <v>0</v>
      </c>
      <c r="P29" s="11">
        <v>165</v>
      </c>
      <c r="Q29" s="12">
        <v>47.27</v>
      </c>
      <c r="R29" s="12">
        <v>1313.6959999999999</v>
      </c>
      <c r="S29" s="12">
        <v>0.1</v>
      </c>
      <c r="T29" s="12">
        <v>6.74</v>
      </c>
      <c r="U29" s="12">
        <v>0.11</v>
      </c>
      <c r="V29" s="12">
        <v>0.09</v>
      </c>
      <c r="W29" s="12">
        <v>7.0000000000000007E-2</v>
      </c>
      <c r="X29" s="12">
        <v>399</v>
      </c>
      <c r="Y29" s="12">
        <v>399</v>
      </c>
      <c r="Z29" s="12">
        <v>399</v>
      </c>
      <c r="AA29" s="12">
        <v>399</v>
      </c>
      <c r="AB29" s="12">
        <v>399</v>
      </c>
      <c r="AC29" s="12">
        <v>399</v>
      </c>
      <c r="AD29" s="12">
        <v>399</v>
      </c>
      <c r="AE29" s="12">
        <v>399</v>
      </c>
      <c r="AF29" s="13"/>
      <c r="AG29" s="13"/>
      <c r="AH29" s="13"/>
    </row>
    <row r="30" spans="1:34">
      <c r="A30" s="13" t="s">
        <v>87</v>
      </c>
      <c r="B30" s="13">
        <v>220029640</v>
      </c>
      <c r="C30" s="13" t="s">
        <v>88</v>
      </c>
      <c r="D30" s="13" t="s">
        <v>89</v>
      </c>
      <c r="E30" s="13">
        <v>400454000062</v>
      </c>
      <c r="F30" s="13" t="s">
        <v>90</v>
      </c>
      <c r="G30" s="13" t="s">
        <v>90</v>
      </c>
      <c r="H30" s="13" t="s">
        <v>91</v>
      </c>
      <c r="I30" s="13" t="s">
        <v>92</v>
      </c>
      <c r="J30" s="14" t="s">
        <v>93</v>
      </c>
      <c r="K30" s="13"/>
      <c r="L30" s="13">
        <v>0</v>
      </c>
      <c r="M30" s="13" t="s">
        <v>100</v>
      </c>
      <c r="N30" s="13" t="s">
        <v>91</v>
      </c>
      <c r="O30" s="13">
        <v>0</v>
      </c>
      <c r="P30" s="11">
        <v>170</v>
      </c>
      <c r="Q30" s="12">
        <v>46.4</v>
      </c>
      <c r="R30" s="12">
        <v>1313.614</v>
      </c>
      <c r="S30" s="12">
        <v>0.09</v>
      </c>
      <c r="T30" s="12">
        <v>6.84</v>
      </c>
      <c r="U30" s="12">
        <v>0.11</v>
      </c>
      <c r="V30" s="12">
        <v>0.09</v>
      </c>
      <c r="W30" s="12">
        <v>7.0000000000000007E-2</v>
      </c>
      <c r="X30" s="12">
        <v>399</v>
      </c>
      <c r="Y30" s="12">
        <v>399</v>
      </c>
      <c r="Z30" s="12">
        <v>399</v>
      </c>
      <c r="AA30" s="12">
        <v>399</v>
      </c>
      <c r="AB30" s="12">
        <v>399</v>
      </c>
      <c r="AC30" s="12">
        <v>399</v>
      </c>
      <c r="AD30" s="12">
        <v>399</v>
      </c>
      <c r="AE30" s="12">
        <v>399</v>
      </c>
      <c r="AF30" s="13"/>
      <c r="AG30" s="13"/>
      <c r="AH30" s="13"/>
    </row>
    <row r="31" spans="1:34">
      <c r="A31" s="13" t="s">
        <v>87</v>
      </c>
      <c r="B31" s="13">
        <v>220029640</v>
      </c>
      <c r="C31" s="13" t="s">
        <v>88</v>
      </c>
      <c r="D31" s="13" t="s">
        <v>89</v>
      </c>
      <c r="E31" s="13">
        <v>400454000062</v>
      </c>
      <c r="F31" s="13" t="s">
        <v>90</v>
      </c>
      <c r="G31" s="13" t="s">
        <v>90</v>
      </c>
      <c r="H31" s="13" t="s">
        <v>91</v>
      </c>
      <c r="I31" s="13" t="s">
        <v>92</v>
      </c>
      <c r="J31" s="14" t="s">
        <v>93</v>
      </c>
      <c r="K31" s="13"/>
      <c r="L31" s="13">
        <v>0</v>
      </c>
      <c r="M31" s="13" t="s">
        <v>100</v>
      </c>
      <c r="N31" s="13" t="s">
        <v>91</v>
      </c>
      <c r="O31" s="13">
        <v>0</v>
      </c>
      <c r="P31" s="11">
        <v>175</v>
      </c>
      <c r="Q31" s="12">
        <v>45.59</v>
      </c>
      <c r="R31" s="12">
        <v>1313.5350000000001</v>
      </c>
      <c r="S31" s="12">
        <v>0.1</v>
      </c>
      <c r="T31" s="12">
        <v>6.89</v>
      </c>
      <c r="U31" s="12">
        <v>0.11</v>
      </c>
      <c r="V31" s="12">
        <v>0.09</v>
      </c>
      <c r="W31" s="12">
        <v>7.0000000000000007E-2</v>
      </c>
      <c r="X31" s="12">
        <v>399</v>
      </c>
      <c r="Y31" s="12">
        <v>399</v>
      </c>
      <c r="Z31" s="12">
        <v>399</v>
      </c>
      <c r="AA31" s="12">
        <v>399</v>
      </c>
      <c r="AB31" s="12">
        <v>399</v>
      </c>
      <c r="AC31" s="12">
        <v>399</v>
      </c>
      <c r="AD31" s="12">
        <v>399</v>
      </c>
      <c r="AE31" s="12">
        <v>399</v>
      </c>
      <c r="AF31" s="13"/>
      <c r="AG31" s="13"/>
      <c r="AH31" s="13"/>
    </row>
    <row r="32" spans="1:34">
      <c r="A32" s="13" t="s">
        <v>87</v>
      </c>
      <c r="B32" s="13">
        <v>220029640</v>
      </c>
      <c r="C32" s="13" t="s">
        <v>88</v>
      </c>
      <c r="D32" s="13" t="s">
        <v>89</v>
      </c>
      <c r="E32" s="13">
        <v>400454000062</v>
      </c>
      <c r="F32" s="13" t="s">
        <v>90</v>
      </c>
      <c r="G32" s="13" t="s">
        <v>90</v>
      </c>
      <c r="H32" s="13" t="s">
        <v>91</v>
      </c>
      <c r="I32" s="13" t="s">
        <v>92</v>
      </c>
      <c r="J32" s="14" t="s">
        <v>93</v>
      </c>
      <c r="K32" s="13"/>
      <c r="L32" s="13">
        <v>0</v>
      </c>
      <c r="M32" s="13" t="s">
        <v>100</v>
      </c>
      <c r="N32" s="13" t="s">
        <v>91</v>
      </c>
      <c r="O32" s="13">
        <v>0</v>
      </c>
      <c r="P32" s="11">
        <v>180</v>
      </c>
      <c r="Q32" s="12">
        <v>44.75</v>
      </c>
      <c r="R32" s="12">
        <v>1313.454</v>
      </c>
      <c r="S32" s="12">
        <v>0.1</v>
      </c>
      <c r="T32" s="12">
        <v>6.98</v>
      </c>
      <c r="U32" s="12">
        <v>0.11</v>
      </c>
      <c r="V32" s="12">
        <v>0.09</v>
      </c>
      <c r="W32" s="12">
        <v>7.0000000000000007E-2</v>
      </c>
      <c r="X32" s="12">
        <v>399</v>
      </c>
      <c r="Y32" s="12">
        <v>399</v>
      </c>
      <c r="Z32" s="12">
        <v>399</v>
      </c>
      <c r="AA32" s="12">
        <v>399</v>
      </c>
      <c r="AB32" s="12">
        <v>399</v>
      </c>
      <c r="AC32" s="12">
        <v>399</v>
      </c>
      <c r="AD32" s="12">
        <v>399</v>
      </c>
      <c r="AE32" s="12">
        <v>399</v>
      </c>
      <c r="AF32" s="13"/>
      <c r="AG32" s="13"/>
      <c r="AH32" s="13"/>
    </row>
    <row r="33" spans="1:34">
      <c r="A33" s="13" t="s">
        <v>87</v>
      </c>
      <c r="B33" s="13">
        <v>220029640</v>
      </c>
      <c r="C33" s="13" t="s">
        <v>88</v>
      </c>
      <c r="D33" s="13" t="s">
        <v>89</v>
      </c>
      <c r="E33" s="13">
        <v>400454000062</v>
      </c>
      <c r="F33" s="13" t="s">
        <v>90</v>
      </c>
      <c r="G33" s="13" t="s">
        <v>90</v>
      </c>
      <c r="H33" s="13" t="s">
        <v>91</v>
      </c>
      <c r="I33" s="13" t="s">
        <v>92</v>
      </c>
      <c r="J33" s="14" t="s">
        <v>93</v>
      </c>
      <c r="K33" s="13"/>
      <c r="L33" s="13">
        <v>0</v>
      </c>
      <c r="M33" s="13" t="s">
        <v>100</v>
      </c>
      <c r="N33" s="13" t="s">
        <v>91</v>
      </c>
      <c r="O33" s="13">
        <v>0</v>
      </c>
      <c r="P33" s="11">
        <v>185</v>
      </c>
      <c r="Q33" s="12">
        <v>43.89</v>
      </c>
      <c r="R33" s="12">
        <v>1313.374</v>
      </c>
      <c r="S33" s="12">
        <v>0.09</v>
      </c>
      <c r="T33" s="12">
        <v>7</v>
      </c>
      <c r="U33" s="12">
        <v>0.11</v>
      </c>
      <c r="V33" s="12">
        <v>0.09</v>
      </c>
      <c r="W33" s="12">
        <v>7.0000000000000007E-2</v>
      </c>
      <c r="X33" s="12">
        <v>399</v>
      </c>
      <c r="Y33" s="12">
        <v>399</v>
      </c>
      <c r="Z33" s="12">
        <v>399</v>
      </c>
      <c r="AA33" s="12">
        <v>399</v>
      </c>
      <c r="AB33" s="12">
        <v>399</v>
      </c>
      <c r="AC33" s="12">
        <v>399</v>
      </c>
      <c r="AD33" s="12">
        <v>399</v>
      </c>
      <c r="AE33" s="12">
        <v>399</v>
      </c>
      <c r="AF33" s="13"/>
      <c r="AG33" s="13"/>
      <c r="AH33" s="13"/>
    </row>
    <row r="34" spans="1:34">
      <c r="A34" s="13" t="s">
        <v>87</v>
      </c>
      <c r="B34" s="13">
        <v>220029640</v>
      </c>
      <c r="C34" s="13" t="s">
        <v>88</v>
      </c>
      <c r="D34" s="13" t="s">
        <v>89</v>
      </c>
      <c r="E34" s="13">
        <v>400454000062</v>
      </c>
      <c r="F34" s="13" t="s">
        <v>90</v>
      </c>
      <c r="G34" s="13" t="s">
        <v>90</v>
      </c>
      <c r="H34" s="13" t="s">
        <v>91</v>
      </c>
      <c r="I34" s="13" t="s">
        <v>92</v>
      </c>
      <c r="J34" s="14" t="s">
        <v>93</v>
      </c>
      <c r="K34" s="13"/>
      <c r="L34" s="13">
        <v>0</v>
      </c>
      <c r="M34" s="13" t="s">
        <v>100</v>
      </c>
      <c r="N34" s="13" t="s">
        <v>91</v>
      </c>
      <c r="O34" s="13">
        <v>0</v>
      </c>
      <c r="P34" s="11">
        <v>190</v>
      </c>
      <c r="Q34" s="12">
        <v>43.07</v>
      </c>
      <c r="R34" s="12">
        <v>1313.299</v>
      </c>
      <c r="S34" s="12">
        <v>0.09</v>
      </c>
      <c r="T34" s="12">
        <v>7.09</v>
      </c>
      <c r="U34" s="12">
        <v>0.11</v>
      </c>
      <c r="V34" s="12">
        <v>0.09</v>
      </c>
      <c r="W34" s="12">
        <v>7.0000000000000007E-2</v>
      </c>
      <c r="X34" s="12">
        <v>399</v>
      </c>
      <c r="Y34" s="12">
        <v>399</v>
      </c>
      <c r="Z34" s="12">
        <v>399</v>
      </c>
      <c r="AA34" s="12">
        <v>399</v>
      </c>
      <c r="AB34" s="12">
        <v>399</v>
      </c>
      <c r="AC34" s="12">
        <v>399</v>
      </c>
      <c r="AD34" s="12">
        <v>399</v>
      </c>
      <c r="AE34" s="12">
        <v>399</v>
      </c>
      <c r="AF34" s="13"/>
      <c r="AG34" s="13"/>
      <c r="AH34" s="13"/>
    </row>
    <row r="35" spans="1:34">
      <c r="A35" s="13" t="s">
        <v>87</v>
      </c>
      <c r="B35" s="13">
        <v>220029640</v>
      </c>
      <c r="C35" s="13" t="s">
        <v>88</v>
      </c>
      <c r="D35" s="13" t="s">
        <v>89</v>
      </c>
      <c r="E35" s="13">
        <v>400454000062</v>
      </c>
      <c r="F35" s="13" t="s">
        <v>90</v>
      </c>
      <c r="G35" s="13" t="s">
        <v>90</v>
      </c>
      <c r="H35" s="13" t="s">
        <v>91</v>
      </c>
      <c r="I35" s="13" t="s">
        <v>92</v>
      </c>
      <c r="J35" s="14" t="s">
        <v>93</v>
      </c>
      <c r="K35" s="13"/>
      <c r="L35" s="13">
        <v>0</v>
      </c>
      <c r="M35" s="13" t="s">
        <v>100</v>
      </c>
      <c r="N35" s="13" t="s">
        <v>91</v>
      </c>
      <c r="O35" s="13">
        <v>0</v>
      </c>
      <c r="P35" s="11">
        <v>195</v>
      </c>
      <c r="Q35" s="12">
        <v>42.24</v>
      </c>
      <c r="R35" s="12">
        <v>1313.2170000000001</v>
      </c>
      <c r="S35" s="12">
        <v>0.1</v>
      </c>
      <c r="T35" s="12">
        <v>7.19</v>
      </c>
      <c r="U35" s="12">
        <v>0.11</v>
      </c>
      <c r="V35" s="12">
        <v>0.09</v>
      </c>
      <c r="W35" s="12">
        <v>7.0000000000000007E-2</v>
      </c>
      <c r="X35" s="12">
        <v>399</v>
      </c>
      <c r="Y35" s="12">
        <v>399</v>
      </c>
      <c r="Z35" s="12">
        <v>399</v>
      </c>
      <c r="AA35" s="12">
        <v>399</v>
      </c>
      <c r="AB35" s="12">
        <v>399</v>
      </c>
      <c r="AC35" s="12">
        <v>399</v>
      </c>
      <c r="AD35" s="12">
        <v>399</v>
      </c>
      <c r="AE35" s="12">
        <v>399</v>
      </c>
      <c r="AF35" s="13"/>
      <c r="AG35" s="13"/>
      <c r="AH35" s="13"/>
    </row>
    <row r="36" spans="1:34">
      <c r="A36" s="13" t="s">
        <v>87</v>
      </c>
      <c r="B36" s="13">
        <v>220029640</v>
      </c>
      <c r="C36" s="13" t="s">
        <v>88</v>
      </c>
      <c r="D36" s="13" t="s">
        <v>89</v>
      </c>
      <c r="E36" s="13">
        <v>400454000062</v>
      </c>
      <c r="F36" s="13" t="s">
        <v>90</v>
      </c>
      <c r="G36" s="13" t="s">
        <v>90</v>
      </c>
      <c r="H36" s="13" t="s">
        <v>91</v>
      </c>
      <c r="I36" s="13" t="s">
        <v>92</v>
      </c>
      <c r="J36" s="14" t="s">
        <v>93</v>
      </c>
      <c r="K36" s="13"/>
      <c r="L36" s="13">
        <v>0</v>
      </c>
      <c r="M36" s="13" t="s">
        <v>100</v>
      </c>
      <c r="N36" s="13" t="s">
        <v>91</v>
      </c>
      <c r="O36" s="13">
        <v>0</v>
      </c>
      <c r="P36" s="11">
        <v>200</v>
      </c>
      <c r="Q36" s="12">
        <v>41.42</v>
      </c>
      <c r="R36" s="12">
        <v>1313.1389999999999</v>
      </c>
      <c r="S36" s="12">
        <v>0.1</v>
      </c>
      <c r="T36" s="12">
        <v>7.28</v>
      </c>
      <c r="U36" s="12">
        <v>0.11</v>
      </c>
      <c r="V36" s="12">
        <v>0.09</v>
      </c>
      <c r="W36" s="12">
        <v>7.0000000000000007E-2</v>
      </c>
      <c r="X36" s="12">
        <v>399</v>
      </c>
      <c r="Y36" s="12">
        <v>399</v>
      </c>
      <c r="Z36" s="12">
        <v>399</v>
      </c>
      <c r="AA36" s="12">
        <v>399</v>
      </c>
      <c r="AB36" s="12">
        <v>399</v>
      </c>
      <c r="AC36" s="12">
        <v>399</v>
      </c>
      <c r="AD36" s="12">
        <v>399</v>
      </c>
      <c r="AE36" s="12">
        <v>399</v>
      </c>
      <c r="AF36" s="13"/>
      <c r="AG36" s="13"/>
      <c r="AH36" s="13"/>
    </row>
    <row r="37" spans="1:34">
      <c r="A37" s="13" t="s">
        <v>87</v>
      </c>
      <c r="B37" s="13">
        <v>220029640</v>
      </c>
      <c r="C37" s="13" t="s">
        <v>88</v>
      </c>
      <c r="D37" s="13" t="s">
        <v>89</v>
      </c>
      <c r="E37" s="13">
        <v>400454000062</v>
      </c>
      <c r="F37" s="13" t="s">
        <v>90</v>
      </c>
      <c r="G37" s="13" t="s">
        <v>90</v>
      </c>
      <c r="H37" s="13" t="s">
        <v>91</v>
      </c>
      <c r="I37" s="13" t="s">
        <v>92</v>
      </c>
      <c r="J37" s="14" t="s">
        <v>93</v>
      </c>
      <c r="K37" s="13"/>
      <c r="L37" s="13">
        <v>0</v>
      </c>
      <c r="M37" s="13" t="s">
        <v>100</v>
      </c>
      <c r="N37" s="13" t="s">
        <v>91</v>
      </c>
      <c r="O37" s="13">
        <v>0</v>
      </c>
      <c r="P37" s="11">
        <v>205</v>
      </c>
      <c r="Q37" s="12">
        <v>40.64</v>
      </c>
      <c r="R37" s="12">
        <v>1313.0630000000001</v>
      </c>
      <c r="S37" s="12">
        <v>0.1</v>
      </c>
      <c r="T37" s="12">
        <v>7.31</v>
      </c>
      <c r="U37" s="12">
        <v>0.11</v>
      </c>
      <c r="V37" s="12">
        <v>0.09</v>
      </c>
      <c r="W37" s="12">
        <v>7.0000000000000007E-2</v>
      </c>
      <c r="X37" s="12">
        <v>399</v>
      </c>
      <c r="Y37" s="12">
        <v>399</v>
      </c>
      <c r="Z37" s="12">
        <v>399</v>
      </c>
      <c r="AA37" s="12">
        <v>399</v>
      </c>
      <c r="AB37" s="12">
        <v>399</v>
      </c>
      <c r="AC37" s="12">
        <v>399</v>
      </c>
      <c r="AD37" s="12">
        <v>399</v>
      </c>
      <c r="AE37" s="12">
        <v>399</v>
      </c>
      <c r="AF37" s="13"/>
      <c r="AG37" s="13"/>
      <c r="AH37" s="13"/>
    </row>
    <row r="38" spans="1:34">
      <c r="A38" s="13" t="s">
        <v>87</v>
      </c>
      <c r="B38" s="13">
        <v>220029640</v>
      </c>
      <c r="C38" s="13" t="s">
        <v>88</v>
      </c>
      <c r="D38" s="13" t="s">
        <v>89</v>
      </c>
      <c r="E38" s="13">
        <v>400454000062</v>
      </c>
      <c r="F38" s="13" t="s">
        <v>90</v>
      </c>
      <c r="G38" s="13" t="s">
        <v>90</v>
      </c>
      <c r="H38" s="13" t="s">
        <v>91</v>
      </c>
      <c r="I38" s="13" t="s">
        <v>92</v>
      </c>
      <c r="J38" s="14" t="s">
        <v>93</v>
      </c>
      <c r="K38" s="13"/>
      <c r="L38" s="13">
        <v>0</v>
      </c>
      <c r="M38" s="13" t="s">
        <v>100</v>
      </c>
      <c r="N38" s="13" t="s">
        <v>91</v>
      </c>
      <c r="O38" s="13">
        <v>0</v>
      </c>
      <c r="P38" s="11">
        <v>210</v>
      </c>
      <c r="Q38" s="12">
        <v>39.72</v>
      </c>
      <c r="R38" s="12">
        <v>1312.9860000000001</v>
      </c>
      <c r="S38" s="12">
        <v>0.08</v>
      </c>
      <c r="T38" s="12">
        <v>7.39</v>
      </c>
      <c r="U38" s="12">
        <v>0.11</v>
      </c>
      <c r="V38" s="12">
        <v>0.09</v>
      </c>
      <c r="W38" s="12">
        <v>7.0000000000000007E-2</v>
      </c>
      <c r="X38" s="12">
        <v>399</v>
      </c>
      <c r="Y38" s="12">
        <v>399</v>
      </c>
      <c r="Z38" s="12">
        <v>399</v>
      </c>
      <c r="AA38" s="12">
        <v>399</v>
      </c>
      <c r="AB38" s="12">
        <v>399</v>
      </c>
      <c r="AC38" s="12">
        <v>399</v>
      </c>
      <c r="AD38" s="12">
        <v>399</v>
      </c>
      <c r="AE38" s="12">
        <v>399</v>
      </c>
      <c r="AF38" s="13"/>
      <c r="AG38" s="13"/>
      <c r="AH38" s="13"/>
    </row>
    <row r="39" spans="1:34">
      <c r="A39" s="13" t="s">
        <v>87</v>
      </c>
      <c r="B39" s="13">
        <v>220029640</v>
      </c>
      <c r="C39" s="13" t="s">
        <v>88</v>
      </c>
      <c r="D39" s="13" t="s">
        <v>89</v>
      </c>
      <c r="E39" s="13">
        <v>400454000062</v>
      </c>
      <c r="F39" s="13" t="s">
        <v>90</v>
      </c>
      <c r="G39" s="13" t="s">
        <v>90</v>
      </c>
      <c r="H39" s="13" t="s">
        <v>91</v>
      </c>
      <c r="I39" s="13" t="s">
        <v>92</v>
      </c>
      <c r="J39" s="14" t="s">
        <v>93</v>
      </c>
      <c r="K39" s="13"/>
      <c r="L39" s="13">
        <v>0</v>
      </c>
      <c r="M39" s="13" t="s">
        <v>100</v>
      </c>
      <c r="N39" s="13" t="s">
        <v>91</v>
      </c>
      <c r="O39" s="13">
        <v>0</v>
      </c>
      <c r="P39" s="11">
        <v>215</v>
      </c>
      <c r="Q39" s="12">
        <v>38.81</v>
      </c>
      <c r="R39" s="12">
        <v>1312.904</v>
      </c>
      <c r="S39" s="12">
        <v>0.09</v>
      </c>
      <c r="T39" s="12">
        <v>7.47</v>
      </c>
      <c r="U39" s="12">
        <v>0.11</v>
      </c>
      <c r="V39" s="12">
        <v>0.09</v>
      </c>
      <c r="W39" s="12">
        <v>7.0000000000000007E-2</v>
      </c>
      <c r="X39" s="12">
        <v>399</v>
      </c>
      <c r="Y39" s="12">
        <v>399</v>
      </c>
      <c r="Z39" s="12">
        <v>399</v>
      </c>
      <c r="AA39" s="12">
        <v>399</v>
      </c>
      <c r="AB39" s="12">
        <v>399</v>
      </c>
      <c r="AC39" s="12">
        <v>399</v>
      </c>
      <c r="AD39" s="12">
        <v>399</v>
      </c>
      <c r="AE39" s="12">
        <v>399</v>
      </c>
      <c r="AF39" s="13"/>
      <c r="AG39" s="13"/>
      <c r="AH39" s="13"/>
    </row>
    <row r="40" spans="1:34">
      <c r="A40" s="13" t="s">
        <v>87</v>
      </c>
      <c r="B40" s="13">
        <v>220029640</v>
      </c>
      <c r="C40" s="13" t="s">
        <v>88</v>
      </c>
      <c r="D40" s="13" t="s">
        <v>89</v>
      </c>
      <c r="E40" s="13">
        <v>400454000062</v>
      </c>
      <c r="F40" s="13" t="s">
        <v>90</v>
      </c>
      <c r="G40" s="13" t="s">
        <v>90</v>
      </c>
      <c r="H40" s="13" t="s">
        <v>91</v>
      </c>
      <c r="I40" s="13" t="s">
        <v>92</v>
      </c>
      <c r="J40" s="14" t="s">
        <v>93</v>
      </c>
      <c r="K40" s="13"/>
      <c r="L40" s="13">
        <v>0</v>
      </c>
      <c r="M40" s="13" t="s">
        <v>100</v>
      </c>
      <c r="N40" s="13" t="s">
        <v>91</v>
      </c>
      <c r="O40" s="13">
        <v>0</v>
      </c>
      <c r="P40" s="11">
        <v>220</v>
      </c>
      <c r="Q40" s="12">
        <v>37.950000000000003</v>
      </c>
      <c r="R40" s="12">
        <v>1312.8209999999999</v>
      </c>
      <c r="S40" s="12">
        <v>0.1</v>
      </c>
      <c r="T40" s="12">
        <v>7.52</v>
      </c>
      <c r="U40" s="12">
        <v>0.11</v>
      </c>
      <c r="V40" s="12">
        <v>0.09</v>
      </c>
      <c r="W40" s="12">
        <v>7.0000000000000007E-2</v>
      </c>
      <c r="X40" s="12">
        <v>399</v>
      </c>
      <c r="Y40" s="12">
        <v>399</v>
      </c>
      <c r="Z40" s="12">
        <v>399</v>
      </c>
      <c r="AA40" s="12">
        <v>399</v>
      </c>
      <c r="AB40" s="12">
        <v>399</v>
      </c>
      <c r="AC40" s="12">
        <v>399</v>
      </c>
      <c r="AD40" s="12">
        <v>399</v>
      </c>
      <c r="AE40" s="12">
        <v>399</v>
      </c>
      <c r="AF40" s="13"/>
      <c r="AG40" s="13"/>
      <c r="AH40" s="13"/>
    </row>
    <row r="41" spans="1:34">
      <c r="A41" s="13" t="s">
        <v>87</v>
      </c>
      <c r="B41" s="13">
        <v>220029640</v>
      </c>
      <c r="C41" s="13" t="s">
        <v>88</v>
      </c>
      <c r="D41" s="13" t="s">
        <v>89</v>
      </c>
      <c r="E41" s="13">
        <v>400454000062</v>
      </c>
      <c r="F41" s="13" t="s">
        <v>90</v>
      </c>
      <c r="G41" s="13" t="s">
        <v>90</v>
      </c>
      <c r="H41" s="13" t="s">
        <v>91</v>
      </c>
      <c r="I41" s="13" t="s">
        <v>92</v>
      </c>
      <c r="J41" s="14" t="s">
        <v>93</v>
      </c>
      <c r="K41" s="13"/>
      <c r="L41" s="13">
        <v>0</v>
      </c>
      <c r="M41" s="13" t="s">
        <v>100</v>
      </c>
      <c r="N41" s="13" t="s">
        <v>91</v>
      </c>
      <c r="O41" s="13">
        <v>0</v>
      </c>
      <c r="P41" s="11">
        <v>225</v>
      </c>
      <c r="Q41" s="12">
        <v>37.119999999999997</v>
      </c>
      <c r="R41" s="12">
        <v>1312.7360000000001</v>
      </c>
      <c r="S41" s="12">
        <v>0.1</v>
      </c>
      <c r="T41" s="12">
        <v>7.6</v>
      </c>
      <c r="U41" s="12">
        <v>0.11</v>
      </c>
      <c r="V41" s="12">
        <v>0.09</v>
      </c>
      <c r="W41" s="12">
        <v>7.0000000000000007E-2</v>
      </c>
      <c r="X41" s="12">
        <v>399</v>
      </c>
      <c r="Y41" s="12">
        <v>399</v>
      </c>
      <c r="Z41" s="12">
        <v>399</v>
      </c>
      <c r="AA41" s="12">
        <v>399</v>
      </c>
      <c r="AB41" s="12">
        <v>399</v>
      </c>
      <c r="AC41" s="12">
        <v>399</v>
      </c>
      <c r="AD41" s="12">
        <v>399</v>
      </c>
      <c r="AE41" s="12">
        <v>399</v>
      </c>
      <c r="AF41" s="13"/>
      <c r="AG41" s="13"/>
      <c r="AH41" s="13"/>
    </row>
    <row r="42" spans="1:34">
      <c r="A42" s="13" t="s">
        <v>87</v>
      </c>
      <c r="B42" s="13">
        <v>220029640</v>
      </c>
      <c r="C42" s="13" t="s">
        <v>88</v>
      </c>
      <c r="D42" s="13" t="s">
        <v>89</v>
      </c>
      <c r="E42" s="13">
        <v>400454000062</v>
      </c>
      <c r="F42" s="13" t="s">
        <v>90</v>
      </c>
      <c r="G42" s="13" t="s">
        <v>90</v>
      </c>
      <c r="H42" s="13" t="s">
        <v>91</v>
      </c>
      <c r="I42" s="13" t="s">
        <v>92</v>
      </c>
      <c r="J42" s="14" t="s">
        <v>93</v>
      </c>
      <c r="K42" s="13"/>
      <c r="L42" s="13">
        <v>0</v>
      </c>
      <c r="M42" s="13" t="s">
        <v>100</v>
      </c>
      <c r="N42" s="13" t="s">
        <v>91</v>
      </c>
      <c r="O42" s="13">
        <v>0</v>
      </c>
      <c r="P42" s="11">
        <v>230</v>
      </c>
      <c r="Q42" s="12">
        <v>36.28</v>
      </c>
      <c r="R42" s="12">
        <v>1312.6569999999999</v>
      </c>
      <c r="S42" s="12">
        <v>0.09</v>
      </c>
      <c r="T42" s="12">
        <v>7.64</v>
      </c>
      <c r="U42" s="12">
        <v>0.11</v>
      </c>
      <c r="V42" s="12">
        <v>0.09</v>
      </c>
      <c r="W42" s="12">
        <v>7.0000000000000007E-2</v>
      </c>
      <c r="X42" s="12">
        <v>399</v>
      </c>
      <c r="Y42" s="12">
        <v>399</v>
      </c>
      <c r="Z42" s="12">
        <v>399</v>
      </c>
      <c r="AA42" s="12">
        <v>399</v>
      </c>
      <c r="AB42" s="12">
        <v>399</v>
      </c>
      <c r="AC42" s="12">
        <v>399</v>
      </c>
      <c r="AD42" s="12">
        <v>399</v>
      </c>
      <c r="AE42" s="12">
        <v>399</v>
      </c>
      <c r="AF42" s="13"/>
      <c r="AG42" s="13"/>
      <c r="AH42" s="13"/>
    </row>
    <row r="43" spans="1:34">
      <c r="A43" s="13" t="s">
        <v>87</v>
      </c>
      <c r="B43" s="13">
        <v>220029640</v>
      </c>
      <c r="C43" s="13" t="s">
        <v>88</v>
      </c>
      <c r="D43" s="13" t="s">
        <v>89</v>
      </c>
      <c r="E43" s="13">
        <v>400454000062</v>
      </c>
      <c r="F43" s="13" t="s">
        <v>90</v>
      </c>
      <c r="G43" s="13" t="s">
        <v>90</v>
      </c>
      <c r="H43" s="13" t="s">
        <v>91</v>
      </c>
      <c r="I43" s="13" t="s">
        <v>92</v>
      </c>
      <c r="J43" s="14" t="s">
        <v>93</v>
      </c>
      <c r="K43" s="13"/>
      <c r="L43" s="13">
        <v>0</v>
      </c>
      <c r="M43" s="13" t="s">
        <v>100</v>
      </c>
      <c r="N43" s="13" t="s">
        <v>91</v>
      </c>
      <c r="O43" s="13">
        <v>0</v>
      </c>
      <c r="P43" s="11">
        <v>235</v>
      </c>
      <c r="Q43" s="12">
        <v>35.450000000000003</v>
      </c>
      <c r="R43" s="12">
        <v>1312.577</v>
      </c>
      <c r="S43" s="12">
        <v>0.1</v>
      </c>
      <c r="T43" s="12">
        <v>7.72</v>
      </c>
      <c r="U43" s="12">
        <v>0.11</v>
      </c>
      <c r="V43" s="12">
        <v>0.09</v>
      </c>
      <c r="W43" s="12">
        <v>7.0000000000000007E-2</v>
      </c>
      <c r="X43" s="12">
        <v>399</v>
      </c>
      <c r="Y43" s="12">
        <v>399</v>
      </c>
      <c r="Z43" s="12">
        <v>399</v>
      </c>
      <c r="AA43" s="12">
        <v>399</v>
      </c>
      <c r="AB43" s="12">
        <v>399</v>
      </c>
      <c r="AC43" s="12">
        <v>399</v>
      </c>
      <c r="AD43" s="12">
        <v>399</v>
      </c>
      <c r="AE43" s="12">
        <v>399</v>
      </c>
      <c r="AF43" s="13"/>
      <c r="AG43" s="13"/>
      <c r="AH43" s="13"/>
    </row>
    <row r="44" spans="1:34">
      <c r="A44" s="13" t="s">
        <v>87</v>
      </c>
      <c r="B44" s="13">
        <v>220029640</v>
      </c>
      <c r="C44" s="13" t="s">
        <v>88</v>
      </c>
      <c r="D44" s="13" t="s">
        <v>89</v>
      </c>
      <c r="E44" s="13">
        <v>400454000062</v>
      </c>
      <c r="F44" s="13" t="s">
        <v>90</v>
      </c>
      <c r="G44" s="13" t="s">
        <v>90</v>
      </c>
      <c r="H44" s="13" t="s">
        <v>91</v>
      </c>
      <c r="I44" s="13" t="s">
        <v>92</v>
      </c>
      <c r="J44" s="14" t="s">
        <v>93</v>
      </c>
      <c r="K44" s="13"/>
      <c r="L44" s="13">
        <v>0</v>
      </c>
      <c r="M44" s="13" t="s">
        <v>100</v>
      </c>
      <c r="N44" s="13" t="s">
        <v>91</v>
      </c>
      <c r="O44" s="13">
        <v>0</v>
      </c>
      <c r="P44" s="11">
        <v>240</v>
      </c>
      <c r="Q44" s="12">
        <v>34.619999999999997</v>
      </c>
      <c r="R44" s="12">
        <v>1312.501</v>
      </c>
      <c r="S44" s="12">
        <v>0.09</v>
      </c>
      <c r="T44" s="12">
        <v>7.77</v>
      </c>
      <c r="U44" s="12">
        <v>0.11</v>
      </c>
      <c r="V44" s="12">
        <v>0.09</v>
      </c>
      <c r="W44" s="12">
        <v>7.0000000000000007E-2</v>
      </c>
      <c r="X44" s="12">
        <v>399</v>
      </c>
      <c r="Y44" s="12">
        <v>399</v>
      </c>
      <c r="Z44" s="12">
        <v>399</v>
      </c>
      <c r="AA44" s="12">
        <v>399</v>
      </c>
      <c r="AB44" s="12">
        <v>399</v>
      </c>
      <c r="AC44" s="12">
        <v>399</v>
      </c>
      <c r="AD44" s="12">
        <v>399</v>
      </c>
      <c r="AE44" s="12">
        <v>399</v>
      </c>
      <c r="AF44" s="13"/>
      <c r="AG44" s="13"/>
      <c r="AH44" s="13"/>
    </row>
    <row r="45" spans="1:34">
      <c r="A45" s="13" t="s">
        <v>87</v>
      </c>
      <c r="B45" s="13">
        <v>220029640</v>
      </c>
      <c r="C45" s="13" t="s">
        <v>88</v>
      </c>
      <c r="D45" s="13" t="s">
        <v>89</v>
      </c>
      <c r="E45" s="13">
        <v>400454000062</v>
      </c>
      <c r="F45" s="13" t="s">
        <v>90</v>
      </c>
      <c r="G45" s="13" t="s">
        <v>90</v>
      </c>
      <c r="H45" s="13" t="s">
        <v>91</v>
      </c>
      <c r="I45" s="13" t="s">
        <v>92</v>
      </c>
      <c r="J45" s="14" t="s">
        <v>93</v>
      </c>
      <c r="K45" s="13"/>
      <c r="L45" s="13">
        <v>0</v>
      </c>
      <c r="M45" s="13" t="s">
        <v>100</v>
      </c>
      <c r="N45" s="13" t="s">
        <v>91</v>
      </c>
      <c r="O45" s="13">
        <v>0</v>
      </c>
      <c r="P45" s="11">
        <v>245</v>
      </c>
      <c r="Q45" s="12">
        <v>33.79</v>
      </c>
      <c r="R45" s="12">
        <v>1312.423</v>
      </c>
      <c r="S45" s="12">
        <v>0.09</v>
      </c>
      <c r="T45" s="12">
        <v>7.9</v>
      </c>
      <c r="U45" s="12">
        <v>0.11</v>
      </c>
      <c r="V45" s="12">
        <v>0.09</v>
      </c>
      <c r="W45" s="12">
        <v>7.0000000000000007E-2</v>
      </c>
      <c r="X45" s="12">
        <v>399</v>
      </c>
      <c r="Y45" s="12">
        <v>399</v>
      </c>
      <c r="Z45" s="12">
        <v>399</v>
      </c>
      <c r="AA45" s="12">
        <v>399</v>
      </c>
      <c r="AB45" s="12">
        <v>399</v>
      </c>
      <c r="AC45" s="12">
        <v>399</v>
      </c>
      <c r="AD45" s="12">
        <v>399</v>
      </c>
      <c r="AE45" s="12">
        <v>399</v>
      </c>
      <c r="AF45" s="13"/>
      <c r="AG45" s="13"/>
      <c r="AH45" s="13"/>
    </row>
    <row r="46" spans="1:34">
      <c r="A46" s="13" t="s">
        <v>87</v>
      </c>
      <c r="B46" s="13">
        <v>220029640</v>
      </c>
      <c r="C46" s="13" t="s">
        <v>88</v>
      </c>
      <c r="D46" s="13" t="s">
        <v>89</v>
      </c>
      <c r="E46" s="13">
        <v>400454000062</v>
      </c>
      <c r="F46" s="13" t="s">
        <v>90</v>
      </c>
      <c r="G46" s="13" t="s">
        <v>90</v>
      </c>
      <c r="H46" s="13" t="s">
        <v>91</v>
      </c>
      <c r="I46" s="13" t="s">
        <v>92</v>
      </c>
      <c r="J46" s="14" t="s">
        <v>93</v>
      </c>
      <c r="K46" s="13"/>
      <c r="L46" s="13">
        <v>0</v>
      </c>
      <c r="M46" s="13" t="s">
        <v>100</v>
      </c>
      <c r="N46" s="13" t="s">
        <v>91</v>
      </c>
      <c r="O46" s="13">
        <v>0</v>
      </c>
      <c r="P46" s="11">
        <v>250</v>
      </c>
      <c r="Q46" s="12">
        <v>32.950000000000003</v>
      </c>
      <c r="R46" s="12">
        <v>1312.3430000000001</v>
      </c>
      <c r="S46" s="12">
        <v>0.1</v>
      </c>
      <c r="T46" s="12">
        <v>7.86</v>
      </c>
      <c r="U46" s="12">
        <v>0.11</v>
      </c>
      <c r="V46" s="12">
        <v>0.09</v>
      </c>
      <c r="W46" s="12">
        <v>7.0000000000000007E-2</v>
      </c>
      <c r="X46" s="12">
        <v>399</v>
      </c>
      <c r="Y46" s="12">
        <v>399</v>
      </c>
      <c r="Z46" s="12">
        <v>399</v>
      </c>
      <c r="AA46" s="12">
        <v>399</v>
      </c>
      <c r="AB46" s="12">
        <v>399</v>
      </c>
      <c r="AC46" s="12">
        <v>399</v>
      </c>
      <c r="AD46" s="12">
        <v>399</v>
      </c>
      <c r="AE46" s="12">
        <v>399</v>
      </c>
      <c r="AF46" s="13"/>
      <c r="AG46" s="13"/>
      <c r="AH46" s="13"/>
    </row>
    <row r="47" spans="1:34">
      <c r="A47" s="13" t="s">
        <v>87</v>
      </c>
      <c r="B47" s="13">
        <v>220029640</v>
      </c>
      <c r="C47" s="13" t="s">
        <v>88</v>
      </c>
      <c r="D47" s="13" t="s">
        <v>89</v>
      </c>
      <c r="E47" s="13">
        <v>400454000062</v>
      </c>
      <c r="F47" s="13" t="s">
        <v>90</v>
      </c>
      <c r="G47" s="13" t="s">
        <v>90</v>
      </c>
      <c r="H47" s="13" t="s">
        <v>91</v>
      </c>
      <c r="I47" s="13" t="s">
        <v>92</v>
      </c>
      <c r="J47" s="14" t="s">
        <v>93</v>
      </c>
      <c r="K47" s="13"/>
      <c r="L47" s="13">
        <v>0</v>
      </c>
      <c r="M47" s="13" t="s">
        <v>100</v>
      </c>
      <c r="N47" s="13" t="s">
        <v>91</v>
      </c>
      <c r="O47" s="13">
        <v>0</v>
      </c>
      <c r="P47" s="11">
        <v>255</v>
      </c>
      <c r="Q47" s="12">
        <v>32.11</v>
      </c>
      <c r="R47" s="12">
        <v>1312.2619999999999</v>
      </c>
      <c r="S47" s="12">
        <v>0.1</v>
      </c>
      <c r="T47" s="12">
        <v>7.92</v>
      </c>
      <c r="U47" s="12">
        <v>0.11</v>
      </c>
      <c r="V47" s="12">
        <v>0.09</v>
      </c>
      <c r="W47" s="12">
        <v>7.0000000000000007E-2</v>
      </c>
      <c r="X47" s="12">
        <v>399</v>
      </c>
      <c r="Y47" s="12">
        <v>399</v>
      </c>
      <c r="Z47" s="12">
        <v>399</v>
      </c>
      <c r="AA47" s="12">
        <v>399</v>
      </c>
      <c r="AB47" s="12">
        <v>399</v>
      </c>
      <c r="AC47" s="12">
        <v>399</v>
      </c>
      <c r="AD47" s="12">
        <v>399</v>
      </c>
      <c r="AE47" s="12">
        <v>399</v>
      </c>
      <c r="AF47" s="13"/>
      <c r="AG47" s="13"/>
      <c r="AH47" s="13"/>
    </row>
    <row r="48" spans="1:34">
      <c r="A48" s="13" t="s">
        <v>87</v>
      </c>
      <c r="B48" s="13">
        <v>220029640</v>
      </c>
      <c r="C48" s="13" t="s">
        <v>88</v>
      </c>
      <c r="D48" s="13" t="s">
        <v>89</v>
      </c>
      <c r="E48" s="13">
        <v>400454000062</v>
      </c>
      <c r="F48" s="13" t="s">
        <v>90</v>
      </c>
      <c r="G48" s="13" t="s">
        <v>90</v>
      </c>
      <c r="H48" s="13" t="s">
        <v>91</v>
      </c>
      <c r="I48" s="13" t="s">
        <v>92</v>
      </c>
      <c r="J48" s="14" t="s">
        <v>93</v>
      </c>
      <c r="K48" s="13"/>
      <c r="L48" s="13">
        <v>0</v>
      </c>
      <c r="M48" s="13" t="s">
        <v>100</v>
      </c>
      <c r="N48" s="13" t="s">
        <v>91</v>
      </c>
      <c r="O48" s="13">
        <v>0</v>
      </c>
      <c r="P48" s="11">
        <v>260</v>
      </c>
      <c r="Q48" s="12">
        <v>31.29</v>
      </c>
      <c r="R48" s="12">
        <v>1312.1859999999999</v>
      </c>
      <c r="S48" s="12">
        <v>0.09</v>
      </c>
      <c r="T48" s="12">
        <v>7.9</v>
      </c>
      <c r="U48" s="12">
        <v>0.11</v>
      </c>
      <c r="V48" s="12">
        <v>0.09</v>
      </c>
      <c r="W48" s="12">
        <v>7.0000000000000007E-2</v>
      </c>
      <c r="X48" s="12">
        <v>399</v>
      </c>
      <c r="Y48" s="12">
        <v>399</v>
      </c>
      <c r="Z48" s="12">
        <v>399</v>
      </c>
      <c r="AA48" s="12">
        <v>399</v>
      </c>
      <c r="AB48" s="12">
        <v>399</v>
      </c>
      <c r="AC48" s="12">
        <v>399</v>
      </c>
      <c r="AD48" s="12">
        <v>399</v>
      </c>
      <c r="AE48" s="12">
        <v>399</v>
      </c>
      <c r="AF48" s="13"/>
      <c r="AG48" s="13"/>
      <c r="AH48" s="13"/>
    </row>
    <row r="49" spans="1:34">
      <c r="A49" s="13" t="s">
        <v>87</v>
      </c>
      <c r="B49" s="13">
        <v>220029640</v>
      </c>
      <c r="C49" s="13" t="s">
        <v>88</v>
      </c>
      <c r="D49" s="13" t="s">
        <v>89</v>
      </c>
      <c r="E49" s="13">
        <v>400454000062</v>
      </c>
      <c r="F49" s="13" t="s">
        <v>90</v>
      </c>
      <c r="G49" s="13" t="s">
        <v>90</v>
      </c>
      <c r="H49" s="13" t="s">
        <v>91</v>
      </c>
      <c r="I49" s="13" t="s">
        <v>92</v>
      </c>
      <c r="J49" s="14" t="s">
        <v>93</v>
      </c>
      <c r="K49" s="13"/>
      <c r="L49" s="13">
        <v>0</v>
      </c>
      <c r="M49" s="13" t="s">
        <v>100</v>
      </c>
      <c r="N49" s="13" t="s">
        <v>91</v>
      </c>
      <c r="O49" s="13">
        <v>0</v>
      </c>
      <c r="P49" s="11">
        <v>265</v>
      </c>
      <c r="Q49" s="12">
        <v>30.43</v>
      </c>
      <c r="R49" s="12">
        <v>1312.107</v>
      </c>
      <c r="S49" s="12">
        <v>0.09</v>
      </c>
      <c r="T49" s="12">
        <v>8.02</v>
      </c>
      <c r="U49" s="12">
        <v>0.11</v>
      </c>
      <c r="V49" s="12">
        <v>0.09</v>
      </c>
      <c r="W49" s="12">
        <v>7.0000000000000007E-2</v>
      </c>
      <c r="X49" s="12">
        <v>399</v>
      </c>
      <c r="Y49" s="12">
        <v>399</v>
      </c>
      <c r="Z49" s="12">
        <v>399</v>
      </c>
      <c r="AA49" s="12">
        <v>399</v>
      </c>
      <c r="AB49" s="12">
        <v>399</v>
      </c>
      <c r="AC49" s="12">
        <v>399</v>
      </c>
      <c r="AD49" s="12">
        <v>399</v>
      </c>
      <c r="AE49" s="12">
        <v>399</v>
      </c>
      <c r="AF49" s="13"/>
      <c r="AG49" s="13"/>
      <c r="AH49" s="13"/>
    </row>
    <row r="50" spans="1:34">
      <c r="A50" s="13" t="s">
        <v>87</v>
      </c>
      <c r="B50" s="13">
        <v>220029640</v>
      </c>
      <c r="C50" s="13" t="s">
        <v>88</v>
      </c>
      <c r="D50" s="13" t="s">
        <v>89</v>
      </c>
      <c r="E50" s="13">
        <v>400454000062</v>
      </c>
      <c r="F50" s="13" t="s">
        <v>90</v>
      </c>
      <c r="G50" s="13" t="s">
        <v>90</v>
      </c>
      <c r="H50" s="13" t="s">
        <v>91</v>
      </c>
      <c r="I50" s="13" t="s">
        <v>92</v>
      </c>
      <c r="J50" s="14" t="s">
        <v>93</v>
      </c>
      <c r="K50" s="13"/>
      <c r="L50" s="13">
        <v>0</v>
      </c>
      <c r="M50" s="13" t="s">
        <v>100</v>
      </c>
      <c r="N50" s="13" t="s">
        <v>91</v>
      </c>
      <c r="O50" s="13">
        <v>0</v>
      </c>
      <c r="P50" s="11">
        <v>270</v>
      </c>
      <c r="Q50" s="12">
        <v>29.59</v>
      </c>
      <c r="R50" s="12">
        <v>1312.0309999999999</v>
      </c>
      <c r="S50" s="12">
        <v>0.09</v>
      </c>
      <c r="T50" s="12">
        <v>8.08</v>
      </c>
      <c r="U50" s="12">
        <v>0.11</v>
      </c>
      <c r="V50" s="12">
        <v>0.09</v>
      </c>
      <c r="W50" s="12">
        <v>7.0000000000000007E-2</v>
      </c>
      <c r="X50" s="12">
        <v>399</v>
      </c>
      <c r="Y50" s="12">
        <v>399</v>
      </c>
      <c r="Z50" s="12">
        <v>399</v>
      </c>
      <c r="AA50" s="12">
        <v>399</v>
      </c>
      <c r="AB50" s="12">
        <v>399</v>
      </c>
      <c r="AC50" s="12">
        <v>399</v>
      </c>
      <c r="AD50" s="12">
        <v>399</v>
      </c>
      <c r="AE50" s="12">
        <v>399</v>
      </c>
      <c r="AF50" s="13"/>
      <c r="AG50" s="13"/>
      <c r="AH50" s="13"/>
    </row>
    <row r="51" spans="1:34">
      <c r="A51" s="13" t="s">
        <v>87</v>
      </c>
      <c r="B51" s="13">
        <v>220029640</v>
      </c>
      <c r="C51" s="13" t="s">
        <v>88</v>
      </c>
      <c r="D51" s="13" t="s">
        <v>89</v>
      </c>
      <c r="E51" s="13">
        <v>400454000062</v>
      </c>
      <c r="F51" s="13" t="s">
        <v>90</v>
      </c>
      <c r="G51" s="13" t="s">
        <v>90</v>
      </c>
      <c r="H51" s="13" t="s">
        <v>91</v>
      </c>
      <c r="I51" s="13" t="s">
        <v>92</v>
      </c>
      <c r="J51" s="14" t="s">
        <v>93</v>
      </c>
      <c r="K51" s="13"/>
      <c r="L51" s="13">
        <v>0</v>
      </c>
      <c r="M51" s="13" t="s">
        <v>100</v>
      </c>
      <c r="N51" s="13" t="s">
        <v>91</v>
      </c>
      <c r="O51" s="13">
        <v>0</v>
      </c>
      <c r="P51" s="11">
        <v>275</v>
      </c>
      <c r="Q51" s="12">
        <v>28.74</v>
      </c>
      <c r="R51" s="12">
        <v>1311.9490000000001</v>
      </c>
      <c r="S51" s="12">
        <v>0.1</v>
      </c>
      <c r="T51" s="12">
        <v>8.1</v>
      </c>
      <c r="U51" s="12">
        <v>0.11</v>
      </c>
      <c r="V51" s="12">
        <v>0.09</v>
      </c>
      <c r="W51" s="12">
        <v>7.0000000000000007E-2</v>
      </c>
      <c r="X51" s="12">
        <v>399</v>
      </c>
      <c r="Y51" s="12">
        <v>399</v>
      </c>
      <c r="Z51" s="12">
        <v>399</v>
      </c>
      <c r="AA51" s="12">
        <v>399</v>
      </c>
      <c r="AB51" s="12">
        <v>399</v>
      </c>
      <c r="AC51" s="12">
        <v>399</v>
      </c>
      <c r="AD51" s="12">
        <v>399</v>
      </c>
      <c r="AE51" s="12">
        <v>399</v>
      </c>
      <c r="AF51" s="13"/>
      <c r="AG51" s="13"/>
      <c r="AH51" s="13"/>
    </row>
    <row r="52" spans="1:34">
      <c r="A52" s="13" t="s">
        <v>87</v>
      </c>
      <c r="B52" s="13">
        <v>220029640</v>
      </c>
      <c r="C52" s="13" t="s">
        <v>88</v>
      </c>
      <c r="D52" s="13" t="s">
        <v>89</v>
      </c>
      <c r="E52" s="13">
        <v>400454000062</v>
      </c>
      <c r="F52" s="13" t="s">
        <v>90</v>
      </c>
      <c r="G52" s="13" t="s">
        <v>90</v>
      </c>
      <c r="H52" s="13" t="s">
        <v>91</v>
      </c>
      <c r="I52" s="13" t="s">
        <v>92</v>
      </c>
      <c r="J52" s="14" t="s">
        <v>93</v>
      </c>
      <c r="K52" s="13"/>
      <c r="L52" s="13">
        <v>0</v>
      </c>
      <c r="M52" s="13" t="s">
        <v>100</v>
      </c>
      <c r="N52" s="13" t="s">
        <v>91</v>
      </c>
      <c r="O52" s="13">
        <v>0</v>
      </c>
      <c r="P52" s="11">
        <v>280</v>
      </c>
      <c r="Q52" s="12">
        <v>27.91</v>
      </c>
      <c r="R52" s="12">
        <v>1311.8710000000001</v>
      </c>
      <c r="S52" s="12">
        <v>0.09</v>
      </c>
      <c r="T52" s="12">
        <v>8.16</v>
      </c>
      <c r="U52" s="12">
        <v>0.11</v>
      </c>
      <c r="V52" s="12">
        <v>0.09</v>
      </c>
      <c r="W52" s="12">
        <v>7.0000000000000007E-2</v>
      </c>
      <c r="X52" s="12">
        <v>399</v>
      </c>
      <c r="Y52" s="12">
        <v>399</v>
      </c>
      <c r="Z52" s="12">
        <v>399</v>
      </c>
      <c r="AA52" s="12">
        <v>399</v>
      </c>
      <c r="AB52" s="12">
        <v>399</v>
      </c>
      <c r="AC52" s="12">
        <v>399</v>
      </c>
      <c r="AD52" s="12">
        <v>399</v>
      </c>
      <c r="AE52" s="12">
        <v>399</v>
      </c>
      <c r="AF52" s="13"/>
      <c r="AG52" s="13"/>
      <c r="AH52" s="13"/>
    </row>
    <row r="53" spans="1:34">
      <c r="A53" s="13" t="s">
        <v>87</v>
      </c>
      <c r="B53" s="13">
        <v>220029640</v>
      </c>
      <c r="C53" s="13" t="s">
        <v>88</v>
      </c>
      <c r="D53" s="13" t="s">
        <v>89</v>
      </c>
      <c r="E53" s="13">
        <v>400454000062</v>
      </c>
      <c r="F53" s="13" t="s">
        <v>90</v>
      </c>
      <c r="G53" s="13" t="s">
        <v>90</v>
      </c>
      <c r="H53" s="13" t="s">
        <v>91</v>
      </c>
      <c r="I53" s="13" t="s">
        <v>92</v>
      </c>
      <c r="J53" s="14" t="s">
        <v>93</v>
      </c>
      <c r="K53" s="13"/>
      <c r="L53" s="13">
        <v>0</v>
      </c>
      <c r="M53" s="13" t="s">
        <v>100</v>
      </c>
      <c r="N53" s="13" t="s">
        <v>91</v>
      </c>
      <c r="O53" s="13">
        <v>0</v>
      </c>
      <c r="P53" s="11">
        <v>285</v>
      </c>
      <c r="Q53" s="12">
        <v>27.08</v>
      </c>
      <c r="R53" s="12">
        <v>1311.7919999999999</v>
      </c>
      <c r="S53" s="12">
        <v>0.1</v>
      </c>
      <c r="T53" s="12">
        <v>8.16</v>
      </c>
      <c r="U53" s="12">
        <v>0.11</v>
      </c>
      <c r="V53" s="12">
        <v>0.09</v>
      </c>
      <c r="W53" s="12">
        <v>7.0000000000000007E-2</v>
      </c>
      <c r="X53" s="12">
        <v>399</v>
      </c>
      <c r="Y53" s="12">
        <v>399</v>
      </c>
      <c r="Z53" s="12">
        <v>399</v>
      </c>
      <c r="AA53" s="12">
        <v>399</v>
      </c>
      <c r="AB53" s="12">
        <v>399</v>
      </c>
      <c r="AC53" s="12">
        <v>399</v>
      </c>
      <c r="AD53" s="12">
        <v>399</v>
      </c>
      <c r="AE53" s="12">
        <v>399</v>
      </c>
      <c r="AF53" s="13"/>
      <c r="AG53" s="13"/>
      <c r="AH53" s="13"/>
    </row>
    <row r="54" spans="1:34">
      <c r="A54" s="13" t="s">
        <v>87</v>
      </c>
      <c r="B54" s="13">
        <v>220029640</v>
      </c>
      <c r="C54" s="13" t="s">
        <v>88</v>
      </c>
      <c r="D54" s="13" t="s">
        <v>89</v>
      </c>
      <c r="E54" s="13">
        <v>400454000062</v>
      </c>
      <c r="F54" s="13" t="s">
        <v>90</v>
      </c>
      <c r="G54" s="13" t="s">
        <v>90</v>
      </c>
      <c r="H54" s="13" t="s">
        <v>91</v>
      </c>
      <c r="I54" s="13" t="s">
        <v>92</v>
      </c>
      <c r="J54" s="14" t="s">
        <v>93</v>
      </c>
      <c r="K54" s="13"/>
      <c r="L54" s="13">
        <v>0</v>
      </c>
      <c r="M54" s="13" t="s">
        <v>100</v>
      </c>
      <c r="N54" s="13" t="s">
        <v>91</v>
      </c>
      <c r="O54" s="13">
        <v>0</v>
      </c>
      <c r="P54" s="11">
        <v>290</v>
      </c>
      <c r="Q54" s="12">
        <v>26.24</v>
      </c>
      <c r="R54" s="12">
        <v>1311.7149999999999</v>
      </c>
      <c r="S54" s="12">
        <v>0.09</v>
      </c>
      <c r="T54" s="12">
        <v>8.2100000000000009</v>
      </c>
      <c r="U54" s="12">
        <v>0.11</v>
      </c>
      <c r="V54" s="12">
        <v>0.09</v>
      </c>
      <c r="W54" s="12">
        <v>7.0000000000000007E-2</v>
      </c>
      <c r="X54" s="12">
        <v>399</v>
      </c>
      <c r="Y54" s="12">
        <v>399</v>
      </c>
      <c r="Z54" s="12">
        <v>399</v>
      </c>
      <c r="AA54" s="12">
        <v>399</v>
      </c>
      <c r="AB54" s="12">
        <v>399</v>
      </c>
      <c r="AC54" s="12">
        <v>399</v>
      </c>
      <c r="AD54" s="12">
        <v>399</v>
      </c>
      <c r="AE54" s="12">
        <v>399</v>
      </c>
      <c r="AF54" s="13"/>
      <c r="AG54" s="13"/>
      <c r="AH54" s="13"/>
    </row>
    <row r="55" spans="1:34">
      <c r="A55" s="13" t="s">
        <v>87</v>
      </c>
      <c r="B55" s="13">
        <v>220029640</v>
      </c>
      <c r="C55" s="13" t="s">
        <v>88</v>
      </c>
      <c r="D55" s="13" t="s">
        <v>89</v>
      </c>
      <c r="E55" s="13">
        <v>400454000062</v>
      </c>
      <c r="F55" s="13" t="s">
        <v>90</v>
      </c>
      <c r="G55" s="13" t="s">
        <v>90</v>
      </c>
      <c r="H55" s="13" t="s">
        <v>91</v>
      </c>
      <c r="I55" s="13" t="s">
        <v>92</v>
      </c>
      <c r="J55" s="14" t="s">
        <v>93</v>
      </c>
      <c r="K55" s="13"/>
      <c r="L55" s="13">
        <v>0</v>
      </c>
      <c r="M55" s="13" t="s">
        <v>100</v>
      </c>
      <c r="N55" s="13" t="s">
        <v>91</v>
      </c>
      <c r="O55" s="13">
        <v>0</v>
      </c>
      <c r="P55" s="11">
        <v>295</v>
      </c>
      <c r="Q55" s="12">
        <v>25.4</v>
      </c>
      <c r="R55" s="12">
        <v>1311.6369999999999</v>
      </c>
      <c r="S55" s="12">
        <v>0.09</v>
      </c>
      <c r="T55" s="12">
        <v>8.2200000000000006</v>
      </c>
      <c r="U55" s="12">
        <v>0.11</v>
      </c>
      <c r="V55" s="12">
        <v>0.09</v>
      </c>
      <c r="W55" s="12">
        <v>7.0000000000000007E-2</v>
      </c>
      <c r="X55" s="12">
        <v>399</v>
      </c>
      <c r="Y55" s="12">
        <v>399</v>
      </c>
      <c r="Z55" s="12">
        <v>399</v>
      </c>
      <c r="AA55" s="12">
        <v>399</v>
      </c>
      <c r="AB55" s="12">
        <v>399</v>
      </c>
      <c r="AC55" s="12">
        <v>399</v>
      </c>
      <c r="AD55" s="12">
        <v>399</v>
      </c>
      <c r="AE55" s="12">
        <v>399</v>
      </c>
      <c r="AF55" s="13"/>
      <c r="AG55" s="13"/>
      <c r="AH55" s="13"/>
    </row>
    <row r="56" spans="1:34">
      <c r="A56" s="13" t="s">
        <v>87</v>
      </c>
      <c r="B56" s="13">
        <v>220029640</v>
      </c>
      <c r="C56" s="13" t="s">
        <v>88</v>
      </c>
      <c r="D56" s="13" t="s">
        <v>89</v>
      </c>
      <c r="E56" s="13">
        <v>400454000062</v>
      </c>
      <c r="F56" s="13" t="s">
        <v>90</v>
      </c>
      <c r="G56" s="13" t="s">
        <v>90</v>
      </c>
      <c r="H56" s="13" t="s">
        <v>91</v>
      </c>
      <c r="I56" s="13" t="s">
        <v>92</v>
      </c>
      <c r="J56" s="14" t="s">
        <v>93</v>
      </c>
      <c r="K56" s="13"/>
      <c r="L56" s="13">
        <v>0</v>
      </c>
      <c r="M56" s="13" t="s">
        <v>100</v>
      </c>
      <c r="N56" s="13" t="s">
        <v>91</v>
      </c>
      <c r="O56" s="13">
        <v>0</v>
      </c>
      <c r="P56" s="11">
        <v>300</v>
      </c>
      <c r="Q56" s="12">
        <v>24.52</v>
      </c>
      <c r="R56" s="12">
        <v>1311.56</v>
      </c>
      <c r="S56" s="12">
        <v>0.09</v>
      </c>
      <c r="T56" s="12">
        <v>8.34</v>
      </c>
      <c r="U56" s="12">
        <v>0.11</v>
      </c>
      <c r="V56" s="12">
        <v>0.09</v>
      </c>
      <c r="W56" s="12">
        <v>7.0000000000000007E-2</v>
      </c>
      <c r="X56" s="12">
        <v>399</v>
      </c>
      <c r="Y56" s="12">
        <v>399</v>
      </c>
      <c r="Z56" s="12">
        <v>399</v>
      </c>
      <c r="AA56" s="12">
        <v>399</v>
      </c>
      <c r="AB56" s="12">
        <v>399</v>
      </c>
      <c r="AC56" s="12">
        <v>399</v>
      </c>
      <c r="AD56" s="12">
        <v>399</v>
      </c>
      <c r="AE56" s="12">
        <v>399</v>
      </c>
      <c r="AF56" s="13"/>
      <c r="AG56" s="13"/>
      <c r="AH56" s="13"/>
    </row>
    <row r="57" spans="1:34">
      <c r="A57" s="13" t="s">
        <v>87</v>
      </c>
      <c r="B57" s="13">
        <v>220029640</v>
      </c>
      <c r="C57" s="13" t="s">
        <v>88</v>
      </c>
      <c r="D57" s="13" t="s">
        <v>89</v>
      </c>
      <c r="E57" s="13">
        <v>400454000062</v>
      </c>
      <c r="F57" s="13" t="s">
        <v>90</v>
      </c>
      <c r="G57" s="13" t="s">
        <v>90</v>
      </c>
      <c r="H57" s="13" t="s">
        <v>91</v>
      </c>
      <c r="I57" s="13" t="s">
        <v>92</v>
      </c>
      <c r="J57" s="14" t="s">
        <v>93</v>
      </c>
      <c r="K57" s="13"/>
      <c r="L57" s="13">
        <v>0</v>
      </c>
      <c r="M57" s="13" t="s">
        <v>100</v>
      </c>
      <c r="N57" s="13" t="s">
        <v>91</v>
      </c>
      <c r="O57" s="13">
        <v>0</v>
      </c>
      <c r="P57" s="11">
        <v>305</v>
      </c>
      <c r="Q57" s="12">
        <v>23.69</v>
      </c>
      <c r="R57" s="12">
        <v>1311.4780000000001</v>
      </c>
      <c r="S57" s="12">
        <v>0.1</v>
      </c>
      <c r="T57" s="12">
        <v>8.4</v>
      </c>
      <c r="U57" s="12">
        <v>0.11</v>
      </c>
      <c r="V57" s="12">
        <v>0.09</v>
      </c>
      <c r="W57" s="12">
        <v>7.0000000000000007E-2</v>
      </c>
      <c r="X57" s="12">
        <v>399</v>
      </c>
      <c r="Y57" s="12">
        <v>399</v>
      </c>
      <c r="Z57" s="12">
        <v>399</v>
      </c>
      <c r="AA57" s="12">
        <v>399</v>
      </c>
      <c r="AB57" s="12">
        <v>399</v>
      </c>
      <c r="AC57" s="12">
        <v>399</v>
      </c>
      <c r="AD57" s="12">
        <v>399</v>
      </c>
      <c r="AE57" s="12">
        <v>399</v>
      </c>
      <c r="AF57" s="13"/>
      <c r="AG57" s="13"/>
      <c r="AH57" s="13"/>
    </row>
    <row r="58" spans="1:34">
      <c r="A58" s="13" t="s">
        <v>87</v>
      </c>
      <c r="B58" s="13">
        <v>220029640</v>
      </c>
      <c r="C58" s="13" t="s">
        <v>88</v>
      </c>
      <c r="D58" s="13" t="s">
        <v>89</v>
      </c>
      <c r="E58" s="13">
        <v>400454000062</v>
      </c>
      <c r="F58" s="13" t="s">
        <v>90</v>
      </c>
      <c r="G58" s="13" t="s">
        <v>90</v>
      </c>
      <c r="H58" s="13" t="s">
        <v>91</v>
      </c>
      <c r="I58" s="13" t="s">
        <v>92</v>
      </c>
      <c r="J58" s="14" t="s">
        <v>93</v>
      </c>
      <c r="K58" s="13"/>
      <c r="L58" s="13">
        <v>0</v>
      </c>
      <c r="M58" s="13" t="s">
        <v>100</v>
      </c>
      <c r="N58" s="13" t="s">
        <v>91</v>
      </c>
      <c r="O58" s="13">
        <v>0</v>
      </c>
      <c r="P58" s="11">
        <v>310</v>
      </c>
      <c r="Q58" s="12">
        <v>22.87</v>
      </c>
      <c r="R58" s="12">
        <v>1311.4010000000001</v>
      </c>
      <c r="S58" s="12">
        <v>0.09</v>
      </c>
      <c r="T58" s="12">
        <v>8.43</v>
      </c>
      <c r="U58" s="12">
        <v>0.11</v>
      </c>
      <c r="V58" s="12">
        <v>0.09</v>
      </c>
      <c r="W58" s="12">
        <v>7.0000000000000007E-2</v>
      </c>
      <c r="X58" s="12">
        <v>399</v>
      </c>
      <c r="Y58" s="12">
        <v>399</v>
      </c>
      <c r="Z58" s="12">
        <v>399</v>
      </c>
      <c r="AA58" s="12">
        <v>399</v>
      </c>
      <c r="AB58" s="12">
        <v>399</v>
      </c>
      <c r="AC58" s="12">
        <v>399</v>
      </c>
      <c r="AD58" s="12">
        <v>399</v>
      </c>
      <c r="AE58" s="12">
        <v>399</v>
      </c>
      <c r="AF58" s="13"/>
      <c r="AG58" s="13"/>
      <c r="AH58" s="13"/>
    </row>
    <row r="59" spans="1:34">
      <c r="A59" s="13" t="s">
        <v>87</v>
      </c>
      <c r="B59" s="13">
        <v>220029640</v>
      </c>
      <c r="C59" s="13" t="s">
        <v>88</v>
      </c>
      <c r="D59" s="13" t="s">
        <v>89</v>
      </c>
      <c r="E59" s="13">
        <v>400454000062</v>
      </c>
      <c r="F59" s="13" t="s">
        <v>90</v>
      </c>
      <c r="G59" s="13" t="s">
        <v>90</v>
      </c>
      <c r="H59" s="13" t="s">
        <v>91</v>
      </c>
      <c r="I59" s="13" t="s">
        <v>92</v>
      </c>
      <c r="J59" s="14" t="s">
        <v>93</v>
      </c>
      <c r="K59" s="13"/>
      <c r="L59" s="13">
        <v>0</v>
      </c>
      <c r="M59" s="13" t="s">
        <v>100</v>
      </c>
      <c r="N59" s="13" t="s">
        <v>91</v>
      </c>
      <c r="O59" s="13">
        <v>0</v>
      </c>
      <c r="P59" s="11">
        <v>315</v>
      </c>
      <c r="Q59" s="12">
        <v>22.03</v>
      </c>
      <c r="R59" s="12">
        <v>1311.325</v>
      </c>
      <c r="S59" s="12">
        <v>0.09</v>
      </c>
      <c r="T59" s="12">
        <v>8.4600000000000009</v>
      </c>
      <c r="U59" s="12">
        <v>0.11</v>
      </c>
      <c r="V59" s="12">
        <v>0.09</v>
      </c>
      <c r="W59" s="12">
        <v>7.0000000000000007E-2</v>
      </c>
      <c r="X59" s="12">
        <v>399</v>
      </c>
      <c r="Y59" s="12">
        <v>399</v>
      </c>
      <c r="Z59" s="12">
        <v>399</v>
      </c>
      <c r="AA59" s="12">
        <v>399</v>
      </c>
      <c r="AB59" s="12">
        <v>399</v>
      </c>
      <c r="AC59" s="12">
        <v>399</v>
      </c>
      <c r="AD59" s="12">
        <v>399</v>
      </c>
      <c r="AE59" s="12">
        <v>399</v>
      </c>
      <c r="AF59" s="13"/>
      <c r="AG59" s="13"/>
      <c r="AH59" s="13"/>
    </row>
    <row r="60" spans="1:34">
      <c r="A60" s="13" t="s">
        <v>87</v>
      </c>
      <c r="B60" s="13">
        <v>220029640</v>
      </c>
      <c r="C60" s="13" t="s">
        <v>88</v>
      </c>
      <c r="D60" s="13" t="s">
        <v>89</v>
      </c>
      <c r="E60" s="13">
        <v>400454000062</v>
      </c>
      <c r="F60" s="13" t="s">
        <v>90</v>
      </c>
      <c r="G60" s="13" t="s">
        <v>90</v>
      </c>
      <c r="H60" s="13" t="s">
        <v>91</v>
      </c>
      <c r="I60" s="13" t="s">
        <v>92</v>
      </c>
      <c r="J60" s="14" t="s">
        <v>93</v>
      </c>
      <c r="K60" s="13"/>
      <c r="L60" s="13">
        <v>0</v>
      </c>
      <c r="M60" s="13" t="s">
        <v>100</v>
      </c>
      <c r="N60" s="13" t="s">
        <v>91</v>
      </c>
      <c r="O60" s="13">
        <v>0</v>
      </c>
      <c r="P60" s="11">
        <v>320</v>
      </c>
      <c r="Q60" s="12">
        <v>21.19</v>
      </c>
      <c r="R60" s="12">
        <v>1311.25</v>
      </c>
      <c r="S60" s="12">
        <v>0.09</v>
      </c>
      <c r="T60" s="12">
        <v>8.5299999999999994</v>
      </c>
      <c r="U60" s="12">
        <v>0.11</v>
      </c>
      <c r="V60" s="12">
        <v>0.09</v>
      </c>
      <c r="W60" s="12">
        <v>7.0000000000000007E-2</v>
      </c>
      <c r="X60" s="12">
        <v>399</v>
      </c>
      <c r="Y60" s="12">
        <v>399</v>
      </c>
      <c r="Z60" s="12">
        <v>399</v>
      </c>
      <c r="AA60" s="12">
        <v>399</v>
      </c>
      <c r="AB60" s="12">
        <v>399</v>
      </c>
      <c r="AC60" s="12">
        <v>399</v>
      </c>
      <c r="AD60" s="12">
        <v>399</v>
      </c>
      <c r="AE60" s="12">
        <v>399</v>
      </c>
      <c r="AF60" s="13"/>
      <c r="AG60" s="13"/>
      <c r="AH60" s="13"/>
    </row>
    <row r="61" spans="1:34">
      <c r="A61" s="13" t="s">
        <v>87</v>
      </c>
      <c r="B61" s="13">
        <v>220029640</v>
      </c>
      <c r="C61" s="13" t="s">
        <v>88</v>
      </c>
      <c r="D61" s="13" t="s">
        <v>89</v>
      </c>
      <c r="E61" s="13">
        <v>400454000062</v>
      </c>
      <c r="F61" s="13" t="s">
        <v>90</v>
      </c>
      <c r="G61" s="13" t="s">
        <v>90</v>
      </c>
      <c r="H61" s="13" t="s">
        <v>91</v>
      </c>
      <c r="I61" s="13" t="s">
        <v>92</v>
      </c>
      <c r="J61" s="14" t="s">
        <v>93</v>
      </c>
      <c r="K61" s="13"/>
      <c r="L61" s="13">
        <v>0</v>
      </c>
      <c r="M61" s="13" t="s">
        <v>100</v>
      </c>
      <c r="N61" s="13" t="s">
        <v>91</v>
      </c>
      <c r="O61" s="13">
        <v>0</v>
      </c>
      <c r="P61" s="11">
        <v>325</v>
      </c>
      <c r="Q61" s="12">
        <v>20.36</v>
      </c>
      <c r="R61" s="12">
        <v>1311.171</v>
      </c>
      <c r="S61" s="12">
        <v>0.1</v>
      </c>
      <c r="T61" s="12">
        <v>8.6</v>
      </c>
      <c r="U61" s="12">
        <v>0.11</v>
      </c>
      <c r="V61" s="12">
        <v>0.09</v>
      </c>
      <c r="W61" s="12">
        <v>7.0000000000000007E-2</v>
      </c>
      <c r="X61" s="12">
        <v>399</v>
      </c>
      <c r="Y61" s="12">
        <v>399</v>
      </c>
      <c r="Z61" s="12">
        <v>399</v>
      </c>
      <c r="AA61" s="12">
        <v>399</v>
      </c>
      <c r="AB61" s="12">
        <v>399</v>
      </c>
      <c r="AC61" s="12">
        <v>399</v>
      </c>
      <c r="AD61" s="12">
        <v>399</v>
      </c>
      <c r="AE61" s="12">
        <v>399</v>
      </c>
      <c r="AF61" s="13"/>
      <c r="AG61" s="13"/>
      <c r="AH61" s="13"/>
    </row>
    <row r="62" spans="1:34">
      <c r="A62" s="13" t="s">
        <v>87</v>
      </c>
      <c r="B62" s="13">
        <v>220029640</v>
      </c>
      <c r="C62" s="13" t="s">
        <v>88</v>
      </c>
      <c r="D62" s="13" t="s">
        <v>89</v>
      </c>
      <c r="E62" s="13">
        <v>400454000062</v>
      </c>
      <c r="F62" s="13" t="s">
        <v>90</v>
      </c>
      <c r="G62" s="13" t="s">
        <v>90</v>
      </c>
      <c r="H62" s="13" t="s">
        <v>91</v>
      </c>
      <c r="I62" s="13" t="s">
        <v>92</v>
      </c>
      <c r="J62" s="14" t="s">
        <v>93</v>
      </c>
      <c r="K62" s="13"/>
      <c r="L62" s="13">
        <v>0</v>
      </c>
      <c r="M62" s="13" t="s">
        <v>100</v>
      </c>
      <c r="N62" s="13" t="s">
        <v>91</v>
      </c>
      <c r="O62" s="13">
        <v>0</v>
      </c>
      <c r="P62" s="11">
        <v>330</v>
      </c>
      <c r="Q62" s="12">
        <v>19.53</v>
      </c>
      <c r="R62" s="12">
        <v>1311.0930000000001</v>
      </c>
      <c r="S62" s="12">
        <v>0.09</v>
      </c>
      <c r="T62" s="12">
        <v>8.6999999999999993</v>
      </c>
      <c r="U62" s="12">
        <v>0.11</v>
      </c>
      <c r="V62" s="12">
        <v>0.09</v>
      </c>
      <c r="W62" s="12">
        <v>7.0000000000000007E-2</v>
      </c>
      <c r="X62" s="12">
        <v>399</v>
      </c>
      <c r="Y62" s="12">
        <v>399</v>
      </c>
      <c r="Z62" s="12">
        <v>399</v>
      </c>
      <c r="AA62" s="12">
        <v>399</v>
      </c>
      <c r="AB62" s="12">
        <v>399</v>
      </c>
      <c r="AC62" s="12">
        <v>399</v>
      </c>
      <c r="AD62" s="12">
        <v>399</v>
      </c>
      <c r="AE62" s="12">
        <v>399</v>
      </c>
      <c r="AF62" s="13"/>
      <c r="AG62" s="13"/>
      <c r="AH62" s="13"/>
    </row>
    <row r="63" spans="1:34">
      <c r="A63" s="13" t="s">
        <v>87</v>
      </c>
      <c r="B63" s="13">
        <v>220029640</v>
      </c>
      <c r="C63" s="13" t="s">
        <v>88</v>
      </c>
      <c r="D63" s="13" t="s">
        <v>89</v>
      </c>
      <c r="E63" s="13">
        <v>400454000062</v>
      </c>
      <c r="F63" s="13" t="s">
        <v>90</v>
      </c>
      <c r="G63" s="13" t="s">
        <v>90</v>
      </c>
      <c r="H63" s="13" t="s">
        <v>91</v>
      </c>
      <c r="I63" s="13" t="s">
        <v>92</v>
      </c>
      <c r="J63" s="14" t="s">
        <v>93</v>
      </c>
      <c r="K63" s="13"/>
      <c r="L63" s="13">
        <v>0</v>
      </c>
      <c r="M63" s="13" t="s">
        <v>100</v>
      </c>
      <c r="N63" s="13" t="s">
        <v>91</v>
      </c>
      <c r="O63" s="13">
        <v>0</v>
      </c>
      <c r="P63" s="11">
        <v>335</v>
      </c>
      <c r="Q63" s="12">
        <v>18.68</v>
      </c>
      <c r="R63" s="12">
        <v>1311.0139999999999</v>
      </c>
      <c r="S63" s="12">
        <v>0.09</v>
      </c>
      <c r="T63" s="12">
        <v>8.77</v>
      </c>
      <c r="U63" s="12">
        <v>0.11</v>
      </c>
      <c r="V63" s="12">
        <v>0.09</v>
      </c>
      <c r="W63" s="12">
        <v>7.0000000000000007E-2</v>
      </c>
      <c r="X63" s="12">
        <v>399</v>
      </c>
      <c r="Y63" s="12">
        <v>399</v>
      </c>
      <c r="Z63" s="12">
        <v>399</v>
      </c>
      <c r="AA63" s="12">
        <v>399</v>
      </c>
      <c r="AB63" s="12">
        <v>399</v>
      </c>
      <c r="AC63" s="12">
        <v>399</v>
      </c>
      <c r="AD63" s="12">
        <v>399</v>
      </c>
      <c r="AE63" s="12">
        <v>399</v>
      </c>
      <c r="AF63" s="13"/>
      <c r="AG63" s="13"/>
      <c r="AH63" s="13"/>
    </row>
    <row r="64" spans="1:34">
      <c r="A64" s="13" t="s">
        <v>87</v>
      </c>
      <c r="B64" s="13">
        <v>220029640</v>
      </c>
      <c r="C64" s="13" t="s">
        <v>88</v>
      </c>
      <c r="D64" s="13" t="s">
        <v>89</v>
      </c>
      <c r="E64" s="13">
        <v>400454000062</v>
      </c>
      <c r="F64" s="13" t="s">
        <v>90</v>
      </c>
      <c r="G64" s="13" t="s">
        <v>90</v>
      </c>
      <c r="H64" s="13" t="s">
        <v>91</v>
      </c>
      <c r="I64" s="13" t="s">
        <v>92</v>
      </c>
      <c r="J64" s="14" t="s">
        <v>93</v>
      </c>
      <c r="K64" s="13"/>
      <c r="L64" s="13">
        <v>0</v>
      </c>
      <c r="M64" s="13" t="s">
        <v>100</v>
      </c>
      <c r="N64" s="13" t="s">
        <v>91</v>
      </c>
      <c r="O64" s="13">
        <v>0</v>
      </c>
      <c r="P64" s="11">
        <v>340</v>
      </c>
      <c r="Q64" s="12">
        <v>17.86</v>
      </c>
      <c r="R64" s="12">
        <v>1310.9380000000001</v>
      </c>
      <c r="S64" s="12">
        <v>0.09</v>
      </c>
      <c r="T64" s="12">
        <v>8.82</v>
      </c>
      <c r="U64" s="12">
        <v>0.11</v>
      </c>
      <c r="V64" s="12">
        <v>0.09</v>
      </c>
      <c r="W64" s="12">
        <v>7.0000000000000007E-2</v>
      </c>
      <c r="X64" s="12">
        <v>399</v>
      </c>
      <c r="Y64" s="12">
        <v>399</v>
      </c>
      <c r="Z64" s="12">
        <v>399</v>
      </c>
      <c r="AA64" s="12">
        <v>399</v>
      </c>
      <c r="AB64" s="12">
        <v>399</v>
      </c>
      <c r="AC64" s="12">
        <v>399</v>
      </c>
      <c r="AD64" s="12">
        <v>399</v>
      </c>
      <c r="AE64" s="12">
        <v>399</v>
      </c>
      <c r="AF64" s="13"/>
      <c r="AG64" s="13"/>
      <c r="AH64" s="13"/>
    </row>
    <row r="65" spans="1:34">
      <c r="A65" s="13" t="s">
        <v>87</v>
      </c>
      <c r="B65" s="13">
        <v>220029640</v>
      </c>
      <c r="C65" s="13" t="s">
        <v>88</v>
      </c>
      <c r="D65" s="13" t="s">
        <v>89</v>
      </c>
      <c r="E65" s="13">
        <v>400454000062</v>
      </c>
      <c r="F65" s="13" t="s">
        <v>90</v>
      </c>
      <c r="G65" s="13" t="s">
        <v>90</v>
      </c>
      <c r="H65" s="13" t="s">
        <v>91</v>
      </c>
      <c r="I65" s="13" t="s">
        <v>92</v>
      </c>
      <c r="J65" s="14" t="s">
        <v>93</v>
      </c>
      <c r="K65" s="13"/>
      <c r="L65" s="13">
        <v>0</v>
      </c>
      <c r="M65" s="13" t="s">
        <v>100</v>
      </c>
      <c r="N65" s="13" t="s">
        <v>91</v>
      </c>
      <c r="O65" s="13">
        <v>0</v>
      </c>
      <c r="P65" s="11">
        <v>345</v>
      </c>
      <c r="Q65" s="11">
        <v>17.010000000000002</v>
      </c>
      <c r="R65" s="11">
        <v>1310.8579999999999</v>
      </c>
      <c r="S65" s="11">
        <v>0.09</v>
      </c>
      <c r="T65" s="11">
        <v>8.8699999999999992</v>
      </c>
      <c r="U65" s="11">
        <v>0.11</v>
      </c>
      <c r="V65" s="11">
        <v>0.09</v>
      </c>
      <c r="W65" s="11">
        <v>7.0000000000000007E-2</v>
      </c>
      <c r="X65" s="11">
        <v>399</v>
      </c>
      <c r="Y65" s="11">
        <v>399</v>
      </c>
      <c r="Z65" s="11">
        <v>399</v>
      </c>
      <c r="AA65" s="11">
        <v>399</v>
      </c>
      <c r="AB65" s="11">
        <v>399</v>
      </c>
      <c r="AC65" s="11">
        <v>399</v>
      </c>
      <c r="AD65" s="11">
        <v>399</v>
      </c>
      <c r="AE65" s="11">
        <v>399</v>
      </c>
      <c r="AF65" s="13"/>
      <c r="AG65" s="13"/>
      <c r="AH65" s="13"/>
    </row>
    <row r="66" spans="1:34">
      <c r="A66" s="13" t="s">
        <v>87</v>
      </c>
      <c r="B66" s="13">
        <v>220029640</v>
      </c>
      <c r="C66" s="13" t="s">
        <v>88</v>
      </c>
      <c r="D66" s="13" t="s">
        <v>89</v>
      </c>
      <c r="E66" s="13">
        <v>400454000062</v>
      </c>
      <c r="F66" s="13" t="s">
        <v>90</v>
      </c>
      <c r="G66" s="13" t="s">
        <v>90</v>
      </c>
      <c r="H66" s="13" t="s">
        <v>91</v>
      </c>
      <c r="I66" s="13" t="s">
        <v>92</v>
      </c>
      <c r="J66" s="14" t="s">
        <v>93</v>
      </c>
      <c r="K66" s="13"/>
      <c r="L66" s="13">
        <v>0</v>
      </c>
      <c r="M66" s="13" t="s">
        <v>100</v>
      </c>
      <c r="N66" s="13" t="s">
        <v>91</v>
      </c>
      <c r="O66" s="13">
        <v>0</v>
      </c>
      <c r="P66" s="11">
        <v>350</v>
      </c>
      <c r="Q66" s="11">
        <v>16.22</v>
      </c>
      <c r="R66" s="11">
        <v>1310.7829999999999</v>
      </c>
      <c r="S66" s="11">
        <v>0.09</v>
      </c>
      <c r="T66" s="11">
        <v>8.89</v>
      </c>
      <c r="U66" s="11">
        <v>0.11</v>
      </c>
      <c r="V66" s="11">
        <v>0.09</v>
      </c>
      <c r="W66" s="11">
        <v>7.0000000000000007E-2</v>
      </c>
      <c r="X66" s="11">
        <v>399</v>
      </c>
      <c r="Y66" s="11">
        <v>399</v>
      </c>
      <c r="Z66" s="11">
        <v>399</v>
      </c>
      <c r="AA66" s="11">
        <v>399</v>
      </c>
      <c r="AB66" s="11">
        <v>399</v>
      </c>
      <c r="AC66" s="11">
        <v>399</v>
      </c>
      <c r="AD66" s="11">
        <v>399</v>
      </c>
      <c r="AE66" s="11">
        <v>399</v>
      </c>
      <c r="AF66" s="13"/>
      <c r="AG66" s="13"/>
      <c r="AH66" s="13"/>
    </row>
    <row r="67" spans="1:34">
      <c r="A67" s="13" t="s">
        <v>87</v>
      </c>
      <c r="B67" s="13">
        <v>220029640</v>
      </c>
      <c r="C67" s="13" t="s">
        <v>88</v>
      </c>
      <c r="D67" s="13" t="s">
        <v>89</v>
      </c>
      <c r="E67" s="13">
        <v>400454000062</v>
      </c>
      <c r="F67" s="13" t="s">
        <v>90</v>
      </c>
      <c r="G67" s="13" t="s">
        <v>90</v>
      </c>
      <c r="H67" s="13" t="s">
        <v>91</v>
      </c>
      <c r="I67" s="13" t="s">
        <v>92</v>
      </c>
      <c r="J67" s="14" t="s">
        <v>93</v>
      </c>
      <c r="K67" s="13"/>
      <c r="L67" s="13">
        <v>0</v>
      </c>
      <c r="M67" s="13" t="s">
        <v>100</v>
      </c>
      <c r="N67" s="13" t="s">
        <v>91</v>
      </c>
      <c r="O67" s="13">
        <v>0</v>
      </c>
      <c r="P67" s="11">
        <v>355</v>
      </c>
      <c r="Q67" s="11">
        <v>15.38</v>
      </c>
      <c r="R67" s="11">
        <v>1310.7080000000001</v>
      </c>
      <c r="S67" s="11">
        <v>0.09</v>
      </c>
      <c r="T67" s="11">
        <v>8.94</v>
      </c>
      <c r="U67" s="11">
        <v>0.11</v>
      </c>
      <c r="V67" s="11">
        <v>0.09</v>
      </c>
      <c r="W67" s="11">
        <v>7.0000000000000007E-2</v>
      </c>
      <c r="X67" s="11">
        <v>399</v>
      </c>
      <c r="Y67" s="11">
        <v>399</v>
      </c>
      <c r="Z67" s="11">
        <v>399</v>
      </c>
      <c r="AA67" s="11">
        <v>399</v>
      </c>
      <c r="AB67" s="11">
        <v>399</v>
      </c>
      <c r="AC67" s="11">
        <v>399</v>
      </c>
      <c r="AD67" s="11">
        <v>399</v>
      </c>
      <c r="AE67" s="11">
        <v>399</v>
      </c>
      <c r="AF67" s="13"/>
      <c r="AG67" s="13"/>
      <c r="AH67" s="13"/>
    </row>
    <row r="68" spans="1:34">
      <c r="A68" s="13" t="s">
        <v>87</v>
      </c>
      <c r="B68" s="13">
        <v>220029640</v>
      </c>
      <c r="C68" s="13" t="s">
        <v>88</v>
      </c>
      <c r="D68" s="13" t="s">
        <v>89</v>
      </c>
      <c r="E68" s="13">
        <v>400454000062</v>
      </c>
      <c r="F68" s="13" t="s">
        <v>90</v>
      </c>
      <c r="G68" s="13" t="s">
        <v>90</v>
      </c>
      <c r="H68" s="13" t="s">
        <v>91</v>
      </c>
      <c r="I68" s="13" t="s">
        <v>92</v>
      </c>
      <c r="J68" s="14" t="s">
        <v>93</v>
      </c>
      <c r="K68" s="13"/>
      <c r="L68" s="13">
        <v>0</v>
      </c>
      <c r="M68" s="13" t="s">
        <v>100</v>
      </c>
      <c r="N68" s="13" t="s">
        <v>91</v>
      </c>
      <c r="O68" s="13">
        <v>0</v>
      </c>
      <c r="P68" s="11">
        <v>360</v>
      </c>
      <c r="Q68" s="11">
        <v>14.57</v>
      </c>
      <c r="R68" s="11">
        <v>1310.6300000000001</v>
      </c>
      <c r="S68" s="11">
        <v>0.1</v>
      </c>
      <c r="T68" s="11">
        <v>9.02</v>
      </c>
      <c r="U68" s="11">
        <v>0.11</v>
      </c>
      <c r="V68" s="11">
        <v>0.09</v>
      </c>
      <c r="W68" s="11">
        <v>7.0000000000000007E-2</v>
      </c>
      <c r="X68" s="11">
        <v>399</v>
      </c>
      <c r="Y68" s="11">
        <v>399</v>
      </c>
      <c r="Z68" s="11">
        <v>399</v>
      </c>
      <c r="AA68" s="11">
        <v>399</v>
      </c>
      <c r="AB68" s="11">
        <v>399</v>
      </c>
      <c r="AC68" s="11">
        <v>399</v>
      </c>
      <c r="AD68" s="11">
        <v>399</v>
      </c>
      <c r="AE68" s="11">
        <v>399</v>
      </c>
      <c r="AF68" s="13"/>
      <c r="AG68" s="13"/>
      <c r="AH68" s="13"/>
    </row>
    <row r="69" spans="1:34">
      <c r="A69" s="13" t="s">
        <v>87</v>
      </c>
      <c r="B69" s="13">
        <v>220029640</v>
      </c>
      <c r="C69" s="13" t="s">
        <v>88</v>
      </c>
      <c r="D69" s="13" t="s">
        <v>89</v>
      </c>
      <c r="E69" s="13">
        <v>400454000062</v>
      </c>
      <c r="F69" s="13" t="s">
        <v>90</v>
      </c>
      <c r="G69" s="13" t="s">
        <v>90</v>
      </c>
      <c r="H69" s="13" t="s">
        <v>91</v>
      </c>
      <c r="I69" s="13" t="s">
        <v>92</v>
      </c>
      <c r="J69" s="14" t="s">
        <v>93</v>
      </c>
      <c r="K69" s="13"/>
      <c r="L69" s="13">
        <v>0</v>
      </c>
      <c r="M69" s="13" t="s">
        <v>100</v>
      </c>
      <c r="N69" s="13" t="s">
        <v>91</v>
      </c>
      <c r="O69" s="13">
        <v>0</v>
      </c>
      <c r="P69" s="11">
        <v>365</v>
      </c>
      <c r="Q69" s="11">
        <v>13.78</v>
      </c>
      <c r="R69" s="11">
        <v>1310.5530000000001</v>
      </c>
      <c r="S69" s="11">
        <v>0.1</v>
      </c>
      <c r="T69" s="11">
        <v>9.0500000000000007</v>
      </c>
      <c r="U69" s="11">
        <v>0.11</v>
      </c>
      <c r="V69" s="11">
        <v>0.09</v>
      </c>
      <c r="W69" s="11">
        <v>7.0000000000000007E-2</v>
      </c>
      <c r="X69" s="11">
        <v>399</v>
      </c>
      <c r="Y69" s="11">
        <v>399</v>
      </c>
      <c r="Z69" s="11">
        <v>399</v>
      </c>
      <c r="AA69" s="11">
        <v>399</v>
      </c>
      <c r="AB69" s="11">
        <v>399</v>
      </c>
      <c r="AC69" s="11">
        <v>399</v>
      </c>
      <c r="AD69" s="11">
        <v>399</v>
      </c>
      <c r="AE69" s="11">
        <v>399</v>
      </c>
      <c r="AF69" s="13"/>
      <c r="AG69" s="13"/>
      <c r="AH69" s="13"/>
    </row>
    <row r="70" spans="1:34">
      <c r="A70" s="13" t="s">
        <v>87</v>
      </c>
      <c r="B70" s="13">
        <v>220029640</v>
      </c>
      <c r="C70" s="13" t="s">
        <v>88</v>
      </c>
      <c r="D70" s="13" t="s">
        <v>89</v>
      </c>
      <c r="E70" s="13">
        <v>400454000062</v>
      </c>
      <c r="F70" s="13" t="s">
        <v>90</v>
      </c>
      <c r="G70" s="13" t="s">
        <v>90</v>
      </c>
      <c r="H70" s="13" t="s">
        <v>91</v>
      </c>
      <c r="I70" s="13" t="s">
        <v>92</v>
      </c>
      <c r="J70" s="14" t="s">
        <v>93</v>
      </c>
      <c r="K70" s="13"/>
      <c r="L70" s="13">
        <v>0</v>
      </c>
      <c r="M70" s="13" t="s">
        <v>100</v>
      </c>
      <c r="N70" s="13" t="s">
        <v>91</v>
      </c>
      <c r="O70" s="13">
        <v>0</v>
      </c>
      <c r="P70" s="11">
        <v>370</v>
      </c>
      <c r="Q70" s="11">
        <v>12.93</v>
      </c>
      <c r="R70" s="11">
        <v>1310.4760000000001</v>
      </c>
      <c r="S70" s="11">
        <v>0.09</v>
      </c>
      <c r="T70" s="11">
        <v>9.06</v>
      </c>
      <c r="U70" s="11">
        <v>0.11</v>
      </c>
      <c r="V70" s="11">
        <v>0.09</v>
      </c>
      <c r="W70" s="11">
        <v>7.0000000000000007E-2</v>
      </c>
      <c r="X70" s="11">
        <v>399</v>
      </c>
      <c r="Y70" s="11">
        <v>399</v>
      </c>
      <c r="Z70" s="11">
        <v>399</v>
      </c>
      <c r="AA70" s="11">
        <v>399</v>
      </c>
      <c r="AB70" s="11">
        <v>399</v>
      </c>
      <c r="AC70" s="11">
        <v>399</v>
      </c>
      <c r="AD70" s="11">
        <v>399</v>
      </c>
      <c r="AE70" s="11">
        <v>399</v>
      </c>
      <c r="AF70" s="13"/>
      <c r="AG70" s="13"/>
      <c r="AH70" s="13"/>
    </row>
    <row r="71" spans="1:34">
      <c r="A71" s="13" t="s">
        <v>87</v>
      </c>
      <c r="B71" s="13">
        <v>220029640</v>
      </c>
      <c r="C71" s="13" t="s">
        <v>88</v>
      </c>
      <c r="D71" s="13" t="s">
        <v>89</v>
      </c>
      <c r="E71" s="13">
        <v>400454000062</v>
      </c>
      <c r="F71" s="13" t="s">
        <v>90</v>
      </c>
      <c r="G71" s="13" t="s">
        <v>90</v>
      </c>
      <c r="H71" s="13" t="s">
        <v>91</v>
      </c>
      <c r="I71" s="13" t="s">
        <v>92</v>
      </c>
      <c r="J71" s="14" t="s">
        <v>93</v>
      </c>
      <c r="K71" s="13"/>
      <c r="L71" s="13">
        <v>0</v>
      </c>
      <c r="M71" s="13" t="s">
        <v>100</v>
      </c>
      <c r="N71" s="13" t="s">
        <v>91</v>
      </c>
      <c r="O71" s="13">
        <v>0</v>
      </c>
      <c r="P71" s="11">
        <v>375</v>
      </c>
      <c r="Q71" s="11">
        <v>12.11</v>
      </c>
      <c r="R71" s="11">
        <v>1310.3979999999999</v>
      </c>
      <c r="S71" s="11">
        <v>0.1</v>
      </c>
      <c r="T71" s="11">
        <v>9.1199999999999992</v>
      </c>
      <c r="U71" s="11">
        <v>0.11</v>
      </c>
      <c r="V71" s="11">
        <v>0.09</v>
      </c>
      <c r="W71" s="11">
        <v>7.0000000000000007E-2</v>
      </c>
      <c r="X71" s="11">
        <v>399</v>
      </c>
      <c r="Y71" s="11">
        <v>399</v>
      </c>
      <c r="Z71" s="11">
        <v>399</v>
      </c>
      <c r="AA71" s="11">
        <v>399</v>
      </c>
      <c r="AB71" s="11">
        <v>399</v>
      </c>
      <c r="AC71" s="11">
        <v>399</v>
      </c>
      <c r="AD71" s="11">
        <v>399</v>
      </c>
      <c r="AE71" s="11">
        <v>399</v>
      </c>
      <c r="AF71" s="13"/>
      <c r="AG71" s="13"/>
      <c r="AH71" s="13"/>
    </row>
    <row r="72" spans="1:34">
      <c r="A72" s="13" t="s">
        <v>87</v>
      </c>
      <c r="B72" s="13">
        <v>220029640</v>
      </c>
      <c r="C72" s="13" t="s">
        <v>88</v>
      </c>
      <c r="D72" s="13" t="s">
        <v>89</v>
      </c>
      <c r="E72" s="13">
        <v>400454000062</v>
      </c>
      <c r="F72" s="13" t="s">
        <v>90</v>
      </c>
      <c r="G72" s="13" t="s">
        <v>90</v>
      </c>
      <c r="H72" s="13" t="s">
        <v>91</v>
      </c>
      <c r="I72" s="13" t="s">
        <v>92</v>
      </c>
      <c r="J72" s="14" t="s">
        <v>93</v>
      </c>
      <c r="K72" s="13"/>
      <c r="L72" s="13">
        <v>0</v>
      </c>
      <c r="M72" s="13" t="s">
        <v>100</v>
      </c>
      <c r="N72" s="13" t="s">
        <v>91</v>
      </c>
      <c r="O72" s="13">
        <v>0</v>
      </c>
      <c r="P72" s="11">
        <v>380</v>
      </c>
      <c r="Q72" s="11">
        <v>11.26</v>
      </c>
      <c r="R72" s="11">
        <v>1310.3219999999999</v>
      </c>
      <c r="S72" s="11">
        <v>0.09</v>
      </c>
      <c r="T72" s="11">
        <v>9.16</v>
      </c>
      <c r="U72" s="11">
        <v>0.11</v>
      </c>
      <c r="V72" s="11">
        <v>0.09</v>
      </c>
      <c r="W72" s="11">
        <v>7.0000000000000007E-2</v>
      </c>
      <c r="X72" s="11">
        <v>399</v>
      </c>
      <c r="Y72" s="11">
        <v>399</v>
      </c>
      <c r="Z72" s="11">
        <v>399</v>
      </c>
      <c r="AA72" s="11">
        <v>399</v>
      </c>
      <c r="AB72" s="11">
        <v>399</v>
      </c>
      <c r="AC72" s="11">
        <v>399</v>
      </c>
      <c r="AD72" s="11">
        <v>399</v>
      </c>
      <c r="AE72" s="11">
        <v>399</v>
      </c>
      <c r="AF72" s="13"/>
      <c r="AG72" s="13"/>
      <c r="AH72" s="13"/>
    </row>
    <row r="73" spans="1:34">
      <c r="A73" s="13" t="s">
        <v>87</v>
      </c>
      <c r="B73" s="13">
        <v>220029640</v>
      </c>
      <c r="C73" s="13" t="s">
        <v>88</v>
      </c>
      <c r="D73" s="13" t="s">
        <v>89</v>
      </c>
      <c r="E73" s="13">
        <v>400454000062</v>
      </c>
      <c r="F73" s="13" t="s">
        <v>90</v>
      </c>
      <c r="G73" s="13" t="s">
        <v>90</v>
      </c>
      <c r="H73" s="13" t="s">
        <v>91</v>
      </c>
      <c r="I73" s="13" t="s">
        <v>92</v>
      </c>
      <c r="J73" s="14" t="s">
        <v>93</v>
      </c>
      <c r="K73" s="13"/>
      <c r="L73" s="13">
        <v>0</v>
      </c>
      <c r="M73" s="13" t="s">
        <v>100</v>
      </c>
      <c r="N73" s="13" t="s">
        <v>91</v>
      </c>
      <c r="O73" s="13">
        <v>0</v>
      </c>
      <c r="P73" s="11">
        <v>385</v>
      </c>
      <c r="Q73" s="11">
        <v>10.44</v>
      </c>
      <c r="R73" s="11">
        <v>1310.239</v>
      </c>
      <c r="S73" s="11">
        <v>0.1</v>
      </c>
      <c r="T73" s="11">
        <v>9.2200000000000006</v>
      </c>
      <c r="U73" s="11">
        <v>0.11</v>
      </c>
      <c r="V73" s="11">
        <v>0.09</v>
      </c>
      <c r="W73" s="11">
        <v>7.0000000000000007E-2</v>
      </c>
      <c r="X73" s="11">
        <v>399</v>
      </c>
      <c r="Y73" s="11">
        <v>399</v>
      </c>
      <c r="Z73" s="11">
        <v>399</v>
      </c>
      <c r="AA73" s="11">
        <v>399</v>
      </c>
      <c r="AB73" s="11">
        <v>399</v>
      </c>
      <c r="AC73" s="11">
        <v>399</v>
      </c>
      <c r="AD73" s="11">
        <v>399</v>
      </c>
      <c r="AE73" s="11">
        <v>399</v>
      </c>
      <c r="AF73" s="13"/>
      <c r="AG73" s="13"/>
      <c r="AH73" s="13"/>
    </row>
    <row r="74" spans="1:34">
      <c r="A74" s="13" t="s">
        <v>87</v>
      </c>
      <c r="B74" s="13">
        <v>220029640</v>
      </c>
      <c r="C74" s="13" t="s">
        <v>88</v>
      </c>
      <c r="D74" s="13" t="s">
        <v>89</v>
      </c>
      <c r="E74" s="13">
        <v>400454000062</v>
      </c>
      <c r="F74" s="13" t="s">
        <v>90</v>
      </c>
      <c r="G74" s="13" t="s">
        <v>90</v>
      </c>
      <c r="H74" s="13" t="s">
        <v>91</v>
      </c>
      <c r="I74" s="13" t="s">
        <v>92</v>
      </c>
      <c r="J74" s="14" t="s">
        <v>93</v>
      </c>
      <c r="K74" s="13"/>
      <c r="L74" s="13">
        <v>0</v>
      </c>
      <c r="M74" s="13" t="s">
        <v>100</v>
      </c>
      <c r="N74" s="13" t="s">
        <v>91</v>
      </c>
      <c r="O74" s="13">
        <v>0</v>
      </c>
      <c r="P74" s="11">
        <v>390</v>
      </c>
      <c r="Q74" s="11">
        <v>9.61</v>
      </c>
      <c r="R74" s="11">
        <v>1310.163</v>
      </c>
      <c r="S74" s="11">
        <v>0.09</v>
      </c>
      <c r="T74" s="11">
        <v>9.25</v>
      </c>
      <c r="U74" s="11">
        <v>0.11</v>
      </c>
      <c r="V74" s="11">
        <v>0.09</v>
      </c>
      <c r="W74" s="11">
        <v>7.0000000000000007E-2</v>
      </c>
      <c r="X74" s="11">
        <v>399</v>
      </c>
      <c r="Y74" s="11">
        <v>399</v>
      </c>
      <c r="Z74" s="11">
        <v>399</v>
      </c>
      <c r="AA74" s="11">
        <v>399</v>
      </c>
      <c r="AB74" s="11">
        <v>399</v>
      </c>
      <c r="AC74" s="11">
        <v>399</v>
      </c>
      <c r="AD74" s="11">
        <v>399</v>
      </c>
      <c r="AE74" s="11">
        <v>399</v>
      </c>
      <c r="AF74" s="13"/>
      <c r="AG74" s="13"/>
      <c r="AH74" s="13"/>
    </row>
    <row r="75" spans="1:34">
      <c r="A75" s="13" t="s">
        <v>87</v>
      </c>
      <c r="B75" s="13">
        <v>220029640</v>
      </c>
      <c r="C75" s="13" t="s">
        <v>88</v>
      </c>
      <c r="D75" s="13" t="s">
        <v>89</v>
      </c>
      <c r="E75" s="13">
        <v>400454000062</v>
      </c>
      <c r="F75" s="13" t="s">
        <v>90</v>
      </c>
      <c r="G75" s="13" t="s">
        <v>90</v>
      </c>
      <c r="H75" s="13" t="s">
        <v>91</v>
      </c>
      <c r="I75" s="13" t="s">
        <v>92</v>
      </c>
      <c r="J75" s="14" t="s">
        <v>93</v>
      </c>
      <c r="K75" s="13"/>
      <c r="L75" s="13">
        <v>0</v>
      </c>
      <c r="M75" s="13" t="s">
        <v>100</v>
      </c>
      <c r="N75" s="13" t="s">
        <v>91</v>
      </c>
      <c r="O75" s="13">
        <v>0</v>
      </c>
      <c r="P75" s="11">
        <v>395</v>
      </c>
      <c r="Q75" s="11">
        <v>8.81</v>
      </c>
      <c r="R75" s="11">
        <v>1310.086</v>
      </c>
      <c r="S75" s="11">
        <v>0.1</v>
      </c>
      <c r="T75" s="11">
        <v>9.3000000000000007</v>
      </c>
      <c r="U75" s="11">
        <v>0.11</v>
      </c>
      <c r="V75" s="11">
        <v>0.09</v>
      </c>
      <c r="W75" s="11">
        <v>7.0000000000000007E-2</v>
      </c>
      <c r="X75" s="11">
        <v>399</v>
      </c>
      <c r="Y75" s="11">
        <v>399</v>
      </c>
      <c r="Z75" s="11">
        <v>399</v>
      </c>
      <c r="AA75" s="11">
        <v>399</v>
      </c>
      <c r="AB75" s="11">
        <v>399</v>
      </c>
      <c r="AC75" s="11">
        <v>399</v>
      </c>
      <c r="AD75" s="11">
        <v>399</v>
      </c>
      <c r="AE75" s="11">
        <v>399</v>
      </c>
      <c r="AF75" s="13"/>
      <c r="AG75" s="13"/>
      <c r="AH75" s="13"/>
    </row>
    <row r="76" spans="1:34">
      <c r="A76" s="13" t="s">
        <v>87</v>
      </c>
      <c r="B76" s="13">
        <v>220029640</v>
      </c>
      <c r="C76" s="13" t="s">
        <v>88</v>
      </c>
      <c r="D76" s="13" t="s">
        <v>89</v>
      </c>
      <c r="E76" s="13">
        <v>400454000062</v>
      </c>
      <c r="F76" s="13" t="s">
        <v>90</v>
      </c>
      <c r="G76" s="13" t="s">
        <v>90</v>
      </c>
      <c r="H76" s="13" t="s">
        <v>91</v>
      </c>
      <c r="I76" s="13" t="s">
        <v>92</v>
      </c>
      <c r="J76" s="14" t="s">
        <v>93</v>
      </c>
      <c r="K76" s="13"/>
      <c r="L76" s="13">
        <v>0</v>
      </c>
      <c r="M76" s="13" t="s">
        <v>100</v>
      </c>
      <c r="N76" s="13" t="s">
        <v>91</v>
      </c>
      <c r="O76" s="13">
        <v>0</v>
      </c>
      <c r="P76" s="11">
        <v>400</v>
      </c>
      <c r="Q76" s="11">
        <v>7.98</v>
      </c>
      <c r="R76" s="11">
        <v>1310.01</v>
      </c>
      <c r="S76" s="11">
        <v>0.09</v>
      </c>
      <c r="T76" s="11">
        <v>9.39</v>
      </c>
      <c r="U76" s="11">
        <v>0.11</v>
      </c>
      <c r="V76" s="11">
        <v>0.09</v>
      </c>
      <c r="W76" s="11">
        <v>7.0000000000000007E-2</v>
      </c>
      <c r="X76" s="11">
        <v>399</v>
      </c>
      <c r="Y76" s="11">
        <v>399</v>
      </c>
      <c r="Z76" s="11">
        <v>399</v>
      </c>
      <c r="AA76" s="11">
        <v>399</v>
      </c>
      <c r="AB76" s="11">
        <v>399</v>
      </c>
      <c r="AC76" s="11">
        <v>399</v>
      </c>
      <c r="AD76" s="11">
        <v>399</v>
      </c>
      <c r="AE76" s="11">
        <v>399</v>
      </c>
      <c r="AF76" s="13"/>
      <c r="AG76" s="13"/>
      <c r="AH76" s="13"/>
    </row>
    <row r="77" spans="1:34">
      <c r="A77" s="13" t="s">
        <v>87</v>
      </c>
      <c r="B77" s="13">
        <v>220029640</v>
      </c>
      <c r="C77" s="13" t="s">
        <v>88</v>
      </c>
      <c r="D77" s="13" t="s">
        <v>89</v>
      </c>
      <c r="E77" s="13">
        <v>400454000062</v>
      </c>
      <c r="F77" s="13" t="s">
        <v>90</v>
      </c>
      <c r="G77" s="13" t="s">
        <v>90</v>
      </c>
      <c r="H77" s="13" t="s">
        <v>91</v>
      </c>
      <c r="I77" s="13" t="s">
        <v>92</v>
      </c>
      <c r="J77" s="14" t="s">
        <v>93</v>
      </c>
      <c r="K77" s="13"/>
      <c r="L77" s="13">
        <v>0</v>
      </c>
      <c r="M77" s="13" t="s">
        <v>100</v>
      </c>
      <c r="N77" s="13" t="s">
        <v>91</v>
      </c>
      <c r="O77" s="13">
        <v>0</v>
      </c>
      <c r="P77" s="13">
        <v>405</v>
      </c>
      <c r="Q77" s="13">
        <v>7.17</v>
      </c>
      <c r="R77" s="13">
        <v>1309.9349999999999</v>
      </c>
      <c r="S77" s="13">
        <v>0.09</v>
      </c>
      <c r="T77" s="13">
        <v>9.41</v>
      </c>
      <c r="U77" s="13">
        <v>0.11</v>
      </c>
      <c r="V77" s="13">
        <v>0.09</v>
      </c>
      <c r="W77" s="13">
        <v>7.0000000000000007E-2</v>
      </c>
      <c r="X77" s="13">
        <v>399</v>
      </c>
      <c r="Y77" s="13">
        <v>399</v>
      </c>
      <c r="Z77" s="13">
        <v>399</v>
      </c>
      <c r="AA77" s="13">
        <v>399</v>
      </c>
      <c r="AB77" s="13">
        <v>399</v>
      </c>
      <c r="AC77" s="13">
        <v>399</v>
      </c>
      <c r="AD77" s="13">
        <v>399</v>
      </c>
      <c r="AE77" s="13">
        <v>399</v>
      </c>
      <c r="AF77" s="13"/>
      <c r="AG77" s="13"/>
      <c r="AH77" s="13"/>
    </row>
    <row r="78" spans="1:34">
      <c r="A78" s="13" t="s">
        <v>87</v>
      </c>
      <c r="B78" s="13">
        <v>220029640</v>
      </c>
      <c r="C78" s="13" t="s">
        <v>88</v>
      </c>
      <c r="D78" s="13" t="s">
        <v>89</v>
      </c>
      <c r="E78" s="13">
        <v>400454000062</v>
      </c>
      <c r="F78" s="13" t="s">
        <v>90</v>
      </c>
      <c r="G78" s="13" t="s">
        <v>90</v>
      </c>
      <c r="H78" s="13" t="s">
        <v>91</v>
      </c>
      <c r="I78" s="13" t="s">
        <v>92</v>
      </c>
      <c r="J78" s="14" t="s">
        <v>93</v>
      </c>
      <c r="K78" s="13"/>
      <c r="L78" s="13">
        <v>0</v>
      </c>
      <c r="M78" s="13" t="s">
        <v>100</v>
      </c>
      <c r="N78" s="13" t="s">
        <v>91</v>
      </c>
      <c r="O78" s="13">
        <v>0</v>
      </c>
      <c r="P78" s="13">
        <v>410</v>
      </c>
      <c r="Q78" s="13">
        <v>6.33</v>
      </c>
      <c r="R78" s="13">
        <v>1309.8589999999999</v>
      </c>
      <c r="S78" s="13">
        <v>0.09</v>
      </c>
      <c r="T78" s="13">
        <v>9.48</v>
      </c>
      <c r="U78" s="13">
        <v>0.11</v>
      </c>
      <c r="V78" s="13">
        <v>0.09</v>
      </c>
      <c r="W78" s="13">
        <v>7.0000000000000007E-2</v>
      </c>
      <c r="X78" s="13">
        <v>399</v>
      </c>
      <c r="Y78" s="13">
        <v>399</v>
      </c>
      <c r="Z78" s="13">
        <v>399</v>
      </c>
      <c r="AA78" s="13">
        <v>399</v>
      </c>
      <c r="AB78" s="13">
        <v>399</v>
      </c>
      <c r="AC78" s="13">
        <v>399</v>
      </c>
      <c r="AD78" s="13">
        <v>399</v>
      </c>
      <c r="AE78" s="13">
        <v>399</v>
      </c>
      <c r="AF78" s="13"/>
      <c r="AG78" s="13"/>
      <c r="AH78" s="13"/>
    </row>
    <row r="79" spans="1:34">
      <c r="A79" s="13" t="s">
        <v>87</v>
      </c>
      <c r="B79" s="13">
        <v>220029640</v>
      </c>
      <c r="C79" s="13" t="s">
        <v>88</v>
      </c>
      <c r="D79" s="13" t="s">
        <v>89</v>
      </c>
      <c r="E79" s="13">
        <v>400454000062</v>
      </c>
      <c r="F79" s="13" t="s">
        <v>90</v>
      </c>
      <c r="G79" s="13" t="s">
        <v>90</v>
      </c>
      <c r="H79" s="13" t="s">
        <v>91</v>
      </c>
      <c r="I79" s="13" t="s">
        <v>92</v>
      </c>
      <c r="J79" s="14" t="s">
        <v>93</v>
      </c>
      <c r="K79" s="13"/>
      <c r="L79" s="13">
        <v>0</v>
      </c>
      <c r="M79" s="13" t="s">
        <v>100</v>
      </c>
      <c r="N79" s="13" t="s">
        <v>91</v>
      </c>
      <c r="O79" s="13">
        <v>0</v>
      </c>
      <c r="P79" s="13">
        <v>415</v>
      </c>
      <c r="Q79" s="13">
        <v>5.54</v>
      </c>
      <c r="R79" s="13">
        <v>1309.778</v>
      </c>
      <c r="S79" s="13">
        <v>0.1</v>
      </c>
      <c r="T79" s="13">
        <v>9.51</v>
      </c>
      <c r="U79" s="13">
        <v>0.11</v>
      </c>
      <c r="V79" s="13">
        <v>0.09</v>
      </c>
      <c r="W79" s="13">
        <v>7.0000000000000007E-2</v>
      </c>
      <c r="X79" s="13">
        <v>399</v>
      </c>
      <c r="Y79" s="13">
        <v>399</v>
      </c>
      <c r="Z79" s="13">
        <v>399</v>
      </c>
      <c r="AA79" s="13">
        <v>399</v>
      </c>
      <c r="AB79" s="13">
        <v>399</v>
      </c>
      <c r="AC79" s="13">
        <v>399</v>
      </c>
      <c r="AD79" s="13">
        <v>399</v>
      </c>
      <c r="AE79" s="13">
        <v>399</v>
      </c>
      <c r="AF79" s="13"/>
      <c r="AG79" s="13"/>
      <c r="AH79" s="13"/>
    </row>
    <row r="80" spans="1:34">
      <c r="A80" s="13" t="s">
        <v>87</v>
      </c>
      <c r="B80" s="13">
        <v>220029640</v>
      </c>
      <c r="C80" s="13" t="s">
        <v>88</v>
      </c>
      <c r="D80" s="13" t="s">
        <v>89</v>
      </c>
      <c r="E80" s="13">
        <v>400454000062</v>
      </c>
      <c r="F80" s="13" t="s">
        <v>90</v>
      </c>
      <c r="G80" s="13" t="s">
        <v>90</v>
      </c>
      <c r="H80" s="13" t="s">
        <v>91</v>
      </c>
      <c r="I80" s="13" t="s">
        <v>92</v>
      </c>
      <c r="J80" s="14" t="s">
        <v>93</v>
      </c>
      <c r="K80" s="13"/>
      <c r="L80" s="13">
        <v>0</v>
      </c>
      <c r="M80" s="13" t="s">
        <v>100</v>
      </c>
      <c r="N80" s="13" t="s">
        <v>91</v>
      </c>
      <c r="O80" s="13">
        <v>0</v>
      </c>
      <c r="P80" s="13">
        <v>420</v>
      </c>
      <c r="Q80" s="13">
        <v>4.6900000000000004</v>
      </c>
      <c r="R80" s="13">
        <v>1309.702</v>
      </c>
      <c r="S80" s="13">
        <v>0.09</v>
      </c>
      <c r="T80" s="13">
        <v>9.6</v>
      </c>
      <c r="U80" s="13">
        <v>0.11</v>
      </c>
      <c r="V80" s="13">
        <v>0.09</v>
      </c>
      <c r="W80" s="13">
        <v>7.0000000000000007E-2</v>
      </c>
      <c r="X80" s="13">
        <v>399</v>
      </c>
      <c r="Y80" s="13">
        <v>399</v>
      </c>
      <c r="Z80" s="13">
        <v>399</v>
      </c>
      <c r="AA80" s="13">
        <v>399</v>
      </c>
      <c r="AB80" s="13">
        <v>399</v>
      </c>
      <c r="AC80" s="13">
        <v>399</v>
      </c>
      <c r="AD80" s="13">
        <v>399</v>
      </c>
      <c r="AE80" s="13">
        <v>399</v>
      </c>
      <c r="AF80" s="13"/>
      <c r="AG80" s="13"/>
      <c r="AH80" s="13"/>
    </row>
    <row r="81" spans="1:34">
      <c r="A81" s="13" t="s">
        <v>87</v>
      </c>
      <c r="B81" s="13">
        <v>220029640</v>
      </c>
      <c r="C81" s="13" t="s">
        <v>88</v>
      </c>
      <c r="D81" s="13" t="s">
        <v>89</v>
      </c>
      <c r="E81" s="13">
        <v>400454000062</v>
      </c>
      <c r="F81" s="13" t="s">
        <v>90</v>
      </c>
      <c r="G81" s="13" t="s">
        <v>90</v>
      </c>
      <c r="H81" s="13" t="s">
        <v>91</v>
      </c>
      <c r="I81" s="13" t="s">
        <v>92</v>
      </c>
      <c r="J81" s="14" t="s">
        <v>93</v>
      </c>
      <c r="K81" s="13"/>
      <c r="L81" s="13">
        <v>0</v>
      </c>
      <c r="M81" s="13" t="s">
        <v>100</v>
      </c>
      <c r="N81" s="13" t="s">
        <v>91</v>
      </c>
      <c r="O81" s="13">
        <v>0</v>
      </c>
      <c r="P81" s="13">
        <v>425</v>
      </c>
      <c r="Q81" s="13">
        <v>3.91</v>
      </c>
      <c r="R81" s="13">
        <v>1309.624</v>
      </c>
      <c r="S81" s="13">
        <v>0.1</v>
      </c>
      <c r="T81" s="13">
        <v>9.6</v>
      </c>
      <c r="U81" s="13">
        <v>0.11</v>
      </c>
      <c r="V81" s="13">
        <v>0.09</v>
      </c>
      <c r="W81" s="13">
        <v>7.0000000000000007E-2</v>
      </c>
      <c r="X81" s="13">
        <v>399</v>
      </c>
      <c r="Y81" s="13">
        <v>399</v>
      </c>
      <c r="Z81" s="13">
        <v>399</v>
      </c>
      <c r="AA81" s="13">
        <v>399</v>
      </c>
      <c r="AB81" s="13">
        <v>399</v>
      </c>
      <c r="AC81" s="13">
        <v>399</v>
      </c>
      <c r="AD81" s="13">
        <v>399</v>
      </c>
      <c r="AE81" s="13">
        <v>399</v>
      </c>
      <c r="AF81" s="13"/>
      <c r="AG81" s="13"/>
      <c r="AH81" s="13"/>
    </row>
    <row r="82" spans="1:34">
      <c r="A82" s="13" t="s">
        <v>87</v>
      </c>
      <c r="B82" s="13">
        <v>220029640</v>
      </c>
      <c r="C82" s="13" t="s">
        <v>88</v>
      </c>
      <c r="D82" s="13" t="s">
        <v>89</v>
      </c>
      <c r="E82" s="13">
        <v>400454000062</v>
      </c>
      <c r="F82" s="13" t="s">
        <v>90</v>
      </c>
      <c r="G82" s="13" t="s">
        <v>90</v>
      </c>
      <c r="H82" s="13" t="s">
        <v>91</v>
      </c>
      <c r="I82" s="13" t="s">
        <v>92</v>
      </c>
      <c r="J82" s="14" t="s">
        <v>93</v>
      </c>
      <c r="K82" s="13"/>
      <c r="L82" s="13">
        <v>0</v>
      </c>
      <c r="M82" s="13" t="s">
        <v>100</v>
      </c>
      <c r="N82" s="13" t="s">
        <v>91</v>
      </c>
      <c r="O82" s="13">
        <v>0</v>
      </c>
      <c r="P82" s="13">
        <v>430</v>
      </c>
      <c r="Q82" s="13">
        <v>3.06</v>
      </c>
      <c r="R82" s="13">
        <v>1309.55</v>
      </c>
      <c r="S82" s="13">
        <v>0.09</v>
      </c>
      <c r="T82" s="13">
        <v>9.6199999999999992</v>
      </c>
      <c r="U82" s="13">
        <v>0.11</v>
      </c>
      <c r="V82" s="13">
        <v>0.09</v>
      </c>
      <c r="W82" s="13">
        <v>7.0000000000000007E-2</v>
      </c>
      <c r="X82" s="13">
        <v>399</v>
      </c>
      <c r="Y82" s="13">
        <v>399</v>
      </c>
      <c r="Z82" s="13">
        <v>399</v>
      </c>
      <c r="AA82" s="13">
        <v>399</v>
      </c>
      <c r="AB82" s="13">
        <v>399</v>
      </c>
      <c r="AC82" s="13">
        <v>399</v>
      </c>
      <c r="AD82" s="13">
        <v>399</v>
      </c>
      <c r="AE82" s="13">
        <v>399</v>
      </c>
      <c r="AF82" s="13"/>
      <c r="AG82" s="13"/>
      <c r="AH82" s="13"/>
    </row>
    <row r="83" spans="1:34">
      <c r="A83" s="13" t="s">
        <v>87</v>
      </c>
      <c r="B83" s="13">
        <v>220029640</v>
      </c>
      <c r="C83" s="13" t="s">
        <v>88</v>
      </c>
      <c r="D83" s="13" t="s">
        <v>89</v>
      </c>
      <c r="E83" s="13">
        <v>400454000062</v>
      </c>
      <c r="F83" s="13" t="s">
        <v>90</v>
      </c>
      <c r="G83" s="13" t="s">
        <v>90</v>
      </c>
      <c r="H83" s="13" t="s">
        <v>91</v>
      </c>
      <c r="I83" s="13" t="s">
        <v>92</v>
      </c>
      <c r="J83" s="14" t="s">
        <v>93</v>
      </c>
      <c r="K83" s="13"/>
      <c r="L83" s="13">
        <v>0</v>
      </c>
      <c r="M83" s="13" t="s">
        <v>100</v>
      </c>
      <c r="N83" s="13" t="s">
        <v>91</v>
      </c>
      <c r="O83" s="13">
        <v>0</v>
      </c>
      <c r="P83" s="13">
        <v>435</v>
      </c>
      <c r="Q83" s="13">
        <v>2.2999999999999998</v>
      </c>
      <c r="R83" s="13">
        <v>1309.47</v>
      </c>
      <c r="S83" s="13">
        <v>0.11</v>
      </c>
      <c r="T83" s="13">
        <v>9.64</v>
      </c>
      <c r="U83" s="13">
        <v>0.11</v>
      </c>
      <c r="V83" s="13">
        <v>0.09</v>
      </c>
      <c r="W83" s="13">
        <v>7.0000000000000007E-2</v>
      </c>
      <c r="X83" s="13">
        <v>399</v>
      </c>
      <c r="Y83" s="13">
        <v>399</v>
      </c>
      <c r="Z83" s="13">
        <v>399</v>
      </c>
      <c r="AA83" s="13">
        <v>399</v>
      </c>
      <c r="AB83" s="13">
        <v>399</v>
      </c>
      <c r="AC83" s="13">
        <v>399</v>
      </c>
      <c r="AD83" s="13">
        <v>399</v>
      </c>
      <c r="AE83" s="13">
        <v>399</v>
      </c>
      <c r="AF83" s="13"/>
      <c r="AG83" s="13"/>
      <c r="AH83" s="13"/>
    </row>
    <row r="84" spans="1:34">
      <c r="A84" s="13" t="s">
        <v>87</v>
      </c>
      <c r="B84" s="13">
        <v>220029640</v>
      </c>
      <c r="C84" s="13" t="s">
        <v>88</v>
      </c>
      <c r="D84" s="13" t="s">
        <v>89</v>
      </c>
      <c r="E84" s="13">
        <v>400454000062</v>
      </c>
      <c r="F84" s="13" t="s">
        <v>90</v>
      </c>
      <c r="G84" s="13" t="s">
        <v>90</v>
      </c>
      <c r="H84" s="13" t="s">
        <v>91</v>
      </c>
      <c r="I84" s="13" t="s">
        <v>92</v>
      </c>
      <c r="J84" s="14" t="s">
        <v>93</v>
      </c>
      <c r="K84" s="13"/>
      <c r="L84" s="13">
        <v>0</v>
      </c>
      <c r="M84" s="13" t="s">
        <v>100</v>
      </c>
      <c r="N84" s="13" t="s">
        <v>91</v>
      </c>
      <c r="O84" s="13">
        <v>0</v>
      </c>
      <c r="P84" s="13">
        <v>440</v>
      </c>
      <c r="Q84" s="13">
        <v>1.45</v>
      </c>
      <c r="R84" s="13">
        <v>1309.3979999999999</v>
      </c>
      <c r="S84" s="13">
        <v>0.08</v>
      </c>
      <c r="T84" s="13">
        <v>9.6999999999999993</v>
      </c>
      <c r="U84" s="13">
        <v>0.11</v>
      </c>
      <c r="V84" s="13">
        <v>0.09</v>
      </c>
      <c r="W84" s="13">
        <v>7.0000000000000007E-2</v>
      </c>
      <c r="X84" s="13">
        <v>399</v>
      </c>
      <c r="Y84" s="13">
        <v>399</v>
      </c>
      <c r="Z84" s="13">
        <v>399</v>
      </c>
      <c r="AA84" s="13">
        <v>399</v>
      </c>
      <c r="AB84" s="13">
        <v>399</v>
      </c>
      <c r="AC84" s="13">
        <v>399</v>
      </c>
      <c r="AD84" s="13">
        <v>399</v>
      </c>
      <c r="AE84" s="13">
        <v>399</v>
      </c>
      <c r="AF84" s="13"/>
      <c r="AG84" s="13"/>
      <c r="AH84" s="13"/>
    </row>
    <row r="85" spans="1:34">
      <c r="A85" s="13" t="s">
        <v>87</v>
      </c>
      <c r="B85" s="13">
        <v>220029640</v>
      </c>
      <c r="C85" s="13" t="s">
        <v>88</v>
      </c>
      <c r="D85" s="13" t="s">
        <v>89</v>
      </c>
      <c r="E85" s="13">
        <v>400454000062</v>
      </c>
      <c r="F85" s="13" t="s">
        <v>90</v>
      </c>
      <c r="G85" s="13" t="s">
        <v>90</v>
      </c>
      <c r="H85" s="13" t="s">
        <v>91</v>
      </c>
      <c r="I85" s="13" t="s">
        <v>92</v>
      </c>
      <c r="J85" s="14" t="s">
        <v>93</v>
      </c>
      <c r="K85" s="13"/>
      <c r="L85" s="13">
        <v>0</v>
      </c>
      <c r="M85" s="13" t="s">
        <v>100</v>
      </c>
      <c r="N85" s="13" t="s">
        <v>91</v>
      </c>
      <c r="O85" s="13">
        <v>0</v>
      </c>
      <c r="P85" s="13">
        <v>445</v>
      </c>
      <c r="Q85" s="13">
        <v>0.65</v>
      </c>
      <c r="R85" s="13">
        <v>1309.3230000000001</v>
      </c>
      <c r="S85" s="13">
        <v>0.09</v>
      </c>
      <c r="T85" s="13">
        <v>9.68</v>
      </c>
      <c r="U85" s="13">
        <v>0.11</v>
      </c>
      <c r="V85" s="13">
        <v>0.09</v>
      </c>
      <c r="W85" s="13">
        <v>7.0000000000000007E-2</v>
      </c>
      <c r="X85" s="13">
        <v>399</v>
      </c>
      <c r="Y85" s="13">
        <v>399</v>
      </c>
      <c r="Z85" s="13">
        <v>399</v>
      </c>
      <c r="AA85" s="13">
        <v>399</v>
      </c>
      <c r="AB85" s="13">
        <v>399</v>
      </c>
      <c r="AC85" s="13">
        <v>399</v>
      </c>
      <c r="AD85" s="13">
        <v>399</v>
      </c>
      <c r="AE85" s="13">
        <v>399</v>
      </c>
      <c r="AF85" s="13"/>
      <c r="AG85" s="13"/>
      <c r="AH85" s="13"/>
    </row>
    <row r="86" spans="1:34">
      <c r="A86" s="13" t="s">
        <v>87</v>
      </c>
      <c r="B86" s="13">
        <v>220029640</v>
      </c>
      <c r="C86" s="13" t="s">
        <v>88</v>
      </c>
      <c r="D86" s="13" t="s">
        <v>89</v>
      </c>
      <c r="E86" s="13">
        <v>400454000062</v>
      </c>
      <c r="F86" s="13" t="s">
        <v>90</v>
      </c>
      <c r="G86" s="13" t="s">
        <v>90</v>
      </c>
      <c r="H86" s="13" t="s">
        <v>91</v>
      </c>
      <c r="I86" s="13" t="s">
        <v>92</v>
      </c>
      <c r="J86" s="14" t="s">
        <v>93</v>
      </c>
      <c r="K86" s="13"/>
      <c r="L86" s="13">
        <v>0</v>
      </c>
      <c r="M86" s="13" t="s">
        <v>100</v>
      </c>
      <c r="N86" s="13" t="s">
        <v>91</v>
      </c>
      <c r="O86" s="13">
        <v>0</v>
      </c>
      <c r="P86" s="13">
        <v>450</v>
      </c>
      <c r="Q86" s="13">
        <v>-0.16</v>
      </c>
      <c r="R86" s="13">
        <v>1309.2449999999999</v>
      </c>
      <c r="S86" s="13">
        <v>0.1</v>
      </c>
      <c r="T86" s="13">
        <v>9.7200000000000006</v>
      </c>
      <c r="U86" s="13">
        <v>0.11</v>
      </c>
      <c r="V86" s="13">
        <v>0.09</v>
      </c>
      <c r="W86" s="13">
        <v>7.0000000000000007E-2</v>
      </c>
      <c r="X86" s="13">
        <v>399</v>
      </c>
      <c r="Y86" s="13">
        <v>399</v>
      </c>
      <c r="Z86" s="13">
        <v>399</v>
      </c>
      <c r="AA86" s="13">
        <v>399</v>
      </c>
      <c r="AB86" s="13">
        <v>399</v>
      </c>
      <c r="AC86" s="13">
        <v>399</v>
      </c>
      <c r="AD86" s="13">
        <v>399</v>
      </c>
      <c r="AE86" s="13">
        <v>399</v>
      </c>
      <c r="AF86" s="13"/>
      <c r="AG86" s="13"/>
      <c r="AH86" s="13"/>
    </row>
    <row r="87" spans="1:34">
      <c r="A87" s="13"/>
      <c r="B87" s="13"/>
      <c r="C87" s="13"/>
      <c r="D87" s="13"/>
      <c r="E87" s="13"/>
      <c r="F87" s="13"/>
      <c r="G87" s="13"/>
      <c r="H87" s="13"/>
      <c r="I87" s="13"/>
      <c r="J87" s="14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>
      <c r="A88" s="13"/>
      <c r="B88" s="13"/>
      <c r="C88" s="13"/>
      <c r="D88" s="13"/>
      <c r="E88" s="13"/>
      <c r="F88" s="13"/>
      <c r="G88" s="13"/>
      <c r="H88" s="13"/>
      <c r="I88" s="13"/>
      <c r="J88" s="14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>
      <c r="A89" s="13"/>
      <c r="B89" s="13"/>
      <c r="C89" s="13"/>
      <c r="D89" s="13"/>
      <c r="E89" s="13"/>
      <c r="F89" s="13"/>
      <c r="G89" s="13"/>
      <c r="H89" s="13"/>
      <c r="I89" s="13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>
      <c r="A90" s="13"/>
      <c r="B90" s="13"/>
      <c r="C90" s="13"/>
      <c r="D90" s="13"/>
      <c r="E90" s="13"/>
      <c r="F90" s="13"/>
      <c r="G90" s="13"/>
      <c r="H90" s="13"/>
      <c r="I90" s="13"/>
      <c r="J90" s="14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M93" s="20"/>
      <c r="N93" s="20"/>
      <c r="O93" s="20"/>
      <c r="P93" s="7"/>
      <c r="Q93" s="7"/>
      <c r="R93" s="7"/>
      <c r="S93" s="7"/>
      <c r="T93" s="7"/>
      <c r="U93" s="7"/>
      <c r="V93" s="7"/>
      <c r="W93" s="7"/>
      <c r="X93" s="8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5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5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5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3:34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5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3:34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5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3:34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5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3:34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5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3:34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5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3:34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5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3:34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5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3:34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5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3:34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5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3:34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5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3:34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5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3:34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5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3:34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5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3:34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5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3:34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5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3:34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5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3:31">
      <c r="M113" s="20"/>
      <c r="N113" s="20"/>
      <c r="O113" s="20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3:31">
      <c r="M114" s="20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3:31">
      <c r="M115" s="20"/>
      <c r="N115" s="20"/>
      <c r="O115" s="2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3:31">
      <c r="M116" s="20"/>
      <c r="N116" s="20"/>
      <c r="O116" s="2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3:31">
      <c r="M117" s="20"/>
      <c r="N117" s="20"/>
      <c r="O117" s="2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3:31">
      <c r="M118" s="20"/>
      <c r="N118" s="20"/>
      <c r="O118" s="20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3:31">
      <c r="M119" s="20"/>
      <c r="N119" s="20"/>
      <c r="O119" s="2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3:31">
      <c r="M120" s="20"/>
      <c r="N120" s="20"/>
      <c r="O120" s="20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3:31">
      <c r="M121" s="20"/>
      <c r="N121" s="20"/>
      <c r="O121" s="20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3:31">
      <c r="M122" s="20"/>
      <c r="N122" s="20"/>
      <c r="O122" s="20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3:31">
      <c r="M123" s="20"/>
      <c r="N123" s="20"/>
      <c r="O123" s="20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3:31">
      <c r="M124" s="20"/>
      <c r="N124" s="20"/>
      <c r="O124" s="20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3:31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3:31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3:31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3:31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6:31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6:31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6:31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6:31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6:31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6:31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6:31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6:31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6:31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6:31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6:31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6:31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6:31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6:31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6:31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6:31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6:31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6:31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6:31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6:31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6:31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6:31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6:31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6:31"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6:31"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6:31"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6:31"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6:31"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6:31"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6:31"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6:31"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6:31"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6:31"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6:31"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6:31"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6:31"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6:31"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6:31"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6:31"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6:31"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6:31"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6:31"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6:31"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6:31"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6:31"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6:31"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6:31"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6:31"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6:31"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6:31"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6:31"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6:31"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6:31"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6:31"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6:31"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6:31"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6:31"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6:31"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6:31"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6:31"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6:31"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6:31"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6:31"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6:31"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6:31"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6:31"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6:31"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6:31"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6:31"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6:31"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6:31"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6:31"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6:31"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6:31"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6:31"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6:31"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6:31"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6:31"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6:31"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6:31"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6:31"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6:31"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6:31"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6:31"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6:31"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6:31"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6:31"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6:31"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6:31"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6:31"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6:31"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6:31"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6:31"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6:31"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6:31"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6:31"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6:31"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6:31"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01"/>
  <sheetViews>
    <sheetView workbookViewId="0">
      <selection activeCell="L17" sqref="L17"/>
    </sheetView>
  </sheetViews>
  <sheetFormatPr defaultRowHeight="15.6"/>
  <cols>
    <col min="1" max="34" width="12.09765625" style="1" customWidth="1"/>
  </cols>
  <sheetData>
    <row r="1" spans="1:34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</row>
    <row r="2" spans="1:34">
      <c r="A2" s="13" t="s">
        <v>87</v>
      </c>
      <c r="B2" s="13">
        <v>220029640</v>
      </c>
      <c r="C2" s="13" t="s">
        <v>88</v>
      </c>
      <c r="D2" s="13" t="s">
        <v>89</v>
      </c>
      <c r="E2" s="13">
        <v>400454000062</v>
      </c>
      <c r="F2" s="13" t="s">
        <v>90</v>
      </c>
      <c r="G2" s="13" t="s">
        <v>90</v>
      </c>
      <c r="H2" s="13" t="s">
        <v>91</v>
      </c>
      <c r="I2" s="13" t="s">
        <v>92</v>
      </c>
      <c r="J2" s="14" t="s">
        <v>93</v>
      </c>
      <c r="K2" s="13"/>
      <c r="L2" s="13">
        <v>0</v>
      </c>
      <c r="M2" s="13" t="s">
        <v>101</v>
      </c>
      <c r="N2" s="13" t="s">
        <v>91</v>
      </c>
      <c r="O2" s="13">
        <v>0</v>
      </c>
      <c r="P2" s="11">
        <v>30</v>
      </c>
      <c r="Q2" s="12">
        <v>70.77</v>
      </c>
      <c r="R2" s="12">
        <v>1335.366</v>
      </c>
      <c r="S2" s="12">
        <v>0.1</v>
      </c>
      <c r="T2" s="12">
        <v>2.9</v>
      </c>
      <c r="U2" s="12">
        <v>0.11</v>
      </c>
      <c r="V2" s="12">
        <v>0.1</v>
      </c>
      <c r="W2" s="12">
        <v>7.0000000000000007E-2</v>
      </c>
      <c r="X2" s="12">
        <v>399</v>
      </c>
      <c r="Y2" s="12">
        <v>399</v>
      </c>
      <c r="Z2" s="12">
        <v>399</v>
      </c>
      <c r="AA2" s="12">
        <v>399</v>
      </c>
      <c r="AB2" s="12">
        <v>399</v>
      </c>
      <c r="AC2" s="12">
        <v>399</v>
      </c>
      <c r="AD2" s="12">
        <v>399</v>
      </c>
      <c r="AE2" s="12">
        <v>399</v>
      </c>
      <c r="AF2" s="13"/>
      <c r="AG2" s="13"/>
      <c r="AH2" s="13"/>
    </row>
    <row r="3" spans="1:34">
      <c r="A3" s="13" t="s">
        <v>87</v>
      </c>
      <c r="B3" s="13">
        <v>220029640</v>
      </c>
      <c r="C3" s="13" t="s">
        <v>88</v>
      </c>
      <c r="D3" s="13" t="s">
        <v>89</v>
      </c>
      <c r="E3" s="13">
        <v>400454000062</v>
      </c>
      <c r="F3" s="13" t="s">
        <v>90</v>
      </c>
      <c r="G3" s="13" t="s">
        <v>90</v>
      </c>
      <c r="H3" s="13" t="s">
        <v>91</v>
      </c>
      <c r="I3" s="13" t="s">
        <v>92</v>
      </c>
      <c r="J3" s="14" t="s">
        <v>93</v>
      </c>
      <c r="K3" s="13"/>
      <c r="L3" s="13">
        <v>0</v>
      </c>
      <c r="M3" s="13" t="s">
        <v>101</v>
      </c>
      <c r="N3" s="13" t="s">
        <v>91</v>
      </c>
      <c r="O3" s="13">
        <v>0</v>
      </c>
      <c r="P3" s="11">
        <v>35</v>
      </c>
      <c r="Q3" s="12">
        <v>69.81</v>
      </c>
      <c r="R3" s="12">
        <v>1335.279</v>
      </c>
      <c r="S3" s="12">
        <v>0.09</v>
      </c>
      <c r="T3" s="12">
        <v>3</v>
      </c>
      <c r="U3" s="12">
        <v>0.11</v>
      </c>
      <c r="V3" s="12">
        <v>0.1</v>
      </c>
      <c r="W3" s="12">
        <v>7.0000000000000007E-2</v>
      </c>
      <c r="X3" s="12">
        <v>399</v>
      </c>
      <c r="Y3" s="12">
        <v>399</v>
      </c>
      <c r="Z3" s="12">
        <v>399</v>
      </c>
      <c r="AA3" s="12">
        <v>399</v>
      </c>
      <c r="AB3" s="12">
        <v>399</v>
      </c>
      <c r="AC3" s="12">
        <v>399</v>
      </c>
      <c r="AD3" s="12">
        <v>399</v>
      </c>
      <c r="AE3" s="12">
        <v>399</v>
      </c>
      <c r="AF3" s="13"/>
      <c r="AG3" s="13"/>
      <c r="AH3" s="13"/>
    </row>
    <row r="4" spans="1:34">
      <c r="A4" s="13" t="s">
        <v>87</v>
      </c>
      <c r="B4" s="13">
        <v>220029640</v>
      </c>
      <c r="C4" s="13" t="s">
        <v>88</v>
      </c>
      <c r="D4" s="13" t="s">
        <v>89</v>
      </c>
      <c r="E4" s="13">
        <v>400454000062</v>
      </c>
      <c r="F4" s="13" t="s">
        <v>90</v>
      </c>
      <c r="G4" s="13" t="s">
        <v>90</v>
      </c>
      <c r="H4" s="13" t="s">
        <v>91</v>
      </c>
      <c r="I4" s="13" t="s">
        <v>92</v>
      </c>
      <c r="J4" s="14" t="s">
        <v>93</v>
      </c>
      <c r="K4" s="13"/>
      <c r="L4" s="13">
        <v>0</v>
      </c>
      <c r="M4" s="13" t="s">
        <v>101</v>
      </c>
      <c r="N4" s="13" t="s">
        <v>91</v>
      </c>
      <c r="O4" s="13">
        <v>0</v>
      </c>
      <c r="P4" s="11">
        <v>40</v>
      </c>
      <c r="Q4" s="12">
        <v>69</v>
      </c>
      <c r="R4" s="12">
        <v>1335.193</v>
      </c>
      <c r="S4" s="12">
        <v>0.11</v>
      </c>
      <c r="T4" s="12">
        <v>3.1</v>
      </c>
      <c r="U4" s="12">
        <v>0.11</v>
      </c>
      <c r="V4" s="12">
        <v>0.1</v>
      </c>
      <c r="W4" s="12">
        <v>7.0000000000000007E-2</v>
      </c>
      <c r="X4" s="12">
        <v>399</v>
      </c>
      <c r="Y4" s="12">
        <v>399</v>
      </c>
      <c r="Z4" s="12">
        <v>399</v>
      </c>
      <c r="AA4" s="12">
        <v>399</v>
      </c>
      <c r="AB4" s="12">
        <v>399</v>
      </c>
      <c r="AC4" s="12">
        <v>399</v>
      </c>
      <c r="AD4" s="12">
        <v>399</v>
      </c>
      <c r="AE4" s="12">
        <v>399</v>
      </c>
      <c r="AF4" s="13"/>
      <c r="AG4" s="13"/>
      <c r="AH4" s="13"/>
    </row>
    <row r="5" spans="1:34">
      <c r="A5" s="13" t="s">
        <v>87</v>
      </c>
      <c r="B5" s="13">
        <v>220029640</v>
      </c>
      <c r="C5" s="13" t="s">
        <v>88</v>
      </c>
      <c r="D5" s="13" t="s">
        <v>89</v>
      </c>
      <c r="E5" s="13">
        <v>400454000062</v>
      </c>
      <c r="F5" s="13" t="s">
        <v>90</v>
      </c>
      <c r="G5" s="13" t="s">
        <v>90</v>
      </c>
      <c r="H5" s="13" t="s">
        <v>91</v>
      </c>
      <c r="I5" s="13" t="s">
        <v>92</v>
      </c>
      <c r="J5" s="14" t="s">
        <v>93</v>
      </c>
      <c r="K5" s="13"/>
      <c r="L5" s="13">
        <v>0</v>
      </c>
      <c r="M5" s="13" t="s">
        <v>101</v>
      </c>
      <c r="N5" s="13" t="s">
        <v>91</v>
      </c>
      <c r="O5" s="13">
        <v>0</v>
      </c>
      <c r="P5" s="11">
        <v>45</v>
      </c>
      <c r="Q5" s="12">
        <v>68.02</v>
      </c>
      <c r="R5" s="12">
        <v>1335.104</v>
      </c>
      <c r="S5" s="12">
        <v>0.09</v>
      </c>
      <c r="T5" s="12">
        <v>3.23</v>
      </c>
      <c r="U5" s="12">
        <v>0.11</v>
      </c>
      <c r="V5" s="12">
        <v>0.1</v>
      </c>
      <c r="W5" s="12">
        <v>7.0000000000000007E-2</v>
      </c>
      <c r="X5" s="12">
        <v>399</v>
      </c>
      <c r="Y5" s="12">
        <v>399</v>
      </c>
      <c r="Z5" s="12">
        <v>399</v>
      </c>
      <c r="AA5" s="12">
        <v>399</v>
      </c>
      <c r="AB5" s="12">
        <v>399</v>
      </c>
      <c r="AC5" s="12">
        <v>399</v>
      </c>
      <c r="AD5" s="12">
        <v>399</v>
      </c>
      <c r="AE5" s="12">
        <v>399</v>
      </c>
      <c r="AF5" s="13"/>
      <c r="AG5" s="13"/>
      <c r="AH5" s="13"/>
    </row>
    <row r="6" spans="1:34">
      <c r="A6" s="13" t="s">
        <v>87</v>
      </c>
      <c r="B6" s="13">
        <v>220029640</v>
      </c>
      <c r="C6" s="13" t="s">
        <v>88</v>
      </c>
      <c r="D6" s="13" t="s">
        <v>89</v>
      </c>
      <c r="E6" s="13">
        <v>400454000062</v>
      </c>
      <c r="F6" s="13" t="s">
        <v>90</v>
      </c>
      <c r="G6" s="13" t="s">
        <v>90</v>
      </c>
      <c r="H6" s="13" t="s">
        <v>91</v>
      </c>
      <c r="I6" s="13" t="s">
        <v>92</v>
      </c>
      <c r="J6" s="14" t="s">
        <v>93</v>
      </c>
      <c r="K6" s="13"/>
      <c r="L6" s="13">
        <v>0</v>
      </c>
      <c r="M6" s="13" t="s">
        <v>101</v>
      </c>
      <c r="N6" s="13" t="s">
        <v>91</v>
      </c>
      <c r="O6" s="13">
        <v>0</v>
      </c>
      <c r="P6" s="11">
        <v>50</v>
      </c>
      <c r="Q6" s="12">
        <v>67.13</v>
      </c>
      <c r="R6" s="12">
        <v>1335.0139999999999</v>
      </c>
      <c r="S6" s="12">
        <v>0.1</v>
      </c>
      <c r="T6" s="12">
        <v>3.37</v>
      </c>
      <c r="U6" s="12">
        <v>0.11</v>
      </c>
      <c r="V6" s="12">
        <v>0.1</v>
      </c>
      <c r="W6" s="12">
        <v>7.0000000000000007E-2</v>
      </c>
      <c r="X6" s="12">
        <v>399</v>
      </c>
      <c r="Y6" s="12">
        <v>399</v>
      </c>
      <c r="Z6" s="12">
        <v>399</v>
      </c>
      <c r="AA6" s="12">
        <v>399</v>
      </c>
      <c r="AB6" s="12">
        <v>399</v>
      </c>
      <c r="AC6" s="12">
        <v>399</v>
      </c>
      <c r="AD6" s="12">
        <v>399</v>
      </c>
      <c r="AE6" s="12">
        <v>399</v>
      </c>
      <c r="AF6" s="13"/>
      <c r="AG6" s="13"/>
      <c r="AH6" s="13"/>
    </row>
    <row r="7" spans="1:34">
      <c r="A7" s="13" t="s">
        <v>87</v>
      </c>
      <c r="B7" s="13">
        <v>220029640</v>
      </c>
      <c r="C7" s="13" t="s">
        <v>88</v>
      </c>
      <c r="D7" s="13" t="s">
        <v>89</v>
      </c>
      <c r="E7" s="13">
        <v>400454000062</v>
      </c>
      <c r="F7" s="13" t="s">
        <v>90</v>
      </c>
      <c r="G7" s="13" t="s">
        <v>90</v>
      </c>
      <c r="H7" s="13" t="s">
        <v>91</v>
      </c>
      <c r="I7" s="13" t="s">
        <v>92</v>
      </c>
      <c r="J7" s="14" t="s">
        <v>93</v>
      </c>
      <c r="K7" s="13"/>
      <c r="L7" s="13">
        <v>0</v>
      </c>
      <c r="M7" s="13" t="s">
        <v>101</v>
      </c>
      <c r="N7" s="13" t="s">
        <v>91</v>
      </c>
      <c r="O7" s="13">
        <v>0</v>
      </c>
      <c r="P7" s="11">
        <v>55</v>
      </c>
      <c r="Q7" s="12">
        <v>66.209999999999994</v>
      </c>
      <c r="R7" s="12">
        <v>1334.92</v>
      </c>
      <c r="S7" s="12">
        <v>0.1</v>
      </c>
      <c r="T7" s="12">
        <v>3.45</v>
      </c>
      <c r="U7" s="12">
        <v>0.11</v>
      </c>
      <c r="V7" s="12">
        <v>0.1</v>
      </c>
      <c r="W7" s="12">
        <v>7.0000000000000007E-2</v>
      </c>
      <c r="X7" s="12">
        <v>399</v>
      </c>
      <c r="Y7" s="12">
        <v>399</v>
      </c>
      <c r="Z7" s="12">
        <v>399</v>
      </c>
      <c r="AA7" s="12">
        <v>399</v>
      </c>
      <c r="AB7" s="12">
        <v>399</v>
      </c>
      <c r="AC7" s="12">
        <v>399</v>
      </c>
      <c r="AD7" s="12">
        <v>399</v>
      </c>
      <c r="AE7" s="12">
        <v>399</v>
      </c>
      <c r="AF7" s="13"/>
      <c r="AG7" s="13"/>
      <c r="AH7" s="13"/>
    </row>
    <row r="8" spans="1:34">
      <c r="A8" s="13" t="s">
        <v>87</v>
      </c>
      <c r="B8" s="13">
        <v>220029640</v>
      </c>
      <c r="C8" s="13" t="s">
        <v>88</v>
      </c>
      <c r="D8" s="13" t="s">
        <v>89</v>
      </c>
      <c r="E8" s="13">
        <v>400454000062</v>
      </c>
      <c r="F8" s="13" t="s">
        <v>90</v>
      </c>
      <c r="G8" s="13" t="s">
        <v>90</v>
      </c>
      <c r="H8" s="13" t="s">
        <v>91</v>
      </c>
      <c r="I8" s="13" t="s">
        <v>92</v>
      </c>
      <c r="J8" s="14" t="s">
        <v>93</v>
      </c>
      <c r="K8" s="13"/>
      <c r="L8" s="13">
        <v>0</v>
      </c>
      <c r="M8" s="13" t="s">
        <v>101</v>
      </c>
      <c r="N8" s="13" t="s">
        <v>91</v>
      </c>
      <c r="O8" s="13">
        <v>0</v>
      </c>
      <c r="P8" s="11">
        <v>60</v>
      </c>
      <c r="Q8" s="12">
        <v>65.36</v>
      </c>
      <c r="R8" s="12">
        <v>1334.829</v>
      </c>
      <c r="S8" s="12">
        <v>0.11</v>
      </c>
      <c r="T8" s="12">
        <v>3.53</v>
      </c>
      <c r="U8" s="12">
        <v>0.11</v>
      </c>
      <c r="V8" s="12">
        <v>0.1</v>
      </c>
      <c r="W8" s="12">
        <v>7.0000000000000007E-2</v>
      </c>
      <c r="X8" s="12">
        <v>399</v>
      </c>
      <c r="Y8" s="12">
        <v>399</v>
      </c>
      <c r="Z8" s="12">
        <v>399</v>
      </c>
      <c r="AA8" s="12">
        <v>399</v>
      </c>
      <c r="AB8" s="12">
        <v>399</v>
      </c>
      <c r="AC8" s="12">
        <v>399</v>
      </c>
      <c r="AD8" s="12">
        <v>399</v>
      </c>
      <c r="AE8" s="12">
        <v>399</v>
      </c>
      <c r="AF8" s="13"/>
      <c r="AG8" s="13"/>
      <c r="AH8" s="13"/>
    </row>
    <row r="9" spans="1:34">
      <c r="A9" s="13" t="s">
        <v>87</v>
      </c>
      <c r="B9" s="13">
        <v>220029640</v>
      </c>
      <c r="C9" s="13" t="s">
        <v>88</v>
      </c>
      <c r="D9" s="13" t="s">
        <v>89</v>
      </c>
      <c r="E9" s="13">
        <v>400454000062</v>
      </c>
      <c r="F9" s="13" t="s">
        <v>90</v>
      </c>
      <c r="G9" s="13" t="s">
        <v>90</v>
      </c>
      <c r="H9" s="13" t="s">
        <v>91</v>
      </c>
      <c r="I9" s="13" t="s">
        <v>92</v>
      </c>
      <c r="J9" s="14" t="s">
        <v>93</v>
      </c>
      <c r="K9" s="13"/>
      <c r="L9" s="13">
        <v>0</v>
      </c>
      <c r="M9" s="13" t="s">
        <v>101</v>
      </c>
      <c r="N9" s="13" t="s">
        <v>91</v>
      </c>
      <c r="O9" s="13">
        <v>0</v>
      </c>
      <c r="P9" s="11">
        <v>65</v>
      </c>
      <c r="Q9" s="12">
        <v>64.48</v>
      </c>
      <c r="R9" s="12">
        <v>1334.7439999999999</v>
      </c>
      <c r="S9" s="12">
        <v>0.1</v>
      </c>
      <c r="T9" s="12">
        <v>3.56</v>
      </c>
      <c r="U9" s="12">
        <v>0.11</v>
      </c>
      <c r="V9" s="12">
        <v>0.1</v>
      </c>
      <c r="W9" s="12">
        <v>7.0000000000000007E-2</v>
      </c>
      <c r="X9" s="12">
        <v>399</v>
      </c>
      <c r="Y9" s="12">
        <v>399</v>
      </c>
      <c r="Z9" s="12">
        <v>399</v>
      </c>
      <c r="AA9" s="12">
        <v>399</v>
      </c>
      <c r="AB9" s="12">
        <v>399</v>
      </c>
      <c r="AC9" s="12">
        <v>399</v>
      </c>
      <c r="AD9" s="12">
        <v>399</v>
      </c>
      <c r="AE9" s="12">
        <v>399</v>
      </c>
      <c r="AF9" s="13"/>
      <c r="AG9" s="13"/>
      <c r="AH9" s="13"/>
    </row>
    <row r="10" spans="1:34">
      <c r="A10" s="13" t="s">
        <v>87</v>
      </c>
      <c r="B10" s="13">
        <v>220029640</v>
      </c>
      <c r="C10" s="13" t="s">
        <v>88</v>
      </c>
      <c r="D10" s="13" t="s">
        <v>89</v>
      </c>
      <c r="E10" s="13">
        <v>400454000062</v>
      </c>
      <c r="F10" s="13" t="s">
        <v>90</v>
      </c>
      <c r="G10" s="13" t="s">
        <v>90</v>
      </c>
      <c r="H10" s="13" t="s">
        <v>91</v>
      </c>
      <c r="I10" s="13" t="s">
        <v>92</v>
      </c>
      <c r="J10" s="14" t="s">
        <v>93</v>
      </c>
      <c r="K10" s="13"/>
      <c r="L10" s="13">
        <v>0</v>
      </c>
      <c r="M10" s="13" t="s">
        <v>101</v>
      </c>
      <c r="N10" s="13" t="s">
        <v>91</v>
      </c>
      <c r="O10" s="13">
        <v>0</v>
      </c>
      <c r="P10" s="11">
        <v>70</v>
      </c>
      <c r="Q10" s="12">
        <v>63.61</v>
      </c>
      <c r="R10" s="12">
        <v>1334.655</v>
      </c>
      <c r="S10" s="12">
        <v>0.1</v>
      </c>
      <c r="T10" s="12">
        <v>3.65</v>
      </c>
      <c r="U10" s="12">
        <v>0.11</v>
      </c>
      <c r="V10" s="12">
        <v>0.1</v>
      </c>
      <c r="W10" s="12">
        <v>7.0000000000000007E-2</v>
      </c>
      <c r="X10" s="12">
        <v>399</v>
      </c>
      <c r="Y10" s="12">
        <v>399</v>
      </c>
      <c r="Z10" s="12">
        <v>399</v>
      </c>
      <c r="AA10" s="12">
        <v>399</v>
      </c>
      <c r="AB10" s="12">
        <v>399</v>
      </c>
      <c r="AC10" s="12">
        <v>399</v>
      </c>
      <c r="AD10" s="12">
        <v>399</v>
      </c>
      <c r="AE10" s="12">
        <v>399</v>
      </c>
      <c r="AF10" s="13"/>
      <c r="AG10" s="13"/>
      <c r="AH10" s="13"/>
    </row>
    <row r="11" spans="1:34">
      <c r="A11" s="13" t="s">
        <v>87</v>
      </c>
      <c r="B11" s="13">
        <v>220029640</v>
      </c>
      <c r="C11" s="13" t="s">
        <v>88</v>
      </c>
      <c r="D11" s="13" t="s">
        <v>89</v>
      </c>
      <c r="E11" s="13">
        <v>400454000062</v>
      </c>
      <c r="F11" s="13" t="s">
        <v>90</v>
      </c>
      <c r="G11" s="13" t="s">
        <v>90</v>
      </c>
      <c r="H11" s="13" t="s">
        <v>91</v>
      </c>
      <c r="I11" s="13" t="s">
        <v>92</v>
      </c>
      <c r="J11" s="14" t="s">
        <v>93</v>
      </c>
      <c r="K11" s="13"/>
      <c r="L11" s="13">
        <v>0</v>
      </c>
      <c r="M11" s="13" t="s">
        <v>101</v>
      </c>
      <c r="N11" s="13" t="s">
        <v>91</v>
      </c>
      <c r="O11" s="13">
        <v>0</v>
      </c>
      <c r="P11" s="11">
        <v>75</v>
      </c>
      <c r="Q11" s="12">
        <v>62.67</v>
      </c>
      <c r="R11" s="12">
        <v>1334.568</v>
      </c>
      <c r="S11" s="12">
        <v>0.09</v>
      </c>
      <c r="T11" s="12">
        <v>3.75</v>
      </c>
      <c r="U11" s="12">
        <v>0.11</v>
      </c>
      <c r="V11" s="12">
        <v>0.1</v>
      </c>
      <c r="W11" s="12">
        <v>7.0000000000000007E-2</v>
      </c>
      <c r="X11" s="12">
        <v>399</v>
      </c>
      <c r="Y11" s="12">
        <v>399</v>
      </c>
      <c r="Z11" s="12">
        <v>399</v>
      </c>
      <c r="AA11" s="12">
        <v>399</v>
      </c>
      <c r="AB11" s="12">
        <v>399</v>
      </c>
      <c r="AC11" s="12">
        <v>399</v>
      </c>
      <c r="AD11" s="12">
        <v>399</v>
      </c>
      <c r="AE11" s="12">
        <v>399</v>
      </c>
      <c r="AF11" s="13"/>
      <c r="AG11" s="13"/>
      <c r="AH11" s="13"/>
    </row>
    <row r="12" spans="1:34">
      <c r="A12" s="13" t="s">
        <v>87</v>
      </c>
      <c r="B12" s="13">
        <v>220029640</v>
      </c>
      <c r="C12" s="13" t="s">
        <v>88</v>
      </c>
      <c r="D12" s="13" t="s">
        <v>89</v>
      </c>
      <c r="E12" s="13">
        <v>400454000062</v>
      </c>
      <c r="F12" s="13" t="s">
        <v>90</v>
      </c>
      <c r="G12" s="13" t="s">
        <v>90</v>
      </c>
      <c r="H12" s="13" t="s">
        <v>91</v>
      </c>
      <c r="I12" s="13" t="s">
        <v>92</v>
      </c>
      <c r="J12" s="14" t="s">
        <v>93</v>
      </c>
      <c r="K12" s="13"/>
      <c r="L12" s="13">
        <v>0</v>
      </c>
      <c r="M12" s="13" t="s">
        <v>101</v>
      </c>
      <c r="N12" s="13" t="s">
        <v>91</v>
      </c>
      <c r="O12" s="13">
        <v>0</v>
      </c>
      <c r="P12" s="11">
        <v>80</v>
      </c>
      <c r="Q12" s="12">
        <v>61.85</v>
      </c>
      <c r="R12" s="12">
        <v>1334.481</v>
      </c>
      <c r="S12" s="12">
        <v>0.11</v>
      </c>
      <c r="T12" s="12">
        <v>3.87</v>
      </c>
      <c r="U12" s="12">
        <v>0.11</v>
      </c>
      <c r="V12" s="12">
        <v>0.1</v>
      </c>
      <c r="W12" s="12">
        <v>7.0000000000000007E-2</v>
      </c>
      <c r="X12" s="12">
        <v>399</v>
      </c>
      <c r="Y12" s="12">
        <v>399</v>
      </c>
      <c r="Z12" s="12">
        <v>399</v>
      </c>
      <c r="AA12" s="12">
        <v>399</v>
      </c>
      <c r="AB12" s="12">
        <v>399</v>
      </c>
      <c r="AC12" s="12">
        <v>399</v>
      </c>
      <c r="AD12" s="12">
        <v>399</v>
      </c>
      <c r="AE12" s="12">
        <v>399</v>
      </c>
      <c r="AF12" s="13"/>
      <c r="AG12" s="13"/>
      <c r="AH12" s="13"/>
    </row>
    <row r="13" spans="1:34">
      <c r="A13" s="13" t="s">
        <v>87</v>
      </c>
      <c r="B13" s="13">
        <v>220029640</v>
      </c>
      <c r="C13" s="13" t="s">
        <v>88</v>
      </c>
      <c r="D13" s="13" t="s">
        <v>89</v>
      </c>
      <c r="E13" s="13">
        <v>400454000062</v>
      </c>
      <c r="F13" s="13" t="s">
        <v>90</v>
      </c>
      <c r="G13" s="13" t="s">
        <v>90</v>
      </c>
      <c r="H13" s="13" t="s">
        <v>91</v>
      </c>
      <c r="I13" s="13" t="s">
        <v>92</v>
      </c>
      <c r="J13" s="14" t="s">
        <v>93</v>
      </c>
      <c r="K13" s="13"/>
      <c r="L13" s="13">
        <v>0</v>
      </c>
      <c r="M13" s="13" t="s">
        <v>101</v>
      </c>
      <c r="N13" s="13" t="s">
        <v>91</v>
      </c>
      <c r="O13" s="13">
        <v>0</v>
      </c>
      <c r="P13" s="11">
        <v>85</v>
      </c>
      <c r="Q13" s="12">
        <v>60.99</v>
      </c>
      <c r="R13" s="12">
        <v>1334.393</v>
      </c>
      <c r="S13" s="12">
        <v>0.1</v>
      </c>
      <c r="T13" s="12">
        <v>3.92</v>
      </c>
      <c r="U13" s="12">
        <v>0.11</v>
      </c>
      <c r="V13" s="12">
        <v>0.1</v>
      </c>
      <c r="W13" s="12">
        <v>7.0000000000000007E-2</v>
      </c>
      <c r="X13" s="12">
        <v>399</v>
      </c>
      <c r="Y13" s="12">
        <v>399</v>
      </c>
      <c r="Z13" s="12">
        <v>399</v>
      </c>
      <c r="AA13" s="12">
        <v>399</v>
      </c>
      <c r="AB13" s="12">
        <v>399</v>
      </c>
      <c r="AC13" s="12">
        <v>399</v>
      </c>
      <c r="AD13" s="12">
        <v>399</v>
      </c>
      <c r="AE13" s="12">
        <v>399</v>
      </c>
      <c r="AF13" s="13"/>
      <c r="AG13" s="13"/>
      <c r="AH13" s="13"/>
    </row>
    <row r="14" spans="1:34">
      <c r="A14" s="13" t="s">
        <v>87</v>
      </c>
      <c r="B14" s="13">
        <v>220029640</v>
      </c>
      <c r="C14" s="13" t="s">
        <v>88</v>
      </c>
      <c r="D14" s="13" t="s">
        <v>89</v>
      </c>
      <c r="E14" s="13">
        <v>400454000062</v>
      </c>
      <c r="F14" s="13" t="s">
        <v>90</v>
      </c>
      <c r="G14" s="13" t="s">
        <v>90</v>
      </c>
      <c r="H14" s="13" t="s">
        <v>91</v>
      </c>
      <c r="I14" s="13" t="s">
        <v>92</v>
      </c>
      <c r="J14" s="14" t="s">
        <v>93</v>
      </c>
      <c r="K14" s="13"/>
      <c r="L14" s="13">
        <v>0</v>
      </c>
      <c r="M14" s="13" t="s">
        <v>101</v>
      </c>
      <c r="N14" s="13" t="s">
        <v>91</v>
      </c>
      <c r="O14" s="13">
        <v>0</v>
      </c>
      <c r="P14" s="11">
        <v>90</v>
      </c>
      <c r="Q14" s="12">
        <v>60.11</v>
      </c>
      <c r="R14" s="12">
        <v>1334.308</v>
      </c>
      <c r="S14" s="12">
        <v>0.1</v>
      </c>
      <c r="T14" s="12">
        <v>3.93</v>
      </c>
      <c r="U14" s="12">
        <v>0.11</v>
      </c>
      <c r="V14" s="12">
        <v>0.1</v>
      </c>
      <c r="W14" s="12">
        <v>7.0000000000000007E-2</v>
      </c>
      <c r="X14" s="12">
        <v>399</v>
      </c>
      <c r="Y14" s="12">
        <v>399</v>
      </c>
      <c r="Z14" s="12">
        <v>399</v>
      </c>
      <c r="AA14" s="12">
        <v>399</v>
      </c>
      <c r="AB14" s="12">
        <v>399</v>
      </c>
      <c r="AC14" s="12">
        <v>399</v>
      </c>
      <c r="AD14" s="12">
        <v>399</v>
      </c>
      <c r="AE14" s="12">
        <v>399</v>
      </c>
      <c r="AF14" s="13"/>
      <c r="AG14" s="13"/>
      <c r="AH14" s="13"/>
    </row>
    <row r="15" spans="1:34">
      <c r="A15" s="13" t="s">
        <v>87</v>
      </c>
      <c r="B15" s="13">
        <v>220029640</v>
      </c>
      <c r="C15" s="13" t="s">
        <v>88</v>
      </c>
      <c r="D15" s="13" t="s">
        <v>89</v>
      </c>
      <c r="E15" s="13">
        <v>400454000062</v>
      </c>
      <c r="F15" s="13" t="s">
        <v>90</v>
      </c>
      <c r="G15" s="13" t="s">
        <v>90</v>
      </c>
      <c r="H15" s="13" t="s">
        <v>91</v>
      </c>
      <c r="I15" s="13" t="s">
        <v>92</v>
      </c>
      <c r="J15" s="14" t="s">
        <v>93</v>
      </c>
      <c r="K15" s="13"/>
      <c r="L15" s="13">
        <v>0</v>
      </c>
      <c r="M15" s="13" t="s">
        <v>101</v>
      </c>
      <c r="N15" s="13" t="s">
        <v>91</v>
      </c>
      <c r="O15" s="13">
        <v>0</v>
      </c>
      <c r="P15" s="11">
        <v>95</v>
      </c>
      <c r="Q15" s="12">
        <v>59.21</v>
      </c>
      <c r="R15" s="12">
        <v>1334.223</v>
      </c>
      <c r="S15" s="12">
        <v>0.09</v>
      </c>
      <c r="T15" s="12">
        <v>4.04</v>
      </c>
      <c r="U15" s="12">
        <v>0.11</v>
      </c>
      <c r="V15" s="12">
        <v>0.1</v>
      </c>
      <c r="W15" s="12">
        <v>7.0000000000000007E-2</v>
      </c>
      <c r="X15" s="12">
        <v>399</v>
      </c>
      <c r="Y15" s="12">
        <v>399</v>
      </c>
      <c r="Z15" s="12">
        <v>399</v>
      </c>
      <c r="AA15" s="12">
        <v>399</v>
      </c>
      <c r="AB15" s="12">
        <v>399</v>
      </c>
      <c r="AC15" s="12">
        <v>399</v>
      </c>
      <c r="AD15" s="12">
        <v>399</v>
      </c>
      <c r="AE15" s="12">
        <v>399</v>
      </c>
      <c r="AF15" s="13"/>
      <c r="AG15" s="13"/>
      <c r="AH15" s="13"/>
    </row>
    <row r="16" spans="1:34">
      <c r="A16" s="13" t="s">
        <v>87</v>
      </c>
      <c r="B16" s="13">
        <v>220029640</v>
      </c>
      <c r="C16" s="13" t="s">
        <v>88</v>
      </c>
      <c r="D16" s="13" t="s">
        <v>89</v>
      </c>
      <c r="E16" s="13">
        <v>400454000062</v>
      </c>
      <c r="F16" s="13" t="s">
        <v>90</v>
      </c>
      <c r="G16" s="13" t="s">
        <v>90</v>
      </c>
      <c r="H16" s="13" t="s">
        <v>91</v>
      </c>
      <c r="I16" s="13" t="s">
        <v>92</v>
      </c>
      <c r="J16" s="14" t="s">
        <v>93</v>
      </c>
      <c r="K16" s="13"/>
      <c r="L16" s="13">
        <v>0</v>
      </c>
      <c r="M16" s="13" t="s">
        <v>101</v>
      </c>
      <c r="N16" s="13" t="s">
        <v>91</v>
      </c>
      <c r="O16" s="13">
        <v>0</v>
      </c>
      <c r="P16" s="11">
        <v>100</v>
      </c>
      <c r="Q16" s="12">
        <v>58.36</v>
      </c>
      <c r="R16" s="12">
        <v>1334.135</v>
      </c>
      <c r="S16" s="12">
        <v>0.1</v>
      </c>
      <c r="T16" s="12">
        <v>4.09</v>
      </c>
      <c r="U16" s="12">
        <v>0.11</v>
      </c>
      <c r="V16" s="12">
        <v>0.1</v>
      </c>
      <c r="W16" s="12">
        <v>7.0000000000000007E-2</v>
      </c>
      <c r="X16" s="12">
        <v>399</v>
      </c>
      <c r="Y16" s="12">
        <v>399</v>
      </c>
      <c r="Z16" s="12">
        <v>399</v>
      </c>
      <c r="AA16" s="12">
        <v>399</v>
      </c>
      <c r="AB16" s="12">
        <v>399</v>
      </c>
      <c r="AC16" s="12">
        <v>399</v>
      </c>
      <c r="AD16" s="12">
        <v>399</v>
      </c>
      <c r="AE16" s="12">
        <v>399</v>
      </c>
      <c r="AF16" s="13"/>
      <c r="AG16" s="13"/>
      <c r="AH16" s="13"/>
    </row>
    <row r="17" spans="1:34">
      <c r="A17" s="13" t="s">
        <v>87</v>
      </c>
      <c r="B17" s="13">
        <v>220029640</v>
      </c>
      <c r="C17" s="13" t="s">
        <v>88</v>
      </c>
      <c r="D17" s="13" t="s">
        <v>89</v>
      </c>
      <c r="E17" s="13">
        <v>400454000062</v>
      </c>
      <c r="F17" s="13" t="s">
        <v>90</v>
      </c>
      <c r="G17" s="13" t="s">
        <v>90</v>
      </c>
      <c r="H17" s="13" t="s">
        <v>91</v>
      </c>
      <c r="I17" s="13" t="s">
        <v>92</v>
      </c>
      <c r="J17" s="14" t="s">
        <v>93</v>
      </c>
      <c r="K17" s="13"/>
      <c r="L17" s="13">
        <v>0</v>
      </c>
      <c r="M17" s="13" t="s">
        <v>101</v>
      </c>
      <c r="N17" s="13" t="s">
        <v>91</v>
      </c>
      <c r="O17" s="13">
        <v>0</v>
      </c>
      <c r="P17" s="11">
        <v>105</v>
      </c>
      <c r="Q17" s="12">
        <v>57.54</v>
      </c>
      <c r="R17" s="12">
        <v>1334.05</v>
      </c>
      <c r="S17" s="12">
        <v>0.1</v>
      </c>
      <c r="T17" s="12">
        <v>4.1900000000000004</v>
      </c>
      <c r="U17" s="12">
        <v>0.11</v>
      </c>
      <c r="V17" s="12">
        <v>0.1</v>
      </c>
      <c r="W17" s="12">
        <v>7.0000000000000007E-2</v>
      </c>
      <c r="X17" s="12">
        <v>399</v>
      </c>
      <c r="Y17" s="12">
        <v>399</v>
      </c>
      <c r="Z17" s="12">
        <v>399</v>
      </c>
      <c r="AA17" s="12">
        <v>399</v>
      </c>
      <c r="AB17" s="12">
        <v>399</v>
      </c>
      <c r="AC17" s="12">
        <v>399</v>
      </c>
      <c r="AD17" s="12">
        <v>399</v>
      </c>
      <c r="AE17" s="12">
        <v>399</v>
      </c>
      <c r="AF17" s="13"/>
      <c r="AG17" s="13"/>
      <c r="AH17" s="13"/>
    </row>
    <row r="18" spans="1:34">
      <c r="A18" s="13" t="s">
        <v>87</v>
      </c>
      <c r="B18" s="13">
        <v>220029640</v>
      </c>
      <c r="C18" s="13" t="s">
        <v>88</v>
      </c>
      <c r="D18" s="13" t="s">
        <v>89</v>
      </c>
      <c r="E18" s="13">
        <v>400454000062</v>
      </c>
      <c r="F18" s="13" t="s">
        <v>90</v>
      </c>
      <c r="G18" s="13" t="s">
        <v>90</v>
      </c>
      <c r="H18" s="13" t="s">
        <v>91</v>
      </c>
      <c r="I18" s="13" t="s">
        <v>92</v>
      </c>
      <c r="J18" s="14" t="s">
        <v>93</v>
      </c>
      <c r="K18" s="13"/>
      <c r="L18" s="13">
        <v>0</v>
      </c>
      <c r="M18" s="13" t="s">
        <v>101</v>
      </c>
      <c r="N18" s="13" t="s">
        <v>91</v>
      </c>
      <c r="O18" s="13">
        <v>0</v>
      </c>
      <c r="P18" s="11">
        <v>110</v>
      </c>
      <c r="Q18" s="12">
        <v>56.68</v>
      </c>
      <c r="R18" s="12">
        <v>1333.9680000000001</v>
      </c>
      <c r="S18" s="12">
        <v>0.1</v>
      </c>
      <c r="T18" s="12">
        <v>4.18</v>
      </c>
      <c r="U18" s="12">
        <v>0.11</v>
      </c>
      <c r="V18" s="12">
        <v>0.1</v>
      </c>
      <c r="W18" s="12">
        <v>7.0000000000000007E-2</v>
      </c>
      <c r="X18" s="12">
        <v>399</v>
      </c>
      <c r="Y18" s="12">
        <v>399</v>
      </c>
      <c r="Z18" s="12">
        <v>399</v>
      </c>
      <c r="AA18" s="12">
        <v>399</v>
      </c>
      <c r="AB18" s="12">
        <v>399</v>
      </c>
      <c r="AC18" s="12">
        <v>399</v>
      </c>
      <c r="AD18" s="12">
        <v>399</v>
      </c>
      <c r="AE18" s="12">
        <v>399</v>
      </c>
      <c r="AF18" s="13"/>
      <c r="AG18" s="13"/>
      <c r="AH18" s="13"/>
    </row>
    <row r="19" spans="1:34">
      <c r="A19" s="13" t="s">
        <v>87</v>
      </c>
      <c r="B19" s="13">
        <v>220029640</v>
      </c>
      <c r="C19" s="13" t="s">
        <v>88</v>
      </c>
      <c r="D19" s="13" t="s">
        <v>89</v>
      </c>
      <c r="E19" s="13">
        <v>400454000062</v>
      </c>
      <c r="F19" s="13" t="s">
        <v>90</v>
      </c>
      <c r="G19" s="13" t="s">
        <v>90</v>
      </c>
      <c r="H19" s="13" t="s">
        <v>91</v>
      </c>
      <c r="I19" s="13" t="s">
        <v>92</v>
      </c>
      <c r="J19" s="14" t="s">
        <v>93</v>
      </c>
      <c r="K19" s="13"/>
      <c r="L19" s="13">
        <v>0</v>
      </c>
      <c r="M19" s="13" t="s">
        <v>101</v>
      </c>
      <c r="N19" s="13" t="s">
        <v>91</v>
      </c>
      <c r="O19" s="13">
        <v>0</v>
      </c>
      <c r="P19" s="11">
        <v>115</v>
      </c>
      <c r="Q19" s="12">
        <v>55.84</v>
      </c>
      <c r="R19" s="12">
        <v>1333.8889999999999</v>
      </c>
      <c r="S19" s="12">
        <v>0.09</v>
      </c>
      <c r="T19" s="12">
        <v>4.2699999999999996</v>
      </c>
      <c r="U19" s="12">
        <v>0.11</v>
      </c>
      <c r="V19" s="12">
        <v>0.1</v>
      </c>
      <c r="W19" s="12">
        <v>7.0000000000000007E-2</v>
      </c>
      <c r="X19" s="12">
        <v>399</v>
      </c>
      <c r="Y19" s="12">
        <v>399</v>
      </c>
      <c r="Z19" s="12">
        <v>399</v>
      </c>
      <c r="AA19" s="12">
        <v>399</v>
      </c>
      <c r="AB19" s="12">
        <v>399</v>
      </c>
      <c r="AC19" s="12">
        <v>399</v>
      </c>
      <c r="AD19" s="12">
        <v>399</v>
      </c>
      <c r="AE19" s="12">
        <v>399</v>
      </c>
      <c r="AF19" s="13"/>
      <c r="AG19" s="13"/>
      <c r="AH19" s="13"/>
    </row>
    <row r="20" spans="1:34">
      <c r="A20" s="13" t="s">
        <v>87</v>
      </c>
      <c r="B20" s="13">
        <v>220029640</v>
      </c>
      <c r="C20" s="13" t="s">
        <v>88</v>
      </c>
      <c r="D20" s="13" t="s">
        <v>89</v>
      </c>
      <c r="E20" s="13">
        <v>400454000062</v>
      </c>
      <c r="F20" s="13" t="s">
        <v>90</v>
      </c>
      <c r="G20" s="13" t="s">
        <v>90</v>
      </c>
      <c r="H20" s="13" t="s">
        <v>91</v>
      </c>
      <c r="I20" s="13" t="s">
        <v>92</v>
      </c>
      <c r="J20" s="14" t="s">
        <v>93</v>
      </c>
      <c r="K20" s="13"/>
      <c r="L20" s="13">
        <v>0</v>
      </c>
      <c r="M20" s="13" t="s">
        <v>101</v>
      </c>
      <c r="N20" s="13" t="s">
        <v>91</v>
      </c>
      <c r="O20" s="13">
        <v>0</v>
      </c>
      <c r="P20" s="11">
        <v>120</v>
      </c>
      <c r="Q20" s="12">
        <v>55.01</v>
      </c>
      <c r="R20" s="12">
        <v>1333.807</v>
      </c>
      <c r="S20" s="12">
        <v>0.1</v>
      </c>
      <c r="T20" s="12">
        <v>4.43</v>
      </c>
      <c r="U20" s="12">
        <v>0.11</v>
      </c>
      <c r="V20" s="12">
        <v>0.1</v>
      </c>
      <c r="W20" s="12">
        <v>7.0000000000000007E-2</v>
      </c>
      <c r="X20" s="12">
        <v>399</v>
      </c>
      <c r="Y20" s="12">
        <v>399</v>
      </c>
      <c r="Z20" s="12">
        <v>399</v>
      </c>
      <c r="AA20" s="12">
        <v>399</v>
      </c>
      <c r="AB20" s="12">
        <v>399</v>
      </c>
      <c r="AC20" s="12">
        <v>399</v>
      </c>
      <c r="AD20" s="12">
        <v>399</v>
      </c>
      <c r="AE20" s="12">
        <v>399</v>
      </c>
      <c r="AF20" s="13"/>
      <c r="AG20" s="13"/>
      <c r="AH20" s="13"/>
    </row>
    <row r="21" spans="1:34">
      <c r="A21" s="13" t="s">
        <v>87</v>
      </c>
      <c r="B21" s="13">
        <v>220029640</v>
      </c>
      <c r="C21" s="13" t="s">
        <v>88</v>
      </c>
      <c r="D21" s="13" t="s">
        <v>89</v>
      </c>
      <c r="E21" s="13">
        <v>400454000062</v>
      </c>
      <c r="F21" s="13" t="s">
        <v>90</v>
      </c>
      <c r="G21" s="13" t="s">
        <v>90</v>
      </c>
      <c r="H21" s="13" t="s">
        <v>91</v>
      </c>
      <c r="I21" s="13" t="s">
        <v>92</v>
      </c>
      <c r="J21" s="14" t="s">
        <v>93</v>
      </c>
      <c r="K21" s="13"/>
      <c r="L21" s="13">
        <v>0</v>
      </c>
      <c r="M21" s="13" t="s">
        <v>101</v>
      </c>
      <c r="N21" s="13" t="s">
        <v>91</v>
      </c>
      <c r="O21" s="13">
        <v>0</v>
      </c>
      <c r="P21" s="11">
        <v>125</v>
      </c>
      <c r="Q21" s="12">
        <v>54.16</v>
      </c>
      <c r="R21" s="12">
        <v>1333.7280000000001</v>
      </c>
      <c r="S21" s="12">
        <v>0.09</v>
      </c>
      <c r="T21" s="12">
        <v>4.51</v>
      </c>
      <c r="U21" s="12">
        <v>0.11</v>
      </c>
      <c r="V21" s="12">
        <v>0.1</v>
      </c>
      <c r="W21" s="12">
        <v>7.0000000000000007E-2</v>
      </c>
      <c r="X21" s="12">
        <v>399</v>
      </c>
      <c r="Y21" s="12">
        <v>399</v>
      </c>
      <c r="Z21" s="12">
        <v>399</v>
      </c>
      <c r="AA21" s="12">
        <v>399</v>
      </c>
      <c r="AB21" s="12">
        <v>399</v>
      </c>
      <c r="AC21" s="12">
        <v>399</v>
      </c>
      <c r="AD21" s="12">
        <v>399</v>
      </c>
      <c r="AE21" s="12">
        <v>399</v>
      </c>
      <c r="AF21" s="13"/>
      <c r="AG21" s="13"/>
      <c r="AH21" s="13"/>
    </row>
    <row r="22" spans="1:34">
      <c r="A22" s="13" t="s">
        <v>87</v>
      </c>
      <c r="B22" s="13">
        <v>220029640</v>
      </c>
      <c r="C22" s="13" t="s">
        <v>88</v>
      </c>
      <c r="D22" s="13" t="s">
        <v>89</v>
      </c>
      <c r="E22" s="13">
        <v>400454000062</v>
      </c>
      <c r="F22" s="13" t="s">
        <v>90</v>
      </c>
      <c r="G22" s="13" t="s">
        <v>90</v>
      </c>
      <c r="H22" s="13" t="s">
        <v>91</v>
      </c>
      <c r="I22" s="13" t="s">
        <v>92</v>
      </c>
      <c r="J22" s="14" t="s">
        <v>93</v>
      </c>
      <c r="K22" s="13"/>
      <c r="L22" s="13">
        <v>0</v>
      </c>
      <c r="M22" s="13" t="s">
        <v>101</v>
      </c>
      <c r="N22" s="13" t="s">
        <v>91</v>
      </c>
      <c r="O22" s="13">
        <v>0</v>
      </c>
      <c r="P22" s="11">
        <v>130</v>
      </c>
      <c r="Q22" s="12">
        <v>53.32</v>
      </c>
      <c r="R22" s="12">
        <v>1333.6469999999999</v>
      </c>
      <c r="S22" s="12">
        <v>0.1</v>
      </c>
      <c r="T22" s="12">
        <v>4.5</v>
      </c>
      <c r="U22" s="12">
        <v>0.11</v>
      </c>
      <c r="V22" s="12">
        <v>0.1</v>
      </c>
      <c r="W22" s="12">
        <v>7.0000000000000007E-2</v>
      </c>
      <c r="X22" s="12">
        <v>399</v>
      </c>
      <c r="Y22" s="12">
        <v>399</v>
      </c>
      <c r="Z22" s="12">
        <v>399</v>
      </c>
      <c r="AA22" s="12">
        <v>399</v>
      </c>
      <c r="AB22" s="12">
        <v>399</v>
      </c>
      <c r="AC22" s="12">
        <v>399</v>
      </c>
      <c r="AD22" s="12">
        <v>399</v>
      </c>
      <c r="AE22" s="12">
        <v>399</v>
      </c>
      <c r="AF22" s="13"/>
      <c r="AG22" s="13"/>
      <c r="AH22" s="13"/>
    </row>
    <row r="23" spans="1:34">
      <c r="A23" s="13" t="s">
        <v>87</v>
      </c>
      <c r="B23" s="13">
        <v>220029640</v>
      </c>
      <c r="C23" s="13" t="s">
        <v>88</v>
      </c>
      <c r="D23" s="13" t="s">
        <v>89</v>
      </c>
      <c r="E23" s="13">
        <v>400454000062</v>
      </c>
      <c r="F23" s="13" t="s">
        <v>90</v>
      </c>
      <c r="G23" s="13" t="s">
        <v>90</v>
      </c>
      <c r="H23" s="13" t="s">
        <v>91</v>
      </c>
      <c r="I23" s="13" t="s">
        <v>92</v>
      </c>
      <c r="J23" s="14" t="s">
        <v>93</v>
      </c>
      <c r="K23" s="13"/>
      <c r="L23" s="13">
        <v>0</v>
      </c>
      <c r="M23" s="13" t="s">
        <v>101</v>
      </c>
      <c r="N23" s="13" t="s">
        <v>91</v>
      </c>
      <c r="O23" s="13">
        <v>0</v>
      </c>
      <c r="P23" s="11">
        <v>135</v>
      </c>
      <c r="Q23" s="12">
        <v>52.46</v>
      </c>
      <c r="R23" s="12">
        <v>1333.5640000000001</v>
      </c>
      <c r="S23" s="12">
        <v>0.1</v>
      </c>
      <c r="T23" s="12">
        <v>4.53</v>
      </c>
      <c r="U23" s="12">
        <v>0.11</v>
      </c>
      <c r="V23" s="12">
        <v>0.1</v>
      </c>
      <c r="W23" s="12">
        <v>7.0000000000000007E-2</v>
      </c>
      <c r="X23" s="12">
        <v>399</v>
      </c>
      <c r="Y23" s="12">
        <v>399</v>
      </c>
      <c r="Z23" s="12">
        <v>399</v>
      </c>
      <c r="AA23" s="12">
        <v>399</v>
      </c>
      <c r="AB23" s="12">
        <v>399</v>
      </c>
      <c r="AC23" s="12">
        <v>399</v>
      </c>
      <c r="AD23" s="12">
        <v>399</v>
      </c>
      <c r="AE23" s="12">
        <v>399</v>
      </c>
      <c r="AF23" s="13"/>
      <c r="AG23" s="13"/>
      <c r="AH23" s="13"/>
    </row>
    <row r="24" spans="1:34">
      <c r="A24" s="13" t="s">
        <v>87</v>
      </c>
      <c r="B24" s="13">
        <v>220029640</v>
      </c>
      <c r="C24" s="13" t="s">
        <v>88</v>
      </c>
      <c r="D24" s="13" t="s">
        <v>89</v>
      </c>
      <c r="E24" s="13">
        <v>400454000062</v>
      </c>
      <c r="F24" s="13" t="s">
        <v>90</v>
      </c>
      <c r="G24" s="13" t="s">
        <v>90</v>
      </c>
      <c r="H24" s="13" t="s">
        <v>91</v>
      </c>
      <c r="I24" s="13" t="s">
        <v>92</v>
      </c>
      <c r="J24" s="14" t="s">
        <v>93</v>
      </c>
      <c r="K24" s="13"/>
      <c r="L24" s="13">
        <v>0</v>
      </c>
      <c r="M24" s="13" t="s">
        <v>101</v>
      </c>
      <c r="N24" s="13" t="s">
        <v>91</v>
      </c>
      <c r="O24" s="13">
        <v>0</v>
      </c>
      <c r="P24" s="11">
        <v>140</v>
      </c>
      <c r="Q24" s="12">
        <v>51.61</v>
      </c>
      <c r="R24" s="12">
        <v>1333.4860000000001</v>
      </c>
      <c r="S24" s="12">
        <v>0.09</v>
      </c>
      <c r="T24" s="12">
        <v>4.5</v>
      </c>
      <c r="U24" s="12">
        <v>0.11</v>
      </c>
      <c r="V24" s="12">
        <v>0.1</v>
      </c>
      <c r="W24" s="12">
        <v>7.0000000000000007E-2</v>
      </c>
      <c r="X24" s="12">
        <v>399</v>
      </c>
      <c r="Y24" s="12">
        <v>399</v>
      </c>
      <c r="Z24" s="12">
        <v>399</v>
      </c>
      <c r="AA24" s="12">
        <v>399</v>
      </c>
      <c r="AB24" s="12">
        <v>399</v>
      </c>
      <c r="AC24" s="12">
        <v>399</v>
      </c>
      <c r="AD24" s="12">
        <v>399</v>
      </c>
      <c r="AE24" s="12">
        <v>399</v>
      </c>
      <c r="AF24" s="13"/>
      <c r="AG24" s="13"/>
      <c r="AH24" s="13"/>
    </row>
    <row r="25" spans="1:34">
      <c r="A25" s="13" t="s">
        <v>87</v>
      </c>
      <c r="B25" s="13">
        <v>220029640</v>
      </c>
      <c r="C25" s="13" t="s">
        <v>88</v>
      </c>
      <c r="D25" s="13" t="s">
        <v>89</v>
      </c>
      <c r="E25" s="13">
        <v>400454000062</v>
      </c>
      <c r="F25" s="13" t="s">
        <v>90</v>
      </c>
      <c r="G25" s="13" t="s">
        <v>90</v>
      </c>
      <c r="H25" s="13" t="s">
        <v>91</v>
      </c>
      <c r="I25" s="13" t="s">
        <v>92</v>
      </c>
      <c r="J25" s="14" t="s">
        <v>93</v>
      </c>
      <c r="K25" s="13"/>
      <c r="L25" s="13">
        <v>0</v>
      </c>
      <c r="M25" s="13" t="s">
        <v>101</v>
      </c>
      <c r="N25" s="13" t="s">
        <v>91</v>
      </c>
      <c r="O25" s="13">
        <v>0</v>
      </c>
      <c r="P25" s="11">
        <v>145</v>
      </c>
      <c r="Q25" s="12">
        <v>50.75</v>
      </c>
      <c r="R25" s="12">
        <v>1333.4079999999999</v>
      </c>
      <c r="S25" s="12">
        <v>0.09</v>
      </c>
      <c r="T25" s="12">
        <v>4.54</v>
      </c>
      <c r="U25" s="12">
        <v>0.11</v>
      </c>
      <c r="V25" s="12">
        <v>0.1</v>
      </c>
      <c r="W25" s="12">
        <v>7.0000000000000007E-2</v>
      </c>
      <c r="X25" s="12">
        <v>399</v>
      </c>
      <c r="Y25" s="12">
        <v>399</v>
      </c>
      <c r="Z25" s="12">
        <v>399</v>
      </c>
      <c r="AA25" s="12">
        <v>399</v>
      </c>
      <c r="AB25" s="12">
        <v>399</v>
      </c>
      <c r="AC25" s="12">
        <v>399</v>
      </c>
      <c r="AD25" s="12">
        <v>399</v>
      </c>
      <c r="AE25" s="12">
        <v>399</v>
      </c>
      <c r="AF25" s="13"/>
      <c r="AG25" s="13"/>
      <c r="AH25" s="13"/>
    </row>
    <row r="26" spans="1:34">
      <c r="A26" s="13" t="s">
        <v>87</v>
      </c>
      <c r="B26" s="13">
        <v>220029640</v>
      </c>
      <c r="C26" s="13" t="s">
        <v>88</v>
      </c>
      <c r="D26" s="13" t="s">
        <v>89</v>
      </c>
      <c r="E26" s="13">
        <v>400454000062</v>
      </c>
      <c r="F26" s="13" t="s">
        <v>90</v>
      </c>
      <c r="G26" s="13" t="s">
        <v>90</v>
      </c>
      <c r="H26" s="13" t="s">
        <v>91</v>
      </c>
      <c r="I26" s="13" t="s">
        <v>92</v>
      </c>
      <c r="J26" s="14" t="s">
        <v>93</v>
      </c>
      <c r="K26" s="13"/>
      <c r="L26" s="13">
        <v>0</v>
      </c>
      <c r="M26" s="13" t="s">
        <v>101</v>
      </c>
      <c r="N26" s="13" t="s">
        <v>91</v>
      </c>
      <c r="O26" s="13">
        <v>0</v>
      </c>
      <c r="P26" s="11">
        <v>150</v>
      </c>
      <c r="Q26" s="12">
        <v>49.93</v>
      </c>
      <c r="R26" s="12">
        <v>1333.326</v>
      </c>
      <c r="S26" s="12">
        <v>0.1</v>
      </c>
      <c r="T26" s="12">
        <v>4.74</v>
      </c>
      <c r="U26" s="12">
        <v>0.11</v>
      </c>
      <c r="V26" s="12">
        <v>0.1</v>
      </c>
      <c r="W26" s="12">
        <v>7.0000000000000007E-2</v>
      </c>
      <c r="X26" s="12">
        <v>399</v>
      </c>
      <c r="Y26" s="12">
        <v>399</v>
      </c>
      <c r="Z26" s="12">
        <v>399</v>
      </c>
      <c r="AA26" s="12">
        <v>399</v>
      </c>
      <c r="AB26" s="12">
        <v>399</v>
      </c>
      <c r="AC26" s="12">
        <v>399</v>
      </c>
      <c r="AD26" s="12">
        <v>399</v>
      </c>
      <c r="AE26" s="12">
        <v>399</v>
      </c>
      <c r="AF26" s="13"/>
      <c r="AG26" s="13"/>
      <c r="AH26" s="13"/>
    </row>
    <row r="27" spans="1:34">
      <c r="A27" s="13" t="s">
        <v>87</v>
      </c>
      <c r="B27" s="13">
        <v>220029640</v>
      </c>
      <c r="C27" s="13" t="s">
        <v>88</v>
      </c>
      <c r="D27" s="13" t="s">
        <v>89</v>
      </c>
      <c r="E27" s="13">
        <v>400454000062</v>
      </c>
      <c r="F27" s="13" t="s">
        <v>90</v>
      </c>
      <c r="G27" s="13" t="s">
        <v>90</v>
      </c>
      <c r="H27" s="13" t="s">
        <v>91</v>
      </c>
      <c r="I27" s="13" t="s">
        <v>92</v>
      </c>
      <c r="J27" s="14" t="s">
        <v>93</v>
      </c>
      <c r="K27" s="13"/>
      <c r="L27" s="13">
        <v>0</v>
      </c>
      <c r="M27" s="13" t="s">
        <v>101</v>
      </c>
      <c r="N27" s="13" t="s">
        <v>91</v>
      </c>
      <c r="O27" s="13">
        <v>0</v>
      </c>
      <c r="P27" s="11">
        <v>155</v>
      </c>
      <c r="Q27" s="12">
        <v>49.2</v>
      </c>
      <c r="R27" s="12">
        <v>1333.2439999999999</v>
      </c>
      <c r="S27" s="12">
        <v>0.11</v>
      </c>
      <c r="T27" s="12">
        <v>4.8</v>
      </c>
      <c r="U27" s="12">
        <v>0.11</v>
      </c>
      <c r="V27" s="12">
        <v>0.1</v>
      </c>
      <c r="W27" s="12">
        <v>7.0000000000000007E-2</v>
      </c>
      <c r="X27" s="12">
        <v>399</v>
      </c>
      <c r="Y27" s="12">
        <v>399</v>
      </c>
      <c r="Z27" s="12">
        <v>399</v>
      </c>
      <c r="AA27" s="12">
        <v>399</v>
      </c>
      <c r="AB27" s="12">
        <v>399</v>
      </c>
      <c r="AC27" s="12">
        <v>399</v>
      </c>
      <c r="AD27" s="12">
        <v>399</v>
      </c>
      <c r="AE27" s="12">
        <v>399</v>
      </c>
      <c r="AF27" s="13"/>
      <c r="AG27" s="13"/>
      <c r="AH27" s="13"/>
    </row>
    <row r="28" spans="1:34">
      <c r="A28" s="13" t="s">
        <v>87</v>
      </c>
      <c r="B28" s="13">
        <v>220029640</v>
      </c>
      <c r="C28" s="13" t="s">
        <v>88</v>
      </c>
      <c r="D28" s="13" t="s">
        <v>89</v>
      </c>
      <c r="E28" s="13">
        <v>400454000062</v>
      </c>
      <c r="F28" s="13" t="s">
        <v>90</v>
      </c>
      <c r="G28" s="13" t="s">
        <v>90</v>
      </c>
      <c r="H28" s="13" t="s">
        <v>91</v>
      </c>
      <c r="I28" s="13" t="s">
        <v>92</v>
      </c>
      <c r="J28" s="14" t="s">
        <v>93</v>
      </c>
      <c r="K28" s="13"/>
      <c r="L28" s="13">
        <v>0</v>
      </c>
      <c r="M28" s="13" t="s">
        <v>101</v>
      </c>
      <c r="N28" s="13" t="s">
        <v>91</v>
      </c>
      <c r="O28" s="13">
        <v>0</v>
      </c>
      <c r="P28" s="11">
        <v>160</v>
      </c>
      <c r="Q28" s="12">
        <v>48.12</v>
      </c>
      <c r="R28" s="12">
        <v>1333.165</v>
      </c>
      <c r="S28" s="12">
        <v>7.0000000000000007E-2</v>
      </c>
      <c r="T28" s="12">
        <v>4.8099999999999996</v>
      </c>
      <c r="U28" s="12">
        <v>0.11</v>
      </c>
      <c r="V28" s="12">
        <v>0.1</v>
      </c>
      <c r="W28" s="12">
        <v>7.0000000000000007E-2</v>
      </c>
      <c r="X28" s="12">
        <v>399</v>
      </c>
      <c r="Y28" s="12">
        <v>399</v>
      </c>
      <c r="Z28" s="12">
        <v>399</v>
      </c>
      <c r="AA28" s="12">
        <v>399</v>
      </c>
      <c r="AB28" s="12">
        <v>399</v>
      </c>
      <c r="AC28" s="12">
        <v>399</v>
      </c>
      <c r="AD28" s="12">
        <v>399</v>
      </c>
      <c r="AE28" s="12">
        <v>399</v>
      </c>
      <c r="AF28" s="13"/>
      <c r="AG28" s="13"/>
      <c r="AH28" s="13"/>
    </row>
    <row r="29" spans="1:34">
      <c r="A29" s="13" t="s">
        <v>87</v>
      </c>
      <c r="B29" s="13">
        <v>220029640</v>
      </c>
      <c r="C29" s="13" t="s">
        <v>88</v>
      </c>
      <c r="D29" s="13" t="s">
        <v>89</v>
      </c>
      <c r="E29" s="13">
        <v>400454000062</v>
      </c>
      <c r="F29" s="13" t="s">
        <v>90</v>
      </c>
      <c r="G29" s="13" t="s">
        <v>90</v>
      </c>
      <c r="H29" s="13" t="s">
        <v>91</v>
      </c>
      <c r="I29" s="13" t="s">
        <v>92</v>
      </c>
      <c r="J29" s="14" t="s">
        <v>93</v>
      </c>
      <c r="K29" s="13"/>
      <c r="L29" s="13">
        <v>0</v>
      </c>
      <c r="M29" s="13" t="s">
        <v>101</v>
      </c>
      <c r="N29" s="13" t="s">
        <v>91</v>
      </c>
      <c r="O29" s="13">
        <v>0</v>
      </c>
      <c r="P29" s="11">
        <v>165</v>
      </c>
      <c r="Q29" s="12">
        <v>47.27</v>
      </c>
      <c r="R29" s="12">
        <v>1333.076</v>
      </c>
      <c r="S29" s="12">
        <v>0.1</v>
      </c>
      <c r="T29" s="12">
        <v>4.8</v>
      </c>
      <c r="U29" s="12">
        <v>0.11</v>
      </c>
      <c r="V29" s="12">
        <v>0.1</v>
      </c>
      <c r="W29" s="12">
        <v>7.0000000000000007E-2</v>
      </c>
      <c r="X29" s="12">
        <v>399</v>
      </c>
      <c r="Y29" s="12">
        <v>399</v>
      </c>
      <c r="Z29" s="12">
        <v>399</v>
      </c>
      <c r="AA29" s="12">
        <v>399</v>
      </c>
      <c r="AB29" s="12">
        <v>399</v>
      </c>
      <c r="AC29" s="12">
        <v>399</v>
      </c>
      <c r="AD29" s="12">
        <v>399</v>
      </c>
      <c r="AE29" s="12">
        <v>399</v>
      </c>
      <c r="AF29" s="13"/>
      <c r="AG29" s="13"/>
      <c r="AH29" s="13"/>
    </row>
    <row r="30" spans="1:34">
      <c r="A30" s="13" t="s">
        <v>87</v>
      </c>
      <c r="B30" s="13">
        <v>220029640</v>
      </c>
      <c r="C30" s="13" t="s">
        <v>88</v>
      </c>
      <c r="D30" s="13" t="s">
        <v>89</v>
      </c>
      <c r="E30" s="13">
        <v>400454000062</v>
      </c>
      <c r="F30" s="13" t="s">
        <v>90</v>
      </c>
      <c r="G30" s="13" t="s">
        <v>90</v>
      </c>
      <c r="H30" s="13" t="s">
        <v>91</v>
      </c>
      <c r="I30" s="13" t="s">
        <v>92</v>
      </c>
      <c r="J30" s="14" t="s">
        <v>93</v>
      </c>
      <c r="K30" s="13"/>
      <c r="L30" s="13">
        <v>0</v>
      </c>
      <c r="M30" s="13" t="s">
        <v>101</v>
      </c>
      <c r="N30" s="13" t="s">
        <v>91</v>
      </c>
      <c r="O30" s="13">
        <v>0</v>
      </c>
      <c r="P30" s="11">
        <v>170</v>
      </c>
      <c r="Q30" s="12">
        <v>46.4</v>
      </c>
      <c r="R30" s="12">
        <v>1332.9970000000001</v>
      </c>
      <c r="S30" s="12">
        <v>0.09</v>
      </c>
      <c r="T30" s="12">
        <v>4.8499999999999996</v>
      </c>
      <c r="U30" s="12">
        <v>0.11</v>
      </c>
      <c r="V30" s="12">
        <v>0.1</v>
      </c>
      <c r="W30" s="12">
        <v>7.0000000000000007E-2</v>
      </c>
      <c r="X30" s="12">
        <v>399</v>
      </c>
      <c r="Y30" s="12">
        <v>399</v>
      </c>
      <c r="Z30" s="12">
        <v>399</v>
      </c>
      <c r="AA30" s="12">
        <v>399</v>
      </c>
      <c r="AB30" s="12">
        <v>399</v>
      </c>
      <c r="AC30" s="12">
        <v>399</v>
      </c>
      <c r="AD30" s="12">
        <v>399</v>
      </c>
      <c r="AE30" s="12">
        <v>399</v>
      </c>
      <c r="AF30" s="13"/>
      <c r="AG30" s="13"/>
      <c r="AH30" s="13"/>
    </row>
    <row r="31" spans="1:34">
      <c r="A31" s="13" t="s">
        <v>87</v>
      </c>
      <c r="B31" s="13">
        <v>220029640</v>
      </c>
      <c r="C31" s="13" t="s">
        <v>88</v>
      </c>
      <c r="D31" s="13" t="s">
        <v>89</v>
      </c>
      <c r="E31" s="13">
        <v>400454000062</v>
      </c>
      <c r="F31" s="13" t="s">
        <v>90</v>
      </c>
      <c r="G31" s="13" t="s">
        <v>90</v>
      </c>
      <c r="H31" s="13" t="s">
        <v>91</v>
      </c>
      <c r="I31" s="13" t="s">
        <v>92</v>
      </c>
      <c r="J31" s="14" t="s">
        <v>93</v>
      </c>
      <c r="K31" s="13"/>
      <c r="L31" s="13">
        <v>0</v>
      </c>
      <c r="M31" s="13" t="s">
        <v>101</v>
      </c>
      <c r="N31" s="13" t="s">
        <v>91</v>
      </c>
      <c r="O31" s="13">
        <v>0</v>
      </c>
      <c r="P31" s="11">
        <v>175</v>
      </c>
      <c r="Q31" s="12">
        <v>45.59</v>
      </c>
      <c r="R31" s="12">
        <v>1332.9159999999999</v>
      </c>
      <c r="S31" s="12">
        <v>0.1</v>
      </c>
      <c r="T31" s="12">
        <v>4.96</v>
      </c>
      <c r="U31" s="12">
        <v>0.11</v>
      </c>
      <c r="V31" s="12">
        <v>0.1</v>
      </c>
      <c r="W31" s="12">
        <v>7.0000000000000007E-2</v>
      </c>
      <c r="X31" s="12">
        <v>399</v>
      </c>
      <c r="Y31" s="12">
        <v>399</v>
      </c>
      <c r="Z31" s="12">
        <v>399</v>
      </c>
      <c r="AA31" s="12">
        <v>399</v>
      </c>
      <c r="AB31" s="12">
        <v>399</v>
      </c>
      <c r="AC31" s="12">
        <v>399</v>
      </c>
      <c r="AD31" s="12">
        <v>399</v>
      </c>
      <c r="AE31" s="12">
        <v>399</v>
      </c>
      <c r="AF31" s="13"/>
      <c r="AG31" s="13"/>
      <c r="AH31" s="13"/>
    </row>
    <row r="32" spans="1:34">
      <c r="A32" s="13" t="s">
        <v>87</v>
      </c>
      <c r="B32" s="13">
        <v>220029640</v>
      </c>
      <c r="C32" s="13" t="s">
        <v>88</v>
      </c>
      <c r="D32" s="13" t="s">
        <v>89</v>
      </c>
      <c r="E32" s="13">
        <v>400454000062</v>
      </c>
      <c r="F32" s="13" t="s">
        <v>90</v>
      </c>
      <c r="G32" s="13" t="s">
        <v>90</v>
      </c>
      <c r="H32" s="13" t="s">
        <v>91</v>
      </c>
      <c r="I32" s="13" t="s">
        <v>92</v>
      </c>
      <c r="J32" s="14" t="s">
        <v>93</v>
      </c>
      <c r="K32" s="13"/>
      <c r="L32" s="13">
        <v>0</v>
      </c>
      <c r="M32" s="13" t="s">
        <v>101</v>
      </c>
      <c r="N32" s="13" t="s">
        <v>91</v>
      </c>
      <c r="O32" s="13">
        <v>0</v>
      </c>
      <c r="P32" s="11">
        <v>180</v>
      </c>
      <c r="Q32" s="12">
        <v>44.75</v>
      </c>
      <c r="R32" s="12">
        <v>1332.836</v>
      </c>
      <c r="S32" s="12">
        <v>0.1</v>
      </c>
      <c r="T32" s="12">
        <v>5.05</v>
      </c>
      <c r="U32" s="12">
        <v>0.11</v>
      </c>
      <c r="V32" s="12">
        <v>0.1</v>
      </c>
      <c r="W32" s="12">
        <v>7.0000000000000007E-2</v>
      </c>
      <c r="X32" s="12">
        <v>399</v>
      </c>
      <c r="Y32" s="12">
        <v>399</v>
      </c>
      <c r="Z32" s="12">
        <v>399</v>
      </c>
      <c r="AA32" s="12">
        <v>399</v>
      </c>
      <c r="AB32" s="12">
        <v>399</v>
      </c>
      <c r="AC32" s="12">
        <v>399</v>
      </c>
      <c r="AD32" s="12">
        <v>399</v>
      </c>
      <c r="AE32" s="12">
        <v>399</v>
      </c>
      <c r="AF32" s="13"/>
      <c r="AG32" s="13"/>
      <c r="AH32" s="13"/>
    </row>
    <row r="33" spans="1:34">
      <c r="A33" s="13" t="s">
        <v>87</v>
      </c>
      <c r="B33" s="13">
        <v>220029640</v>
      </c>
      <c r="C33" s="13" t="s">
        <v>88</v>
      </c>
      <c r="D33" s="13" t="s">
        <v>89</v>
      </c>
      <c r="E33" s="13">
        <v>400454000062</v>
      </c>
      <c r="F33" s="13" t="s">
        <v>90</v>
      </c>
      <c r="G33" s="13" t="s">
        <v>90</v>
      </c>
      <c r="H33" s="13" t="s">
        <v>91</v>
      </c>
      <c r="I33" s="13" t="s">
        <v>92</v>
      </c>
      <c r="J33" s="14" t="s">
        <v>93</v>
      </c>
      <c r="K33" s="13"/>
      <c r="L33" s="13">
        <v>0</v>
      </c>
      <c r="M33" s="13" t="s">
        <v>101</v>
      </c>
      <c r="N33" s="13" t="s">
        <v>91</v>
      </c>
      <c r="O33" s="13">
        <v>0</v>
      </c>
      <c r="P33" s="11">
        <v>185</v>
      </c>
      <c r="Q33" s="12">
        <v>43.89</v>
      </c>
      <c r="R33" s="12">
        <v>1332.758</v>
      </c>
      <c r="S33" s="12">
        <v>0.09</v>
      </c>
      <c r="T33" s="12">
        <v>5.07</v>
      </c>
      <c r="U33" s="12">
        <v>0.11</v>
      </c>
      <c r="V33" s="12">
        <v>0.1</v>
      </c>
      <c r="W33" s="12">
        <v>7.0000000000000007E-2</v>
      </c>
      <c r="X33" s="12">
        <v>399</v>
      </c>
      <c r="Y33" s="12">
        <v>399</v>
      </c>
      <c r="Z33" s="12">
        <v>399</v>
      </c>
      <c r="AA33" s="12">
        <v>399</v>
      </c>
      <c r="AB33" s="12">
        <v>399</v>
      </c>
      <c r="AC33" s="12">
        <v>399</v>
      </c>
      <c r="AD33" s="12">
        <v>399</v>
      </c>
      <c r="AE33" s="12">
        <v>399</v>
      </c>
      <c r="AF33" s="13"/>
      <c r="AG33" s="13"/>
      <c r="AH33" s="13"/>
    </row>
    <row r="34" spans="1:34">
      <c r="A34" s="13" t="s">
        <v>87</v>
      </c>
      <c r="B34" s="13">
        <v>220029640</v>
      </c>
      <c r="C34" s="13" t="s">
        <v>88</v>
      </c>
      <c r="D34" s="13" t="s">
        <v>89</v>
      </c>
      <c r="E34" s="13">
        <v>400454000062</v>
      </c>
      <c r="F34" s="13" t="s">
        <v>90</v>
      </c>
      <c r="G34" s="13" t="s">
        <v>90</v>
      </c>
      <c r="H34" s="13" t="s">
        <v>91</v>
      </c>
      <c r="I34" s="13" t="s">
        <v>92</v>
      </c>
      <c r="J34" s="14" t="s">
        <v>93</v>
      </c>
      <c r="K34" s="13"/>
      <c r="L34" s="13">
        <v>0</v>
      </c>
      <c r="M34" s="13" t="s">
        <v>101</v>
      </c>
      <c r="N34" s="13" t="s">
        <v>91</v>
      </c>
      <c r="O34" s="13">
        <v>0</v>
      </c>
      <c r="P34" s="11">
        <v>190</v>
      </c>
      <c r="Q34" s="12">
        <v>43.07</v>
      </c>
      <c r="R34" s="12">
        <v>1332.6769999999999</v>
      </c>
      <c r="S34" s="12">
        <v>0.1</v>
      </c>
      <c r="T34" s="12">
        <v>5.1100000000000003</v>
      </c>
      <c r="U34" s="12">
        <v>0.11</v>
      </c>
      <c r="V34" s="12">
        <v>0.1</v>
      </c>
      <c r="W34" s="12">
        <v>7.0000000000000007E-2</v>
      </c>
      <c r="X34" s="12">
        <v>399</v>
      </c>
      <c r="Y34" s="12">
        <v>399</v>
      </c>
      <c r="Z34" s="12">
        <v>399</v>
      </c>
      <c r="AA34" s="12">
        <v>399</v>
      </c>
      <c r="AB34" s="12">
        <v>399</v>
      </c>
      <c r="AC34" s="12">
        <v>399</v>
      </c>
      <c r="AD34" s="12">
        <v>399</v>
      </c>
      <c r="AE34" s="12">
        <v>399</v>
      </c>
      <c r="AF34" s="13"/>
      <c r="AG34" s="13"/>
      <c r="AH34" s="13"/>
    </row>
    <row r="35" spans="1:34">
      <c r="A35" s="13" t="s">
        <v>87</v>
      </c>
      <c r="B35" s="13">
        <v>220029640</v>
      </c>
      <c r="C35" s="13" t="s">
        <v>88</v>
      </c>
      <c r="D35" s="13" t="s">
        <v>89</v>
      </c>
      <c r="E35" s="13">
        <v>400454000062</v>
      </c>
      <c r="F35" s="13" t="s">
        <v>90</v>
      </c>
      <c r="G35" s="13" t="s">
        <v>90</v>
      </c>
      <c r="H35" s="13" t="s">
        <v>91</v>
      </c>
      <c r="I35" s="13" t="s">
        <v>92</v>
      </c>
      <c r="J35" s="14" t="s">
        <v>93</v>
      </c>
      <c r="K35" s="13"/>
      <c r="L35" s="13">
        <v>0</v>
      </c>
      <c r="M35" s="13" t="s">
        <v>101</v>
      </c>
      <c r="N35" s="13" t="s">
        <v>91</v>
      </c>
      <c r="O35" s="13">
        <v>0</v>
      </c>
      <c r="P35" s="11">
        <v>195</v>
      </c>
      <c r="Q35" s="12">
        <v>42.24</v>
      </c>
      <c r="R35" s="12">
        <v>1332.596</v>
      </c>
      <c r="S35" s="12">
        <v>0.1</v>
      </c>
      <c r="T35" s="12">
        <v>5.2</v>
      </c>
      <c r="U35" s="12">
        <v>0.11</v>
      </c>
      <c r="V35" s="12">
        <v>0.1</v>
      </c>
      <c r="W35" s="12">
        <v>7.0000000000000007E-2</v>
      </c>
      <c r="X35" s="12">
        <v>399</v>
      </c>
      <c r="Y35" s="12">
        <v>399</v>
      </c>
      <c r="Z35" s="12">
        <v>399</v>
      </c>
      <c r="AA35" s="12">
        <v>399</v>
      </c>
      <c r="AB35" s="12">
        <v>399</v>
      </c>
      <c r="AC35" s="12">
        <v>399</v>
      </c>
      <c r="AD35" s="12">
        <v>399</v>
      </c>
      <c r="AE35" s="12">
        <v>399</v>
      </c>
      <c r="AF35" s="13"/>
      <c r="AG35" s="13"/>
      <c r="AH35" s="13"/>
    </row>
    <row r="36" spans="1:34">
      <c r="A36" s="13" t="s">
        <v>87</v>
      </c>
      <c r="B36" s="13">
        <v>220029640</v>
      </c>
      <c r="C36" s="13" t="s">
        <v>88</v>
      </c>
      <c r="D36" s="13" t="s">
        <v>89</v>
      </c>
      <c r="E36" s="13">
        <v>400454000062</v>
      </c>
      <c r="F36" s="13" t="s">
        <v>90</v>
      </c>
      <c r="G36" s="13" t="s">
        <v>90</v>
      </c>
      <c r="H36" s="13" t="s">
        <v>91</v>
      </c>
      <c r="I36" s="13" t="s">
        <v>92</v>
      </c>
      <c r="J36" s="14" t="s">
        <v>93</v>
      </c>
      <c r="K36" s="13"/>
      <c r="L36" s="13">
        <v>0</v>
      </c>
      <c r="M36" s="13" t="s">
        <v>101</v>
      </c>
      <c r="N36" s="13" t="s">
        <v>91</v>
      </c>
      <c r="O36" s="13">
        <v>0</v>
      </c>
      <c r="P36" s="11">
        <v>200</v>
      </c>
      <c r="Q36" s="12">
        <v>41.42</v>
      </c>
      <c r="R36" s="12">
        <v>1332.52</v>
      </c>
      <c r="S36" s="12">
        <v>0.09</v>
      </c>
      <c r="T36" s="12">
        <v>5.27</v>
      </c>
      <c r="U36" s="12">
        <v>0.11</v>
      </c>
      <c r="V36" s="12">
        <v>0.1</v>
      </c>
      <c r="W36" s="12">
        <v>7.0000000000000007E-2</v>
      </c>
      <c r="X36" s="12">
        <v>399</v>
      </c>
      <c r="Y36" s="12">
        <v>399</v>
      </c>
      <c r="Z36" s="12">
        <v>399</v>
      </c>
      <c r="AA36" s="12">
        <v>399</v>
      </c>
      <c r="AB36" s="12">
        <v>399</v>
      </c>
      <c r="AC36" s="12">
        <v>399</v>
      </c>
      <c r="AD36" s="12">
        <v>399</v>
      </c>
      <c r="AE36" s="12">
        <v>399</v>
      </c>
      <c r="AF36" s="13"/>
      <c r="AG36" s="13"/>
      <c r="AH36" s="13"/>
    </row>
    <row r="37" spans="1:34">
      <c r="A37" s="13" t="s">
        <v>87</v>
      </c>
      <c r="B37" s="13">
        <v>220029640</v>
      </c>
      <c r="C37" s="13" t="s">
        <v>88</v>
      </c>
      <c r="D37" s="13" t="s">
        <v>89</v>
      </c>
      <c r="E37" s="13">
        <v>400454000062</v>
      </c>
      <c r="F37" s="13" t="s">
        <v>90</v>
      </c>
      <c r="G37" s="13" t="s">
        <v>90</v>
      </c>
      <c r="H37" s="13" t="s">
        <v>91</v>
      </c>
      <c r="I37" s="13" t="s">
        <v>92</v>
      </c>
      <c r="J37" s="14" t="s">
        <v>93</v>
      </c>
      <c r="K37" s="13"/>
      <c r="L37" s="13">
        <v>0</v>
      </c>
      <c r="M37" s="13" t="s">
        <v>101</v>
      </c>
      <c r="N37" s="13" t="s">
        <v>91</v>
      </c>
      <c r="O37" s="13">
        <v>0</v>
      </c>
      <c r="P37" s="11">
        <v>205</v>
      </c>
      <c r="Q37" s="12">
        <v>40.64</v>
      </c>
      <c r="R37" s="12">
        <v>1332.44</v>
      </c>
      <c r="S37" s="12">
        <v>0.1</v>
      </c>
      <c r="T37" s="12">
        <v>5.4</v>
      </c>
      <c r="U37" s="12">
        <v>0.11</v>
      </c>
      <c r="V37" s="12">
        <v>0.1</v>
      </c>
      <c r="W37" s="12">
        <v>7.0000000000000007E-2</v>
      </c>
      <c r="X37" s="12">
        <v>399</v>
      </c>
      <c r="Y37" s="12">
        <v>399</v>
      </c>
      <c r="Z37" s="12">
        <v>399</v>
      </c>
      <c r="AA37" s="12">
        <v>399</v>
      </c>
      <c r="AB37" s="12">
        <v>399</v>
      </c>
      <c r="AC37" s="12">
        <v>399</v>
      </c>
      <c r="AD37" s="12">
        <v>399</v>
      </c>
      <c r="AE37" s="12">
        <v>399</v>
      </c>
      <c r="AF37" s="13"/>
      <c r="AG37" s="13"/>
      <c r="AH37" s="13"/>
    </row>
    <row r="38" spans="1:34">
      <c r="A38" s="13" t="s">
        <v>87</v>
      </c>
      <c r="B38" s="13">
        <v>220029640</v>
      </c>
      <c r="C38" s="13" t="s">
        <v>88</v>
      </c>
      <c r="D38" s="13" t="s">
        <v>89</v>
      </c>
      <c r="E38" s="13">
        <v>400454000062</v>
      </c>
      <c r="F38" s="13" t="s">
        <v>90</v>
      </c>
      <c r="G38" s="13" t="s">
        <v>90</v>
      </c>
      <c r="H38" s="13" t="s">
        <v>91</v>
      </c>
      <c r="I38" s="13" t="s">
        <v>92</v>
      </c>
      <c r="J38" s="14" t="s">
        <v>93</v>
      </c>
      <c r="K38" s="13"/>
      <c r="L38" s="13">
        <v>0</v>
      </c>
      <c r="M38" s="13" t="s">
        <v>101</v>
      </c>
      <c r="N38" s="13" t="s">
        <v>91</v>
      </c>
      <c r="O38" s="13">
        <v>0</v>
      </c>
      <c r="P38" s="11">
        <v>210</v>
      </c>
      <c r="Q38" s="12">
        <v>39.72</v>
      </c>
      <c r="R38" s="12">
        <v>1332.3610000000001</v>
      </c>
      <c r="S38" s="12">
        <v>0.09</v>
      </c>
      <c r="T38" s="12">
        <v>5.4</v>
      </c>
      <c r="U38" s="12">
        <v>0.11</v>
      </c>
      <c r="V38" s="12">
        <v>0.1</v>
      </c>
      <c r="W38" s="12">
        <v>7.0000000000000007E-2</v>
      </c>
      <c r="X38" s="12">
        <v>399</v>
      </c>
      <c r="Y38" s="12">
        <v>399</v>
      </c>
      <c r="Z38" s="12">
        <v>399</v>
      </c>
      <c r="AA38" s="12">
        <v>399</v>
      </c>
      <c r="AB38" s="12">
        <v>399</v>
      </c>
      <c r="AC38" s="12">
        <v>399</v>
      </c>
      <c r="AD38" s="12">
        <v>399</v>
      </c>
      <c r="AE38" s="12">
        <v>399</v>
      </c>
      <c r="AF38" s="13"/>
      <c r="AG38" s="13"/>
      <c r="AH38" s="13"/>
    </row>
    <row r="39" spans="1:34">
      <c r="A39" s="13" t="s">
        <v>87</v>
      </c>
      <c r="B39" s="13">
        <v>220029640</v>
      </c>
      <c r="C39" s="13" t="s">
        <v>88</v>
      </c>
      <c r="D39" s="13" t="s">
        <v>89</v>
      </c>
      <c r="E39" s="13">
        <v>400454000062</v>
      </c>
      <c r="F39" s="13" t="s">
        <v>90</v>
      </c>
      <c r="G39" s="13" t="s">
        <v>90</v>
      </c>
      <c r="H39" s="13" t="s">
        <v>91</v>
      </c>
      <c r="I39" s="13" t="s">
        <v>92</v>
      </c>
      <c r="J39" s="14" t="s">
        <v>93</v>
      </c>
      <c r="K39" s="13"/>
      <c r="L39" s="13">
        <v>0</v>
      </c>
      <c r="M39" s="13" t="s">
        <v>101</v>
      </c>
      <c r="N39" s="13" t="s">
        <v>91</v>
      </c>
      <c r="O39" s="13">
        <v>0</v>
      </c>
      <c r="P39" s="11">
        <v>215</v>
      </c>
      <c r="Q39" s="12">
        <v>38.81</v>
      </c>
      <c r="R39" s="12">
        <v>1332.277</v>
      </c>
      <c r="S39" s="12">
        <v>0.09</v>
      </c>
      <c r="T39" s="12">
        <v>5.49</v>
      </c>
      <c r="U39" s="12">
        <v>0.11</v>
      </c>
      <c r="V39" s="12">
        <v>0.1</v>
      </c>
      <c r="W39" s="12">
        <v>7.0000000000000007E-2</v>
      </c>
      <c r="X39" s="12">
        <v>399</v>
      </c>
      <c r="Y39" s="12">
        <v>399</v>
      </c>
      <c r="Z39" s="12">
        <v>399</v>
      </c>
      <c r="AA39" s="12">
        <v>399</v>
      </c>
      <c r="AB39" s="12">
        <v>399</v>
      </c>
      <c r="AC39" s="12">
        <v>399</v>
      </c>
      <c r="AD39" s="12">
        <v>399</v>
      </c>
      <c r="AE39" s="12">
        <v>399</v>
      </c>
      <c r="AF39" s="13"/>
      <c r="AG39" s="13"/>
      <c r="AH39" s="13"/>
    </row>
    <row r="40" spans="1:34">
      <c r="A40" s="13" t="s">
        <v>87</v>
      </c>
      <c r="B40" s="13">
        <v>220029640</v>
      </c>
      <c r="C40" s="13" t="s">
        <v>88</v>
      </c>
      <c r="D40" s="13" t="s">
        <v>89</v>
      </c>
      <c r="E40" s="13">
        <v>400454000062</v>
      </c>
      <c r="F40" s="13" t="s">
        <v>90</v>
      </c>
      <c r="G40" s="13" t="s">
        <v>90</v>
      </c>
      <c r="H40" s="13" t="s">
        <v>91</v>
      </c>
      <c r="I40" s="13" t="s">
        <v>92</v>
      </c>
      <c r="J40" s="14" t="s">
        <v>93</v>
      </c>
      <c r="K40" s="13"/>
      <c r="L40" s="13">
        <v>0</v>
      </c>
      <c r="M40" s="13" t="s">
        <v>101</v>
      </c>
      <c r="N40" s="13" t="s">
        <v>91</v>
      </c>
      <c r="O40" s="13">
        <v>0</v>
      </c>
      <c r="P40" s="11">
        <v>220</v>
      </c>
      <c r="Q40" s="12">
        <v>37.950000000000003</v>
      </c>
      <c r="R40" s="12">
        <v>1332.1949999999999</v>
      </c>
      <c r="S40" s="12">
        <v>0.1</v>
      </c>
      <c r="T40" s="12">
        <v>5.53</v>
      </c>
      <c r="U40" s="12">
        <v>0.11</v>
      </c>
      <c r="V40" s="12">
        <v>0.1</v>
      </c>
      <c r="W40" s="12">
        <v>7.0000000000000007E-2</v>
      </c>
      <c r="X40" s="12">
        <v>399</v>
      </c>
      <c r="Y40" s="12">
        <v>399</v>
      </c>
      <c r="Z40" s="12">
        <v>399</v>
      </c>
      <c r="AA40" s="12">
        <v>399</v>
      </c>
      <c r="AB40" s="12">
        <v>399</v>
      </c>
      <c r="AC40" s="12">
        <v>399</v>
      </c>
      <c r="AD40" s="12">
        <v>399</v>
      </c>
      <c r="AE40" s="12">
        <v>399</v>
      </c>
      <c r="AF40" s="13"/>
      <c r="AG40" s="13"/>
      <c r="AH40" s="13"/>
    </row>
    <row r="41" spans="1:34">
      <c r="A41" s="13" t="s">
        <v>87</v>
      </c>
      <c r="B41" s="13">
        <v>220029640</v>
      </c>
      <c r="C41" s="13" t="s">
        <v>88</v>
      </c>
      <c r="D41" s="13" t="s">
        <v>89</v>
      </c>
      <c r="E41" s="13">
        <v>400454000062</v>
      </c>
      <c r="F41" s="13" t="s">
        <v>90</v>
      </c>
      <c r="G41" s="13" t="s">
        <v>90</v>
      </c>
      <c r="H41" s="13" t="s">
        <v>91</v>
      </c>
      <c r="I41" s="13" t="s">
        <v>92</v>
      </c>
      <c r="J41" s="14" t="s">
        <v>93</v>
      </c>
      <c r="K41" s="13"/>
      <c r="L41" s="13">
        <v>0</v>
      </c>
      <c r="M41" s="13" t="s">
        <v>101</v>
      </c>
      <c r="N41" s="13" t="s">
        <v>91</v>
      </c>
      <c r="O41" s="13">
        <v>0</v>
      </c>
      <c r="P41" s="11">
        <v>225</v>
      </c>
      <c r="Q41" s="12">
        <v>37.119999999999997</v>
      </c>
      <c r="R41" s="12">
        <v>1332.107</v>
      </c>
      <c r="S41" s="12">
        <v>0.11</v>
      </c>
      <c r="T41" s="12">
        <v>5.55</v>
      </c>
      <c r="U41" s="12">
        <v>0.11</v>
      </c>
      <c r="V41" s="12">
        <v>0.1</v>
      </c>
      <c r="W41" s="12">
        <v>7.0000000000000007E-2</v>
      </c>
      <c r="X41" s="12">
        <v>399</v>
      </c>
      <c r="Y41" s="12">
        <v>399</v>
      </c>
      <c r="Z41" s="12">
        <v>399</v>
      </c>
      <c r="AA41" s="12">
        <v>399</v>
      </c>
      <c r="AB41" s="12">
        <v>399</v>
      </c>
      <c r="AC41" s="12">
        <v>399</v>
      </c>
      <c r="AD41" s="12">
        <v>399</v>
      </c>
      <c r="AE41" s="12">
        <v>399</v>
      </c>
      <c r="AF41" s="13"/>
      <c r="AG41" s="13"/>
      <c r="AH41" s="13"/>
    </row>
    <row r="42" spans="1:34">
      <c r="A42" s="13" t="s">
        <v>87</v>
      </c>
      <c r="B42" s="13">
        <v>220029640</v>
      </c>
      <c r="C42" s="13" t="s">
        <v>88</v>
      </c>
      <c r="D42" s="13" t="s">
        <v>89</v>
      </c>
      <c r="E42" s="13">
        <v>400454000062</v>
      </c>
      <c r="F42" s="13" t="s">
        <v>90</v>
      </c>
      <c r="G42" s="13" t="s">
        <v>90</v>
      </c>
      <c r="H42" s="13" t="s">
        <v>91</v>
      </c>
      <c r="I42" s="13" t="s">
        <v>92</v>
      </c>
      <c r="J42" s="14" t="s">
        <v>93</v>
      </c>
      <c r="K42" s="13"/>
      <c r="L42" s="13">
        <v>0</v>
      </c>
      <c r="M42" s="13" t="s">
        <v>101</v>
      </c>
      <c r="N42" s="13" t="s">
        <v>91</v>
      </c>
      <c r="O42" s="13">
        <v>0</v>
      </c>
      <c r="P42" s="11">
        <v>230</v>
      </c>
      <c r="Q42" s="12">
        <v>36.28</v>
      </c>
      <c r="R42" s="12">
        <v>1332.028</v>
      </c>
      <c r="S42" s="12">
        <v>0.09</v>
      </c>
      <c r="T42" s="12">
        <v>5.64</v>
      </c>
      <c r="U42" s="12">
        <v>0.11</v>
      </c>
      <c r="V42" s="12">
        <v>0.1</v>
      </c>
      <c r="W42" s="12">
        <v>7.0000000000000007E-2</v>
      </c>
      <c r="X42" s="12">
        <v>399</v>
      </c>
      <c r="Y42" s="12">
        <v>399</v>
      </c>
      <c r="Z42" s="12">
        <v>399</v>
      </c>
      <c r="AA42" s="12">
        <v>399</v>
      </c>
      <c r="AB42" s="12">
        <v>399</v>
      </c>
      <c r="AC42" s="12">
        <v>399</v>
      </c>
      <c r="AD42" s="12">
        <v>399</v>
      </c>
      <c r="AE42" s="12">
        <v>399</v>
      </c>
      <c r="AF42" s="13"/>
      <c r="AG42" s="13"/>
      <c r="AH42" s="13"/>
    </row>
    <row r="43" spans="1:34">
      <c r="A43" s="13" t="s">
        <v>87</v>
      </c>
      <c r="B43" s="13">
        <v>220029640</v>
      </c>
      <c r="C43" s="13" t="s">
        <v>88</v>
      </c>
      <c r="D43" s="13" t="s">
        <v>89</v>
      </c>
      <c r="E43" s="13">
        <v>400454000062</v>
      </c>
      <c r="F43" s="13" t="s">
        <v>90</v>
      </c>
      <c r="G43" s="13" t="s">
        <v>90</v>
      </c>
      <c r="H43" s="13" t="s">
        <v>91</v>
      </c>
      <c r="I43" s="13" t="s">
        <v>92</v>
      </c>
      <c r="J43" s="14" t="s">
        <v>93</v>
      </c>
      <c r="K43" s="13"/>
      <c r="L43" s="13">
        <v>0</v>
      </c>
      <c r="M43" s="13" t="s">
        <v>101</v>
      </c>
      <c r="N43" s="13" t="s">
        <v>91</v>
      </c>
      <c r="O43" s="13">
        <v>0</v>
      </c>
      <c r="P43" s="11">
        <v>235</v>
      </c>
      <c r="Q43" s="12">
        <v>35.450000000000003</v>
      </c>
      <c r="R43" s="12">
        <v>1331.9459999999999</v>
      </c>
      <c r="S43" s="12">
        <v>0.1</v>
      </c>
      <c r="T43" s="12">
        <v>5.68</v>
      </c>
      <c r="U43" s="12">
        <v>0.11</v>
      </c>
      <c r="V43" s="12">
        <v>0.1</v>
      </c>
      <c r="W43" s="12">
        <v>7.0000000000000007E-2</v>
      </c>
      <c r="X43" s="12">
        <v>399</v>
      </c>
      <c r="Y43" s="12">
        <v>399</v>
      </c>
      <c r="Z43" s="12">
        <v>399</v>
      </c>
      <c r="AA43" s="12">
        <v>399</v>
      </c>
      <c r="AB43" s="12">
        <v>399</v>
      </c>
      <c r="AC43" s="12">
        <v>399</v>
      </c>
      <c r="AD43" s="12">
        <v>399</v>
      </c>
      <c r="AE43" s="12">
        <v>399</v>
      </c>
      <c r="AF43" s="13"/>
      <c r="AG43" s="13"/>
      <c r="AH43" s="13"/>
    </row>
    <row r="44" spans="1:34">
      <c r="A44" s="13" t="s">
        <v>87</v>
      </c>
      <c r="B44" s="13">
        <v>220029640</v>
      </c>
      <c r="C44" s="13" t="s">
        <v>88</v>
      </c>
      <c r="D44" s="13" t="s">
        <v>89</v>
      </c>
      <c r="E44" s="13">
        <v>400454000062</v>
      </c>
      <c r="F44" s="13" t="s">
        <v>90</v>
      </c>
      <c r="G44" s="13" t="s">
        <v>90</v>
      </c>
      <c r="H44" s="13" t="s">
        <v>91</v>
      </c>
      <c r="I44" s="13" t="s">
        <v>92</v>
      </c>
      <c r="J44" s="14" t="s">
        <v>93</v>
      </c>
      <c r="K44" s="13"/>
      <c r="L44" s="13">
        <v>0</v>
      </c>
      <c r="M44" s="13" t="s">
        <v>101</v>
      </c>
      <c r="N44" s="13" t="s">
        <v>91</v>
      </c>
      <c r="O44" s="13">
        <v>0</v>
      </c>
      <c r="P44" s="11">
        <v>240</v>
      </c>
      <c r="Q44" s="12">
        <v>34.619999999999997</v>
      </c>
      <c r="R44" s="12">
        <v>1331.8710000000001</v>
      </c>
      <c r="S44" s="12">
        <v>0.09</v>
      </c>
      <c r="T44" s="12">
        <v>5.72</v>
      </c>
      <c r="U44" s="12">
        <v>0.11</v>
      </c>
      <c r="V44" s="12">
        <v>0.1</v>
      </c>
      <c r="W44" s="12">
        <v>7.0000000000000007E-2</v>
      </c>
      <c r="X44" s="12">
        <v>399</v>
      </c>
      <c r="Y44" s="12">
        <v>399</v>
      </c>
      <c r="Z44" s="12">
        <v>399</v>
      </c>
      <c r="AA44" s="12">
        <v>399</v>
      </c>
      <c r="AB44" s="12">
        <v>399</v>
      </c>
      <c r="AC44" s="12">
        <v>399</v>
      </c>
      <c r="AD44" s="12">
        <v>399</v>
      </c>
      <c r="AE44" s="12">
        <v>399</v>
      </c>
      <c r="AF44" s="13"/>
      <c r="AG44" s="13"/>
      <c r="AH44" s="13"/>
    </row>
    <row r="45" spans="1:34">
      <c r="A45" s="13" t="s">
        <v>87</v>
      </c>
      <c r="B45" s="13">
        <v>220029640</v>
      </c>
      <c r="C45" s="13" t="s">
        <v>88</v>
      </c>
      <c r="D45" s="13" t="s">
        <v>89</v>
      </c>
      <c r="E45" s="13">
        <v>400454000062</v>
      </c>
      <c r="F45" s="13" t="s">
        <v>90</v>
      </c>
      <c r="G45" s="13" t="s">
        <v>90</v>
      </c>
      <c r="H45" s="13" t="s">
        <v>91</v>
      </c>
      <c r="I45" s="13" t="s">
        <v>92</v>
      </c>
      <c r="J45" s="14" t="s">
        <v>93</v>
      </c>
      <c r="K45" s="13"/>
      <c r="L45" s="13">
        <v>0</v>
      </c>
      <c r="M45" s="13" t="s">
        <v>101</v>
      </c>
      <c r="N45" s="13" t="s">
        <v>91</v>
      </c>
      <c r="O45" s="13">
        <v>0</v>
      </c>
      <c r="P45" s="11">
        <v>245</v>
      </c>
      <c r="Q45" s="12">
        <v>33.79</v>
      </c>
      <c r="R45" s="12">
        <v>1331.7909999999999</v>
      </c>
      <c r="S45" s="12">
        <v>0.1</v>
      </c>
      <c r="T45" s="12">
        <v>5.77</v>
      </c>
      <c r="U45" s="12">
        <v>0.11</v>
      </c>
      <c r="V45" s="12">
        <v>0.1</v>
      </c>
      <c r="W45" s="12">
        <v>7.0000000000000007E-2</v>
      </c>
      <c r="X45" s="12">
        <v>399</v>
      </c>
      <c r="Y45" s="12">
        <v>399</v>
      </c>
      <c r="Z45" s="12">
        <v>399</v>
      </c>
      <c r="AA45" s="12">
        <v>399</v>
      </c>
      <c r="AB45" s="12">
        <v>399</v>
      </c>
      <c r="AC45" s="12">
        <v>399</v>
      </c>
      <c r="AD45" s="12">
        <v>399</v>
      </c>
      <c r="AE45" s="12">
        <v>399</v>
      </c>
      <c r="AF45" s="13"/>
      <c r="AG45" s="13"/>
      <c r="AH45" s="13"/>
    </row>
    <row r="46" spans="1:34">
      <c r="A46" s="13" t="s">
        <v>87</v>
      </c>
      <c r="B46" s="13">
        <v>220029640</v>
      </c>
      <c r="C46" s="13" t="s">
        <v>88</v>
      </c>
      <c r="D46" s="13" t="s">
        <v>89</v>
      </c>
      <c r="E46" s="13">
        <v>400454000062</v>
      </c>
      <c r="F46" s="13" t="s">
        <v>90</v>
      </c>
      <c r="G46" s="13" t="s">
        <v>90</v>
      </c>
      <c r="H46" s="13" t="s">
        <v>91</v>
      </c>
      <c r="I46" s="13" t="s">
        <v>92</v>
      </c>
      <c r="J46" s="14" t="s">
        <v>93</v>
      </c>
      <c r="K46" s="13"/>
      <c r="L46" s="13">
        <v>0</v>
      </c>
      <c r="M46" s="13" t="s">
        <v>101</v>
      </c>
      <c r="N46" s="13" t="s">
        <v>91</v>
      </c>
      <c r="O46" s="13">
        <v>0</v>
      </c>
      <c r="P46" s="11">
        <v>250</v>
      </c>
      <c r="Q46" s="12">
        <v>32.950000000000003</v>
      </c>
      <c r="R46" s="12">
        <v>1331.71</v>
      </c>
      <c r="S46" s="12">
        <v>0.1</v>
      </c>
      <c r="T46" s="12">
        <v>5.83</v>
      </c>
      <c r="U46" s="12">
        <v>0.11</v>
      </c>
      <c r="V46" s="12">
        <v>0.1</v>
      </c>
      <c r="W46" s="12">
        <v>7.0000000000000007E-2</v>
      </c>
      <c r="X46" s="12">
        <v>399</v>
      </c>
      <c r="Y46" s="12">
        <v>399</v>
      </c>
      <c r="Z46" s="12">
        <v>399</v>
      </c>
      <c r="AA46" s="12">
        <v>399</v>
      </c>
      <c r="AB46" s="12">
        <v>399</v>
      </c>
      <c r="AC46" s="12">
        <v>399</v>
      </c>
      <c r="AD46" s="12">
        <v>399</v>
      </c>
      <c r="AE46" s="12">
        <v>399</v>
      </c>
      <c r="AF46" s="13"/>
      <c r="AG46" s="13"/>
      <c r="AH46" s="13"/>
    </row>
    <row r="47" spans="1:34">
      <c r="A47" s="13" t="s">
        <v>87</v>
      </c>
      <c r="B47" s="13">
        <v>220029640</v>
      </c>
      <c r="C47" s="13" t="s">
        <v>88</v>
      </c>
      <c r="D47" s="13" t="s">
        <v>89</v>
      </c>
      <c r="E47" s="13">
        <v>400454000062</v>
      </c>
      <c r="F47" s="13" t="s">
        <v>90</v>
      </c>
      <c r="G47" s="13" t="s">
        <v>90</v>
      </c>
      <c r="H47" s="13" t="s">
        <v>91</v>
      </c>
      <c r="I47" s="13" t="s">
        <v>92</v>
      </c>
      <c r="J47" s="14" t="s">
        <v>93</v>
      </c>
      <c r="K47" s="13"/>
      <c r="L47" s="13">
        <v>0</v>
      </c>
      <c r="M47" s="13" t="s">
        <v>101</v>
      </c>
      <c r="N47" s="13" t="s">
        <v>91</v>
      </c>
      <c r="O47" s="13">
        <v>0</v>
      </c>
      <c r="P47" s="11">
        <v>255</v>
      </c>
      <c r="Q47" s="12">
        <v>32.11</v>
      </c>
      <c r="R47" s="12">
        <v>1331.6310000000001</v>
      </c>
      <c r="S47" s="12">
        <v>0.09</v>
      </c>
      <c r="T47" s="12">
        <v>5.86</v>
      </c>
      <c r="U47" s="12">
        <v>0.11</v>
      </c>
      <c r="V47" s="12">
        <v>0.1</v>
      </c>
      <c r="W47" s="12">
        <v>7.0000000000000007E-2</v>
      </c>
      <c r="X47" s="12">
        <v>399</v>
      </c>
      <c r="Y47" s="12">
        <v>399</v>
      </c>
      <c r="Z47" s="12">
        <v>399</v>
      </c>
      <c r="AA47" s="12">
        <v>399</v>
      </c>
      <c r="AB47" s="12">
        <v>399</v>
      </c>
      <c r="AC47" s="12">
        <v>399</v>
      </c>
      <c r="AD47" s="12">
        <v>399</v>
      </c>
      <c r="AE47" s="12">
        <v>399</v>
      </c>
      <c r="AF47" s="13"/>
      <c r="AG47" s="13"/>
      <c r="AH47" s="13"/>
    </row>
    <row r="48" spans="1:34">
      <c r="A48" s="13" t="s">
        <v>87</v>
      </c>
      <c r="B48" s="13">
        <v>220029640</v>
      </c>
      <c r="C48" s="13" t="s">
        <v>88</v>
      </c>
      <c r="D48" s="13" t="s">
        <v>89</v>
      </c>
      <c r="E48" s="13">
        <v>400454000062</v>
      </c>
      <c r="F48" s="13" t="s">
        <v>90</v>
      </c>
      <c r="G48" s="13" t="s">
        <v>90</v>
      </c>
      <c r="H48" s="13" t="s">
        <v>91</v>
      </c>
      <c r="I48" s="13" t="s">
        <v>92</v>
      </c>
      <c r="J48" s="14" t="s">
        <v>93</v>
      </c>
      <c r="K48" s="13"/>
      <c r="L48" s="13">
        <v>0</v>
      </c>
      <c r="M48" s="13" t="s">
        <v>101</v>
      </c>
      <c r="N48" s="13" t="s">
        <v>91</v>
      </c>
      <c r="O48" s="13">
        <v>0</v>
      </c>
      <c r="P48" s="11">
        <v>260</v>
      </c>
      <c r="Q48" s="12">
        <v>31.29</v>
      </c>
      <c r="R48" s="12">
        <v>1331.5540000000001</v>
      </c>
      <c r="S48" s="12">
        <v>0.09</v>
      </c>
      <c r="T48" s="12">
        <v>5.89</v>
      </c>
      <c r="U48" s="12">
        <v>0.11</v>
      </c>
      <c r="V48" s="12">
        <v>0.1</v>
      </c>
      <c r="W48" s="12">
        <v>7.0000000000000007E-2</v>
      </c>
      <c r="X48" s="12">
        <v>399</v>
      </c>
      <c r="Y48" s="12">
        <v>399</v>
      </c>
      <c r="Z48" s="12">
        <v>399</v>
      </c>
      <c r="AA48" s="12">
        <v>399</v>
      </c>
      <c r="AB48" s="12">
        <v>399</v>
      </c>
      <c r="AC48" s="12">
        <v>399</v>
      </c>
      <c r="AD48" s="12">
        <v>399</v>
      </c>
      <c r="AE48" s="12">
        <v>399</v>
      </c>
      <c r="AF48" s="13"/>
      <c r="AG48" s="13"/>
      <c r="AH48" s="13"/>
    </row>
    <row r="49" spans="1:34">
      <c r="A49" s="13" t="s">
        <v>87</v>
      </c>
      <c r="B49" s="13">
        <v>220029640</v>
      </c>
      <c r="C49" s="13" t="s">
        <v>88</v>
      </c>
      <c r="D49" s="13" t="s">
        <v>89</v>
      </c>
      <c r="E49" s="13">
        <v>400454000062</v>
      </c>
      <c r="F49" s="13" t="s">
        <v>90</v>
      </c>
      <c r="G49" s="13" t="s">
        <v>90</v>
      </c>
      <c r="H49" s="13" t="s">
        <v>91</v>
      </c>
      <c r="I49" s="13" t="s">
        <v>92</v>
      </c>
      <c r="J49" s="14" t="s">
        <v>93</v>
      </c>
      <c r="K49" s="13"/>
      <c r="L49" s="13">
        <v>0</v>
      </c>
      <c r="M49" s="13" t="s">
        <v>101</v>
      </c>
      <c r="N49" s="13" t="s">
        <v>91</v>
      </c>
      <c r="O49" s="13">
        <v>0</v>
      </c>
      <c r="P49" s="11">
        <v>265</v>
      </c>
      <c r="Q49" s="12">
        <v>30.43</v>
      </c>
      <c r="R49" s="12">
        <v>1331.4749999999999</v>
      </c>
      <c r="S49" s="12">
        <v>0.09</v>
      </c>
      <c r="T49" s="12">
        <v>5.95</v>
      </c>
      <c r="U49" s="12">
        <v>0.11</v>
      </c>
      <c r="V49" s="12">
        <v>0.1</v>
      </c>
      <c r="W49" s="12">
        <v>7.0000000000000007E-2</v>
      </c>
      <c r="X49" s="12">
        <v>399</v>
      </c>
      <c r="Y49" s="12">
        <v>399</v>
      </c>
      <c r="Z49" s="12">
        <v>399</v>
      </c>
      <c r="AA49" s="12">
        <v>399</v>
      </c>
      <c r="AB49" s="12">
        <v>399</v>
      </c>
      <c r="AC49" s="12">
        <v>399</v>
      </c>
      <c r="AD49" s="12">
        <v>399</v>
      </c>
      <c r="AE49" s="12">
        <v>399</v>
      </c>
      <c r="AF49" s="13"/>
      <c r="AG49" s="13"/>
      <c r="AH49" s="13"/>
    </row>
    <row r="50" spans="1:34">
      <c r="A50" s="13" t="s">
        <v>87</v>
      </c>
      <c r="B50" s="13">
        <v>220029640</v>
      </c>
      <c r="C50" s="13" t="s">
        <v>88</v>
      </c>
      <c r="D50" s="13" t="s">
        <v>89</v>
      </c>
      <c r="E50" s="13">
        <v>400454000062</v>
      </c>
      <c r="F50" s="13" t="s">
        <v>90</v>
      </c>
      <c r="G50" s="13" t="s">
        <v>90</v>
      </c>
      <c r="H50" s="13" t="s">
        <v>91</v>
      </c>
      <c r="I50" s="13" t="s">
        <v>92</v>
      </c>
      <c r="J50" s="14" t="s">
        <v>93</v>
      </c>
      <c r="K50" s="13"/>
      <c r="L50" s="13">
        <v>0</v>
      </c>
      <c r="M50" s="13" t="s">
        <v>101</v>
      </c>
      <c r="N50" s="13" t="s">
        <v>91</v>
      </c>
      <c r="O50" s="13">
        <v>0</v>
      </c>
      <c r="P50" s="11">
        <v>270</v>
      </c>
      <c r="Q50" s="12">
        <v>29.59</v>
      </c>
      <c r="R50" s="12">
        <v>1331.3969999999999</v>
      </c>
      <c r="S50" s="12">
        <v>0.09</v>
      </c>
      <c r="T50" s="12">
        <v>6.02</v>
      </c>
      <c r="U50" s="12">
        <v>0.11</v>
      </c>
      <c r="V50" s="12">
        <v>0.1</v>
      </c>
      <c r="W50" s="12">
        <v>7.0000000000000007E-2</v>
      </c>
      <c r="X50" s="12">
        <v>399</v>
      </c>
      <c r="Y50" s="12">
        <v>399</v>
      </c>
      <c r="Z50" s="12">
        <v>399</v>
      </c>
      <c r="AA50" s="12">
        <v>399</v>
      </c>
      <c r="AB50" s="12">
        <v>399</v>
      </c>
      <c r="AC50" s="12">
        <v>399</v>
      </c>
      <c r="AD50" s="12">
        <v>399</v>
      </c>
      <c r="AE50" s="12">
        <v>399</v>
      </c>
      <c r="AF50" s="13"/>
      <c r="AG50" s="13"/>
      <c r="AH50" s="13"/>
    </row>
    <row r="51" spans="1:34">
      <c r="A51" s="13" t="s">
        <v>87</v>
      </c>
      <c r="B51" s="13">
        <v>220029640</v>
      </c>
      <c r="C51" s="13" t="s">
        <v>88</v>
      </c>
      <c r="D51" s="13" t="s">
        <v>89</v>
      </c>
      <c r="E51" s="13">
        <v>400454000062</v>
      </c>
      <c r="F51" s="13" t="s">
        <v>90</v>
      </c>
      <c r="G51" s="13" t="s">
        <v>90</v>
      </c>
      <c r="H51" s="13" t="s">
        <v>91</v>
      </c>
      <c r="I51" s="13" t="s">
        <v>92</v>
      </c>
      <c r="J51" s="14" t="s">
        <v>93</v>
      </c>
      <c r="K51" s="13"/>
      <c r="L51" s="13">
        <v>0</v>
      </c>
      <c r="M51" s="13" t="s">
        <v>101</v>
      </c>
      <c r="N51" s="13" t="s">
        <v>91</v>
      </c>
      <c r="O51" s="13">
        <v>0</v>
      </c>
      <c r="P51" s="11">
        <v>275</v>
      </c>
      <c r="Q51" s="12">
        <v>28.74</v>
      </c>
      <c r="R51" s="12">
        <v>1331.3140000000001</v>
      </c>
      <c r="S51" s="12">
        <v>0.1</v>
      </c>
      <c r="T51" s="12">
        <v>6.04</v>
      </c>
      <c r="U51" s="12">
        <v>0.11</v>
      </c>
      <c r="V51" s="12">
        <v>0.1</v>
      </c>
      <c r="W51" s="12">
        <v>7.0000000000000007E-2</v>
      </c>
      <c r="X51" s="12">
        <v>399</v>
      </c>
      <c r="Y51" s="12">
        <v>399</v>
      </c>
      <c r="Z51" s="12">
        <v>399</v>
      </c>
      <c r="AA51" s="12">
        <v>399</v>
      </c>
      <c r="AB51" s="12">
        <v>399</v>
      </c>
      <c r="AC51" s="12">
        <v>399</v>
      </c>
      <c r="AD51" s="12">
        <v>399</v>
      </c>
      <c r="AE51" s="12">
        <v>399</v>
      </c>
      <c r="AF51" s="13"/>
      <c r="AG51" s="13"/>
      <c r="AH51" s="13"/>
    </row>
    <row r="52" spans="1:34">
      <c r="A52" s="13" t="s">
        <v>87</v>
      </c>
      <c r="B52" s="13">
        <v>220029640</v>
      </c>
      <c r="C52" s="13" t="s">
        <v>88</v>
      </c>
      <c r="D52" s="13" t="s">
        <v>89</v>
      </c>
      <c r="E52" s="13">
        <v>400454000062</v>
      </c>
      <c r="F52" s="13" t="s">
        <v>90</v>
      </c>
      <c r="G52" s="13" t="s">
        <v>90</v>
      </c>
      <c r="H52" s="13" t="s">
        <v>91</v>
      </c>
      <c r="I52" s="13" t="s">
        <v>92</v>
      </c>
      <c r="J52" s="14" t="s">
        <v>93</v>
      </c>
      <c r="K52" s="13"/>
      <c r="L52" s="13">
        <v>0</v>
      </c>
      <c r="M52" s="13" t="s">
        <v>101</v>
      </c>
      <c r="N52" s="13" t="s">
        <v>91</v>
      </c>
      <c r="O52" s="13">
        <v>0</v>
      </c>
      <c r="P52" s="11">
        <v>280</v>
      </c>
      <c r="Q52" s="12">
        <v>27.91</v>
      </c>
      <c r="R52" s="12">
        <v>1331.2339999999999</v>
      </c>
      <c r="S52" s="12">
        <v>0.1</v>
      </c>
      <c r="T52" s="12">
        <v>6.1</v>
      </c>
      <c r="U52" s="12">
        <v>0.11</v>
      </c>
      <c r="V52" s="12">
        <v>0.1</v>
      </c>
      <c r="W52" s="12">
        <v>7.0000000000000007E-2</v>
      </c>
      <c r="X52" s="12">
        <v>399</v>
      </c>
      <c r="Y52" s="12">
        <v>399</v>
      </c>
      <c r="Z52" s="12">
        <v>399</v>
      </c>
      <c r="AA52" s="12">
        <v>399</v>
      </c>
      <c r="AB52" s="12">
        <v>399</v>
      </c>
      <c r="AC52" s="12">
        <v>399</v>
      </c>
      <c r="AD52" s="12">
        <v>399</v>
      </c>
      <c r="AE52" s="12">
        <v>399</v>
      </c>
      <c r="AF52" s="13"/>
      <c r="AG52" s="13"/>
      <c r="AH52" s="13"/>
    </row>
    <row r="53" spans="1:34">
      <c r="A53" s="13" t="s">
        <v>87</v>
      </c>
      <c r="B53" s="13">
        <v>220029640</v>
      </c>
      <c r="C53" s="13" t="s">
        <v>88</v>
      </c>
      <c r="D53" s="13" t="s">
        <v>89</v>
      </c>
      <c r="E53" s="13">
        <v>400454000062</v>
      </c>
      <c r="F53" s="13" t="s">
        <v>90</v>
      </c>
      <c r="G53" s="13" t="s">
        <v>90</v>
      </c>
      <c r="H53" s="13" t="s">
        <v>91</v>
      </c>
      <c r="I53" s="13" t="s">
        <v>92</v>
      </c>
      <c r="J53" s="14" t="s">
        <v>93</v>
      </c>
      <c r="K53" s="13"/>
      <c r="L53" s="13">
        <v>0</v>
      </c>
      <c r="M53" s="13" t="s">
        <v>101</v>
      </c>
      <c r="N53" s="13" t="s">
        <v>91</v>
      </c>
      <c r="O53" s="13">
        <v>0</v>
      </c>
      <c r="P53" s="11">
        <v>285</v>
      </c>
      <c r="Q53" s="12">
        <v>27.08</v>
      </c>
      <c r="R53" s="12">
        <v>1331.1510000000001</v>
      </c>
      <c r="S53" s="12">
        <v>0.1</v>
      </c>
      <c r="T53" s="12">
        <v>6.14</v>
      </c>
      <c r="U53" s="12">
        <v>0.11</v>
      </c>
      <c r="V53" s="12">
        <v>0.1</v>
      </c>
      <c r="W53" s="12">
        <v>7.0000000000000007E-2</v>
      </c>
      <c r="X53" s="12">
        <v>399</v>
      </c>
      <c r="Y53" s="12">
        <v>399</v>
      </c>
      <c r="Z53" s="12">
        <v>399</v>
      </c>
      <c r="AA53" s="12">
        <v>399</v>
      </c>
      <c r="AB53" s="12">
        <v>399</v>
      </c>
      <c r="AC53" s="12">
        <v>399</v>
      </c>
      <c r="AD53" s="12">
        <v>399</v>
      </c>
      <c r="AE53" s="12">
        <v>399</v>
      </c>
      <c r="AF53" s="13"/>
      <c r="AG53" s="13"/>
      <c r="AH53" s="13"/>
    </row>
    <row r="54" spans="1:34">
      <c r="A54" s="13" t="s">
        <v>87</v>
      </c>
      <c r="B54" s="13">
        <v>220029640</v>
      </c>
      <c r="C54" s="13" t="s">
        <v>88</v>
      </c>
      <c r="D54" s="13" t="s">
        <v>89</v>
      </c>
      <c r="E54" s="13">
        <v>400454000062</v>
      </c>
      <c r="F54" s="13" t="s">
        <v>90</v>
      </c>
      <c r="G54" s="13" t="s">
        <v>90</v>
      </c>
      <c r="H54" s="13" t="s">
        <v>91</v>
      </c>
      <c r="I54" s="13" t="s">
        <v>92</v>
      </c>
      <c r="J54" s="14" t="s">
        <v>93</v>
      </c>
      <c r="K54" s="13"/>
      <c r="L54" s="13">
        <v>0</v>
      </c>
      <c r="M54" s="13" t="s">
        <v>101</v>
      </c>
      <c r="N54" s="13" t="s">
        <v>91</v>
      </c>
      <c r="O54" s="13">
        <v>0</v>
      </c>
      <c r="P54" s="11">
        <v>290</v>
      </c>
      <c r="Q54" s="12">
        <v>26.24</v>
      </c>
      <c r="R54" s="12">
        <v>1331.0730000000001</v>
      </c>
      <c r="S54" s="12">
        <v>0.09</v>
      </c>
      <c r="T54" s="12">
        <v>6.19</v>
      </c>
      <c r="U54" s="12">
        <v>0.11</v>
      </c>
      <c r="V54" s="12">
        <v>0.1</v>
      </c>
      <c r="W54" s="12">
        <v>7.0000000000000007E-2</v>
      </c>
      <c r="X54" s="12">
        <v>399</v>
      </c>
      <c r="Y54" s="12">
        <v>399</v>
      </c>
      <c r="Z54" s="12">
        <v>399</v>
      </c>
      <c r="AA54" s="12">
        <v>399</v>
      </c>
      <c r="AB54" s="12">
        <v>399</v>
      </c>
      <c r="AC54" s="12">
        <v>399</v>
      </c>
      <c r="AD54" s="12">
        <v>399</v>
      </c>
      <c r="AE54" s="12">
        <v>399</v>
      </c>
      <c r="AF54" s="13"/>
      <c r="AG54" s="13"/>
      <c r="AH54" s="13"/>
    </row>
    <row r="55" spans="1:34">
      <c r="A55" s="13" t="s">
        <v>87</v>
      </c>
      <c r="B55" s="13">
        <v>220029640</v>
      </c>
      <c r="C55" s="13" t="s">
        <v>88</v>
      </c>
      <c r="D55" s="13" t="s">
        <v>89</v>
      </c>
      <c r="E55" s="13">
        <v>400454000062</v>
      </c>
      <c r="F55" s="13" t="s">
        <v>90</v>
      </c>
      <c r="G55" s="13" t="s">
        <v>90</v>
      </c>
      <c r="H55" s="13" t="s">
        <v>91</v>
      </c>
      <c r="I55" s="13" t="s">
        <v>92</v>
      </c>
      <c r="J55" s="14" t="s">
        <v>93</v>
      </c>
      <c r="K55" s="13"/>
      <c r="L55" s="13">
        <v>0</v>
      </c>
      <c r="M55" s="13" t="s">
        <v>101</v>
      </c>
      <c r="N55" s="13" t="s">
        <v>91</v>
      </c>
      <c r="O55" s="13">
        <v>0</v>
      </c>
      <c r="P55" s="11">
        <v>295</v>
      </c>
      <c r="Q55" s="12">
        <v>25.4</v>
      </c>
      <c r="R55" s="12">
        <v>1330.992</v>
      </c>
      <c r="S55" s="12">
        <v>0.1</v>
      </c>
      <c r="T55" s="12">
        <v>6.24</v>
      </c>
      <c r="U55" s="12">
        <v>0.11</v>
      </c>
      <c r="V55" s="12">
        <v>0.1</v>
      </c>
      <c r="W55" s="12">
        <v>7.0000000000000007E-2</v>
      </c>
      <c r="X55" s="12">
        <v>399</v>
      </c>
      <c r="Y55" s="12">
        <v>399</v>
      </c>
      <c r="Z55" s="12">
        <v>399</v>
      </c>
      <c r="AA55" s="12">
        <v>399</v>
      </c>
      <c r="AB55" s="12">
        <v>399</v>
      </c>
      <c r="AC55" s="12">
        <v>399</v>
      </c>
      <c r="AD55" s="12">
        <v>399</v>
      </c>
      <c r="AE55" s="12">
        <v>399</v>
      </c>
      <c r="AF55" s="13"/>
      <c r="AG55" s="13"/>
      <c r="AH55" s="13"/>
    </row>
    <row r="56" spans="1:34">
      <c r="A56" s="13" t="s">
        <v>87</v>
      </c>
      <c r="B56" s="13">
        <v>220029640</v>
      </c>
      <c r="C56" s="13" t="s">
        <v>88</v>
      </c>
      <c r="D56" s="13" t="s">
        <v>89</v>
      </c>
      <c r="E56" s="13">
        <v>400454000062</v>
      </c>
      <c r="F56" s="13" t="s">
        <v>90</v>
      </c>
      <c r="G56" s="13" t="s">
        <v>90</v>
      </c>
      <c r="H56" s="13" t="s">
        <v>91</v>
      </c>
      <c r="I56" s="13" t="s">
        <v>92</v>
      </c>
      <c r="J56" s="14" t="s">
        <v>93</v>
      </c>
      <c r="K56" s="13"/>
      <c r="L56" s="13">
        <v>0</v>
      </c>
      <c r="M56" s="13" t="s">
        <v>101</v>
      </c>
      <c r="N56" s="13" t="s">
        <v>91</v>
      </c>
      <c r="O56" s="13">
        <v>0</v>
      </c>
      <c r="P56" s="11">
        <v>300</v>
      </c>
      <c r="Q56" s="12">
        <v>24.52</v>
      </c>
      <c r="R56" s="12">
        <v>1330.913</v>
      </c>
      <c r="S56" s="12">
        <v>0.09</v>
      </c>
      <c r="T56" s="12">
        <v>6.22</v>
      </c>
      <c r="U56" s="12">
        <v>0.11</v>
      </c>
      <c r="V56" s="12">
        <v>0.1</v>
      </c>
      <c r="W56" s="12">
        <v>7.0000000000000007E-2</v>
      </c>
      <c r="X56" s="12">
        <v>399</v>
      </c>
      <c r="Y56" s="12">
        <v>399</v>
      </c>
      <c r="Z56" s="12">
        <v>399</v>
      </c>
      <c r="AA56" s="12">
        <v>399</v>
      </c>
      <c r="AB56" s="12">
        <v>399</v>
      </c>
      <c r="AC56" s="12">
        <v>399</v>
      </c>
      <c r="AD56" s="12">
        <v>399</v>
      </c>
      <c r="AE56" s="12">
        <v>399</v>
      </c>
      <c r="AF56" s="13"/>
      <c r="AG56" s="13"/>
      <c r="AH56" s="13"/>
    </row>
    <row r="57" spans="1:34">
      <c r="A57" s="13" t="s">
        <v>87</v>
      </c>
      <c r="B57" s="13">
        <v>220029640</v>
      </c>
      <c r="C57" s="13" t="s">
        <v>88</v>
      </c>
      <c r="D57" s="13" t="s">
        <v>89</v>
      </c>
      <c r="E57" s="13">
        <v>400454000062</v>
      </c>
      <c r="F57" s="13" t="s">
        <v>90</v>
      </c>
      <c r="G57" s="13" t="s">
        <v>90</v>
      </c>
      <c r="H57" s="13" t="s">
        <v>91</v>
      </c>
      <c r="I57" s="13" t="s">
        <v>92</v>
      </c>
      <c r="J57" s="14" t="s">
        <v>93</v>
      </c>
      <c r="K57" s="13"/>
      <c r="L57" s="13">
        <v>0</v>
      </c>
      <c r="M57" s="13" t="s">
        <v>101</v>
      </c>
      <c r="N57" s="13" t="s">
        <v>91</v>
      </c>
      <c r="O57" s="13">
        <v>0</v>
      </c>
      <c r="P57" s="11">
        <v>305</v>
      </c>
      <c r="Q57" s="12">
        <v>23.69</v>
      </c>
      <c r="R57" s="12">
        <v>1330.828</v>
      </c>
      <c r="S57" s="12">
        <v>0.1</v>
      </c>
      <c r="T57" s="12">
        <v>6.28</v>
      </c>
      <c r="U57" s="12">
        <v>0.11</v>
      </c>
      <c r="V57" s="12">
        <v>0.1</v>
      </c>
      <c r="W57" s="12">
        <v>7.0000000000000007E-2</v>
      </c>
      <c r="X57" s="12">
        <v>399</v>
      </c>
      <c r="Y57" s="12">
        <v>399</v>
      </c>
      <c r="Z57" s="12">
        <v>399</v>
      </c>
      <c r="AA57" s="12">
        <v>399</v>
      </c>
      <c r="AB57" s="12">
        <v>399</v>
      </c>
      <c r="AC57" s="12">
        <v>399</v>
      </c>
      <c r="AD57" s="12">
        <v>399</v>
      </c>
      <c r="AE57" s="12">
        <v>399</v>
      </c>
      <c r="AF57" s="13"/>
      <c r="AG57" s="13"/>
      <c r="AH57" s="13"/>
    </row>
    <row r="58" spans="1:34">
      <c r="A58" s="13" t="s">
        <v>87</v>
      </c>
      <c r="B58" s="13">
        <v>220029640</v>
      </c>
      <c r="C58" s="13" t="s">
        <v>88</v>
      </c>
      <c r="D58" s="13" t="s">
        <v>89</v>
      </c>
      <c r="E58" s="13">
        <v>400454000062</v>
      </c>
      <c r="F58" s="13" t="s">
        <v>90</v>
      </c>
      <c r="G58" s="13" t="s">
        <v>90</v>
      </c>
      <c r="H58" s="13" t="s">
        <v>91</v>
      </c>
      <c r="I58" s="13" t="s">
        <v>92</v>
      </c>
      <c r="J58" s="14" t="s">
        <v>93</v>
      </c>
      <c r="K58" s="13"/>
      <c r="L58" s="13">
        <v>0</v>
      </c>
      <c r="M58" s="13" t="s">
        <v>101</v>
      </c>
      <c r="N58" s="13" t="s">
        <v>91</v>
      </c>
      <c r="O58" s="13">
        <v>0</v>
      </c>
      <c r="P58" s="11">
        <v>310</v>
      </c>
      <c r="Q58" s="12">
        <v>22.87</v>
      </c>
      <c r="R58" s="12">
        <v>1330.75</v>
      </c>
      <c r="S58" s="12">
        <v>0.1</v>
      </c>
      <c r="T58" s="12">
        <v>6.31</v>
      </c>
      <c r="U58" s="12">
        <v>0.11</v>
      </c>
      <c r="V58" s="12">
        <v>0.1</v>
      </c>
      <c r="W58" s="12">
        <v>7.0000000000000007E-2</v>
      </c>
      <c r="X58" s="12">
        <v>399</v>
      </c>
      <c r="Y58" s="12">
        <v>399</v>
      </c>
      <c r="Z58" s="12">
        <v>399</v>
      </c>
      <c r="AA58" s="12">
        <v>399</v>
      </c>
      <c r="AB58" s="12">
        <v>399</v>
      </c>
      <c r="AC58" s="12">
        <v>399</v>
      </c>
      <c r="AD58" s="12">
        <v>399</v>
      </c>
      <c r="AE58" s="12">
        <v>399</v>
      </c>
      <c r="AF58" s="13"/>
      <c r="AG58" s="13"/>
      <c r="AH58" s="13"/>
    </row>
    <row r="59" spans="1:34">
      <c r="A59" s="13" t="s">
        <v>87</v>
      </c>
      <c r="B59" s="13">
        <v>220029640</v>
      </c>
      <c r="C59" s="13" t="s">
        <v>88</v>
      </c>
      <c r="D59" s="13" t="s">
        <v>89</v>
      </c>
      <c r="E59" s="13">
        <v>400454000062</v>
      </c>
      <c r="F59" s="13" t="s">
        <v>90</v>
      </c>
      <c r="G59" s="13" t="s">
        <v>90</v>
      </c>
      <c r="H59" s="13" t="s">
        <v>91</v>
      </c>
      <c r="I59" s="13" t="s">
        <v>92</v>
      </c>
      <c r="J59" s="14" t="s">
        <v>93</v>
      </c>
      <c r="K59" s="13"/>
      <c r="L59" s="13">
        <v>0</v>
      </c>
      <c r="M59" s="13" t="s">
        <v>101</v>
      </c>
      <c r="N59" s="13" t="s">
        <v>91</v>
      </c>
      <c r="O59" s="13">
        <v>0</v>
      </c>
      <c r="P59" s="11">
        <v>315</v>
      </c>
      <c r="Q59" s="12">
        <v>22.03</v>
      </c>
      <c r="R59" s="12">
        <v>1330.672</v>
      </c>
      <c r="S59" s="12">
        <v>0.09</v>
      </c>
      <c r="T59" s="12">
        <v>6.31</v>
      </c>
      <c r="U59" s="12">
        <v>0.11</v>
      </c>
      <c r="V59" s="12">
        <v>0.1</v>
      </c>
      <c r="W59" s="12">
        <v>7.0000000000000007E-2</v>
      </c>
      <c r="X59" s="12">
        <v>399</v>
      </c>
      <c r="Y59" s="12">
        <v>399</v>
      </c>
      <c r="Z59" s="12">
        <v>399</v>
      </c>
      <c r="AA59" s="12">
        <v>399</v>
      </c>
      <c r="AB59" s="12">
        <v>399</v>
      </c>
      <c r="AC59" s="12">
        <v>399</v>
      </c>
      <c r="AD59" s="12">
        <v>399</v>
      </c>
      <c r="AE59" s="12">
        <v>399</v>
      </c>
      <c r="AF59" s="13"/>
      <c r="AG59" s="13"/>
      <c r="AH59" s="13"/>
    </row>
    <row r="60" spans="1:34">
      <c r="A60" s="13" t="s">
        <v>87</v>
      </c>
      <c r="B60" s="13">
        <v>220029640</v>
      </c>
      <c r="C60" s="13" t="s">
        <v>88</v>
      </c>
      <c r="D60" s="13" t="s">
        <v>89</v>
      </c>
      <c r="E60" s="13">
        <v>400454000062</v>
      </c>
      <c r="F60" s="13" t="s">
        <v>90</v>
      </c>
      <c r="G60" s="13" t="s">
        <v>90</v>
      </c>
      <c r="H60" s="13" t="s">
        <v>91</v>
      </c>
      <c r="I60" s="13" t="s">
        <v>92</v>
      </c>
      <c r="J60" s="14" t="s">
        <v>93</v>
      </c>
      <c r="K60" s="13"/>
      <c r="L60" s="13">
        <v>0</v>
      </c>
      <c r="M60" s="13" t="s">
        <v>101</v>
      </c>
      <c r="N60" s="13" t="s">
        <v>91</v>
      </c>
      <c r="O60" s="13">
        <v>0</v>
      </c>
      <c r="P60" s="11">
        <v>320</v>
      </c>
      <c r="Q60" s="12">
        <v>21.19</v>
      </c>
      <c r="R60" s="12">
        <v>1330.595</v>
      </c>
      <c r="S60" s="12">
        <v>0.09</v>
      </c>
      <c r="T60" s="12">
        <v>6.3</v>
      </c>
      <c r="U60" s="12">
        <v>0.11</v>
      </c>
      <c r="V60" s="12">
        <v>0.1</v>
      </c>
      <c r="W60" s="12">
        <v>7.0000000000000007E-2</v>
      </c>
      <c r="X60" s="12">
        <v>399</v>
      </c>
      <c r="Y60" s="12">
        <v>399</v>
      </c>
      <c r="Z60" s="12">
        <v>399</v>
      </c>
      <c r="AA60" s="12">
        <v>399</v>
      </c>
      <c r="AB60" s="12">
        <v>399</v>
      </c>
      <c r="AC60" s="12">
        <v>399</v>
      </c>
      <c r="AD60" s="12">
        <v>399</v>
      </c>
      <c r="AE60" s="12">
        <v>399</v>
      </c>
      <c r="AF60" s="13"/>
      <c r="AG60" s="13"/>
      <c r="AH60" s="13"/>
    </row>
    <row r="61" spans="1:34">
      <c r="A61" s="13" t="s">
        <v>87</v>
      </c>
      <c r="B61" s="13">
        <v>220029640</v>
      </c>
      <c r="C61" s="13" t="s">
        <v>88</v>
      </c>
      <c r="D61" s="13" t="s">
        <v>89</v>
      </c>
      <c r="E61" s="13">
        <v>400454000062</v>
      </c>
      <c r="F61" s="13" t="s">
        <v>90</v>
      </c>
      <c r="G61" s="13" t="s">
        <v>90</v>
      </c>
      <c r="H61" s="13" t="s">
        <v>91</v>
      </c>
      <c r="I61" s="13" t="s">
        <v>92</v>
      </c>
      <c r="J61" s="14" t="s">
        <v>93</v>
      </c>
      <c r="K61" s="13"/>
      <c r="L61" s="13">
        <v>0</v>
      </c>
      <c r="M61" s="13" t="s">
        <v>101</v>
      </c>
      <c r="N61" s="13" t="s">
        <v>91</v>
      </c>
      <c r="O61" s="13">
        <v>0</v>
      </c>
      <c r="P61" s="11">
        <v>325</v>
      </c>
      <c r="Q61" s="12">
        <v>20.36</v>
      </c>
      <c r="R61" s="12">
        <v>1330.5139999999999</v>
      </c>
      <c r="S61" s="12">
        <v>0.1</v>
      </c>
      <c r="T61" s="12">
        <v>6.36</v>
      </c>
      <c r="U61" s="12">
        <v>0.11</v>
      </c>
      <c r="V61" s="12">
        <v>0.1</v>
      </c>
      <c r="W61" s="12">
        <v>7.0000000000000007E-2</v>
      </c>
      <c r="X61" s="12">
        <v>399</v>
      </c>
      <c r="Y61" s="12">
        <v>399</v>
      </c>
      <c r="Z61" s="12">
        <v>399</v>
      </c>
      <c r="AA61" s="12">
        <v>399</v>
      </c>
      <c r="AB61" s="12">
        <v>399</v>
      </c>
      <c r="AC61" s="12">
        <v>399</v>
      </c>
      <c r="AD61" s="12">
        <v>399</v>
      </c>
      <c r="AE61" s="12">
        <v>399</v>
      </c>
      <c r="AF61" s="13"/>
      <c r="AG61" s="13"/>
      <c r="AH61" s="13"/>
    </row>
    <row r="62" spans="1:34">
      <c r="A62" s="13" t="s">
        <v>87</v>
      </c>
      <c r="B62" s="13">
        <v>220029640</v>
      </c>
      <c r="C62" s="13" t="s">
        <v>88</v>
      </c>
      <c r="D62" s="13" t="s">
        <v>89</v>
      </c>
      <c r="E62" s="13">
        <v>400454000062</v>
      </c>
      <c r="F62" s="13" t="s">
        <v>90</v>
      </c>
      <c r="G62" s="13" t="s">
        <v>90</v>
      </c>
      <c r="H62" s="13" t="s">
        <v>91</v>
      </c>
      <c r="I62" s="13" t="s">
        <v>92</v>
      </c>
      <c r="J62" s="14" t="s">
        <v>93</v>
      </c>
      <c r="K62" s="13"/>
      <c r="L62" s="13">
        <v>0</v>
      </c>
      <c r="M62" s="13" t="s">
        <v>101</v>
      </c>
      <c r="N62" s="13" t="s">
        <v>91</v>
      </c>
      <c r="O62" s="13">
        <v>0</v>
      </c>
      <c r="P62" s="11">
        <v>330</v>
      </c>
      <c r="Q62" s="12">
        <v>19.53</v>
      </c>
      <c r="R62" s="12">
        <v>1330.4380000000001</v>
      </c>
      <c r="S62" s="12">
        <v>0.09</v>
      </c>
      <c r="T62" s="12">
        <v>6.33</v>
      </c>
      <c r="U62" s="12">
        <v>0.11</v>
      </c>
      <c r="V62" s="12">
        <v>0.1</v>
      </c>
      <c r="W62" s="12">
        <v>7.0000000000000007E-2</v>
      </c>
      <c r="X62" s="12">
        <v>399</v>
      </c>
      <c r="Y62" s="12">
        <v>399</v>
      </c>
      <c r="Z62" s="12">
        <v>399</v>
      </c>
      <c r="AA62" s="12">
        <v>399</v>
      </c>
      <c r="AB62" s="12">
        <v>399</v>
      </c>
      <c r="AC62" s="12">
        <v>399</v>
      </c>
      <c r="AD62" s="12">
        <v>399</v>
      </c>
      <c r="AE62" s="12">
        <v>399</v>
      </c>
      <c r="AF62" s="13"/>
      <c r="AG62" s="13"/>
      <c r="AH62" s="13"/>
    </row>
    <row r="63" spans="1:34">
      <c r="A63" s="13" t="s">
        <v>87</v>
      </c>
      <c r="B63" s="13">
        <v>220029640</v>
      </c>
      <c r="C63" s="13" t="s">
        <v>88</v>
      </c>
      <c r="D63" s="13" t="s">
        <v>89</v>
      </c>
      <c r="E63" s="13">
        <v>400454000062</v>
      </c>
      <c r="F63" s="13" t="s">
        <v>90</v>
      </c>
      <c r="G63" s="13" t="s">
        <v>90</v>
      </c>
      <c r="H63" s="13" t="s">
        <v>91</v>
      </c>
      <c r="I63" s="13" t="s">
        <v>92</v>
      </c>
      <c r="J63" s="14" t="s">
        <v>93</v>
      </c>
      <c r="K63" s="13"/>
      <c r="L63" s="13">
        <v>0</v>
      </c>
      <c r="M63" s="13" t="s">
        <v>101</v>
      </c>
      <c r="N63" s="13" t="s">
        <v>91</v>
      </c>
      <c r="O63" s="13">
        <v>0</v>
      </c>
      <c r="P63" s="11">
        <v>335</v>
      </c>
      <c r="Q63" s="12">
        <v>18.68</v>
      </c>
      <c r="R63" s="12">
        <v>1330.3589999999999</v>
      </c>
      <c r="S63" s="12">
        <v>0.09</v>
      </c>
      <c r="T63" s="12">
        <v>6.37</v>
      </c>
      <c r="U63" s="12">
        <v>0.11</v>
      </c>
      <c r="V63" s="12">
        <v>0.1</v>
      </c>
      <c r="W63" s="12">
        <v>7.0000000000000007E-2</v>
      </c>
      <c r="X63" s="12">
        <v>399</v>
      </c>
      <c r="Y63" s="12">
        <v>399</v>
      </c>
      <c r="Z63" s="12">
        <v>399</v>
      </c>
      <c r="AA63" s="12">
        <v>399</v>
      </c>
      <c r="AB63" s="12">
        <v>399</v>
      </c>
      <c r="AC63" s="12">
        <v>399</v>
      </c>
      <c r="AD63" s="12">
        <v>399</v>
      </c>
      <c r="AE63" s="12">
        <v>399</v>
      </c>
      <c r="AF63" s="13"/>
      <c r="AG63" s="13"/>
      <c r="AH63" s="13"/>
    </row>
    <row r="64" spans="1:34">
      <c r="A64" s="13" t="s">
        <v>87</v>
      </c>
      <c r="B64" s="13">
        <v>220029640</v>
      </c>
      <c r="C64" s="13" t="s">
        <v>88</v>
      </c>
      <c r="D64" s="13" t="s">
        <v>89</v>
      </c>
      <c r="E64" s="13">
        <v>400454000062</v>
      </c>
      <c r="F64" s="13" t="s">
        <v>90</v>
      </c>
      <c r="G64" s="13" t="s">
        <v>90</v>
      </c>
      <c r="H64" s="13" t="s">
        <v>91</v>
      </c>
      <c r="I64" s="13" t="s">
        <v>92</v>
      </c>
      <c r="J64" s="14" t="s">
        <v>93</v>
      </c>
      <c r="K64" s="13"/>
      <c r="L64" s="13">
        <v>0</v>
      </c>
      <c r="M64" s="13" t="s">
        <v>101</v>
      </c>
      <c r="N64" s="13" t="s">
        <v>91</v>
      </c>
      <c r="O64" s="13">
        <v>0</v>
      </c>
      <c r="P64" s="11">
        <v>340</v>
      </c>
      <c r="Q64" s="12">
        <v>17.86</v>
      </c>
      <c r="R64" s="12">
        <v>1330.2840000000001</v>
      </c>
      <c r="S64" s="12">
        <v>0.09</v>
      </c>
      <c r="T64" s="12">
        <v>6.36</v>
      </c>
      <c r="U64" s="12">
        <v>0.11</v>
      </c>
      <c r="V64" s="12">
        <v>0.1</v>
      </c>
      <c r="W64" s="12">
        <v>7.0000000000000007E-2</v>
      </c>
      <c r="X64" s="12">
        <v>399</v>
      </c>
      <c r="Y64" s="12">
        <v>399</v>
      </c>
      <c r="Z64" s="12">
        <v>399</v>
      </c>
      <c r="AA64" s="12">
        <v>399</v>
      </c>
      <c r="AB64" s="12">
        <v>399</v>
      </c>
      <c r="AC64" s="12">
        <v>399</v>
      </c>
      <c r="AD64" s="12">
        <v>399</v>
      </c>
      <c r="AE64" s="12">
        <v>399</v>
      </c>
      <c r="AF64" s="13"/>
      <c r="AG64" s="13"/>
      <c r="AH64" s="13"/>
    </row>
    <row r="65" spans="1:34">
      <c r="A65" s="13" t="s">
        <v>87</v>
      </c>
      <c r="B65" s="13">
        <v>220029640</v>
      </c>
      <c r="C65" s="13" t="s">
        <v>88</v>
      </c>
      <c r="D65" s="13" t="s">
        <v>89</v>
      </c>
      <c r="E65" s="13">
        <v>400454000062</v>
      </c>
      <c r="F65" s="13" t="s">
        <v>90</v>
      </c>
      <c r="G65" s="13" t="s">
        <v>90</v>
      </c>
      <c r="H65" s="13" t="s">
        <v>91</v>
      </c>
      <c r="I65" s="13" t="s">
        <v>92</v>
      </c>
      <c r="J65" s="14" t="s">
        <v>93</v>
      </c>
      <c r="K65" s="13"/>
      <c r="L65" s="13">
        <v>0</v>
      </c>
      <c r="M65" s="13" t="s">
        <v>101</v>
      </c>
      <c r="N65" s="13" t="s">
        <v>91</v>
      </c>
      <c r="O65" s="13">
        <v>0</v>
      </c>
      <c r="P65" s="11">
        <v>345</v>
      </c>
      <c r="Q65" s="11">
        <v>17.010000000000002</v>
      </c>
      <c r="R65" s="11">
        <v>1330.2059999999999</v>
      </c>
      <c r="S65" s="11">
        <v>0.09</v>
      </c>
      <c r="T65" s="11">
        <v>6.5</v>
      </c>
      <c r="U65" s="11">
        <v>0.11</v>
      </c>
      <c r="V65" s="11">
        <v>0.1</v>
      </c>
      <c r="W65" s="11">
        <v>7.0000000000000007E-2</v>
      </c>
      <c r="X65" s="11">
        <v>399</v>
      </c>
      <c r="Y65" s="11">
        <v>399</v>
      </c>
      <c r="Z65" s="11">
        <v>399</v>
      </c>
      <c r="AA65" s="11">
        <v>399</v>
      </c>
      <c r="AB65" s="11">
        <v>399</v>
      </c>
      <c r="AC65" s="11">
        <v>399</v>
      </c>
      <c r="AD65" s="11">
        <v>399</v>
      </c>
      <c r="AE65" s="11">
        <v>399</v>
      </c>
      <c r="AF65" s="13"/>
      <c r="AG65" s="13"/>
      <c r="AH65" s="13"/>
    </row>
    <row r="66" spans="1:34">
      <c r="A66" s="13" t="s">
        <v>87</v>
      </c>
      <c r="B66" s="13">
        <v>220029640</v>
      </c>
      <c r="C66" s="13" t="s">
        <v>88</v>
      </c>
      <c r="D66" s="13" t="s">
        <v>89</v>
      </c>
      <c r="E66" s="13">
        <v>400454000062</v>
      </c>
      <c r="F66" s="13" t="s">
        <v>90</v>
      </c>
      <c r="G66" s="13" t="s">
        <v>90</v>
      </c>
      <c r="H66" s="13" t="s">
        <v>91</v>
      </c>
      <c r="I66" s="13" t="s">
        <v>92</v>
      </c>
      <c r="J66" s="14" t="s">
        <v>93</v>
      </c>
      <c r="K66" s="13"/>
      <c r="L66" s="13">
        <v>0</v>
      </c>
      <c r="M66" s="13" t="s">
        <v>101</v>
      </c>
      <c r="N66" s="13" t="s">
        <v>91</v>
      </c>
      <c r="O66" s="13">
        <v>0</v>
      </c>
      <c r="P66" s="11">
        <v>350</v>
      </c>
      <c r="Q66" s="11">
        <v>16.22</v>
      </c>
      <c r="R66" s="11">
        <v>1330.13</v>
      </c>
      <c r="S66" s="11">
        <v>0.1</v>
      </c>
      <c r="T66" s="11">
        <v>6.5</v>
      </c>
      <c r="U66" s="11">
        <v>0.11</v>
      </c>
      <c r="V66" s="11">
        <v>0.1</v>
      </c>
      <c r="W66" s="11">
        <v>7.0000000000000007E-2</v>
      </c>
      <c r="X66" s="11">
        <v>399</v>
      </c>
      <c r="Y66" s="11">
        <v>399</v>
      </c>
      <c r="Z66" s="11">
        <v>399</v>
      </c>
      <c r="AA66" s="11">
        <v>399</v>
      </c>
      <c r="AB66" s="11">
        <v>399</v>
      </c>
      <c r="AC66" s="11">
        <v>399</v>
      </c>
      <c r="AD66" s="11">
        <v>399</v>
      </c>
      <c r="AE66" s="11">
        <v>399</v>
      </c>
      <c r="AF66" s="13"/>
      <c r="AG66" s="13"/>
      <c r="AH66" s="13"/>
    </row>
    <row r="67" spans="1:34">
      <c r="A67" s="13" t="s">
        <v>87</v>
      </c>
      <c r="B67" s="13">
        <v>220029640</v>
      </c>
      <c r="C67" s="13" t="s">
        <v>88</v>
      </c>
      <c r="D67" s="13" t="s">
        <v>89</v>
      </c>
      <c r="E67" s="13">
        <v>400454000062</v>
      </c>
      <c r="F67" s="13" t="s">
        <v>90</v>
      </c>
      <c r="G67" s="13" t="s">
        <v>90</v>
      </c>
      <c r="H67" s="13" t="s">
        <v>91</v>
      </c>
      <c r="I67" s="13" t="s">
        <v>92</v>
      </c>
      <c r="J67" s="14" t="s">
        <v>93</v>
      </c>
      <c r="K67" s="13"/>
      <c r="L67" s="13">
        <v>0</v>
      </c>
      <c r="M67" s="13" t="s">
        <v>101</v>
      </c>
      <c r="N67" s="13" t="s">
        <v>91</v>
      </c>
      <c r="O67" s="13">
        <v>0</v>
      </c>
      <c r="P67" s="11">
        <v>355</v>
      </c>
      <c r="Q67" s="11">
        <v>15.38</v>
      </c>
      <c r="R67" s="11">
        <v>1330.0519999999999</v>
      </c>
      <c r="S67" s="11">
        <v>0.09</v>
      </c>
      <c r="T67" s="11">
        <v>6.59</v>
      </c>
      <c r="U67" s="11">
        <v>0.11</v>
      </c>
      <c r="V67" s="11">
        <v>0.1</v>
      </c>
      <c r="W67" s="11">
        <v>7.0000000000000007E-2</v>
      </c>
      <c r="X67" s="11">
        <v>399</v>
      </c>
      <c r="Y67" s="11">
        <v>399</v>
      </c>
      <c r="Z67" s="11">
        <v>399</v>
      </c>
      <c r="AA67" s="11">
        <v>399</v>
      </c>
      <c r="AB67" s="11">
        <v>399</v>
      </c>
      <c r="AC67" s="11">
        <v>399</v>
      </c>
      <c r="AD67" s="11">
        <v>399</v>
      </c>
      <c r="AE67" s="11">
        <v>399</v>
      </c>
      <c r="AF67" s="13"/>
      <c r="AG67" s="13"/>
      <c r="AH67" s="13"/>
    </row>
    <row r="68" spans="1:34">
      <c r="A68" s="13" t="s">
        <v>87</v>
      </c>
      <c r="B68" s="13">
        <v>220029640</v>
      </c>
      <c r="C68" s="13" t="s">
        <v>88</v>
      </c>
      <c r="D68" s="13" t="s">
        <v>89</v>
      </c>
      <c r="E68" s="13">
        <v>400454000062</v>
      </c>
      <c r="F68" s="13" t="s">
        <v>90</v>
      </c>
      <c r="G68" s="13" t="s">
        <v>90</v>
      </c>
      <c r="H68" s="13" t="s">
        <v>91</v>
      </c>
      <c r="I68" s="13" t="s">
        <v>92</v>
      </c>
      <c r="J68" s="14" t="s">
        <v>93</v>
      </c>
      <c r="K68" s="13"/>
      <c r="L68" s="13">
        <v>0</v>
      </c>
      <c r="M68" s="13" t="s">
        <v>101</v>
      </c>
      <c r="N68" s="13" t="s">
        <v>91</v>
      </c>
      <c r="O68" s="13">
        <v>0</v>
      </c>
      <c r="P68" s="11">
        <v>360</v>
      </c>
      <c r="Q68" s="11">
        <v>14.57</v>
      </c>
      <c r="R68" s="11">
        <v>1329.9739999999999</v>
      </c>
      <c r="S68" s="11">
        <v>0.1</v>
      </c>
      <c r="T68" s="11">
        <v>6.54</v>
      </c>
      <c r="U68" s="11">
        <v>0.11</v>
      </c>
      <c r="V68" s="11">
        <v>0.1</v>
      </c>
      <c r="W68" s="11">
        <v>7.0000000000000007E-2</v>
      </c>
      <c r="X68" s="11">
        <v>399</v>
      </c>
      <c r="Y68" s="11">
        <v>399</v>
      </c>
      <c r="Z68" s="11">
        <v>399</v>
      </c>
      <c r="AA68" s="11">
        <v>399</v>
      </c>
      <c r="AB68" s="11">
        <v>399</v>
      </c>
      <c r="AC68" s="11">
        <v>399</v>
      </c>
      <c r="AD68" s="11">
        <v>399</v>
      </c>
      <c r="AE68" s="11">
        <v>399</v>
      </c>
      <c r="AF68" s="13"/>
      <c r="AG68" s="13"/>
      <c r="AH68" s="13"/>
    </row>
    <row r="69" spans="1:34">
      <c r="A69" s="13" t="s">
        <v>87</v>
      </c>
      <c r="B69" s="13">
        <v>220029640</v>
      </c>
      <c r="C69" s="13" t="s">
        <v>88</v>
      </c>
      <c r="D69" s="13" t="s">
        <v>89</v>
      </c>
      <c r="E69" s="13">
        <v>400454000062</v>
      </c>
      <c r="F69" s="13" t="s">
        <v>90</v>
      </c>
      <c r="G69" s="13" t="s">
        <v>90</v>
      </c>
      <c r="H69" s="13" t="s">
        <v>91</v>
      </c>
      <c r="I69" s="13" t="s">
        <v>92</v>
      </c>
      <c r="J69" s="14" t="s">
        <v>93</v>
      </c>
      <c r="K69" s="13"/>
      <c r="L69" s="13">
        <v>0</v>
      </c>
      <c r="M69" s="13" t="s">
        <v>101</v>
      </c>
      <c r="N69" s="13" t="s">
        <v>91</v>
      </c>
      <c r="O69" s="13">
        <v>0</v>
      </c>
      <c r="P69" s="11">
        <v>365</v>
      </c>
      <c r="Q69" s="11">
        <v>13.78</v>
      </c>
      <c r="R69" s="11">
        <v>1329.8979999999999</v>
      </c>
      <c r="S69" s="11">
        <v>0.1</v>
      </c>
      <c r="T69" s="11">
        <v>6.57</v>
      </c>
      <c r="U69" s="11">
        <v>0.11</v>
      </c>
      <c r="V69" s="11">
        <v>0.1</v>
      </c>
      <c r="W69" s="11">
        <v>7.0000000000000007E-2</v>
      </c>
      <c r="X69" s="11">
        <v>399</v>
      </c>
      <c r="Y69" s="11">
        <v>399</v>
      </c>
      <c r="Z69" s="11">
        <v>399</v>
      </c>
      <c r="AA69" s="11">
        <v>399</v>
      </c>
      <c r="AB69" s="11">
        <v>399</v>
      </c>
      <c r="AC69" s="11">
        <v>399</v>
      </c>
      <c r="AD69" s="11">
        <v>399</v>
      </c>
      <c r="AE69" s="11">
        <v>399</v>
      </c>
      <c r="AF69" s="13"/>
      <c r="AG69" s="13"/>
      <c r="AH69" s="13"/>
    </row>
    <row r="70" spans="1:34">
      <c r="A70" s="13" t="s">
        <v>87</v>
      </c>
      <c r="B70" s="13">
        <v>220029640</v>
      </c>
      <c r="C70" s="13" t="s">
        <v>88</v>
      </c>
      <c r="D70" s="13" t="s">
        <v>89</v>
      </c>
      <c r="E70" s="13">
        <v>400454000062</v>
      </c>
      <c r="F70" s="13" t="s">
        <v>90</v>
      </c>
      <c r="G70" s="13" t="s">
        <v>90</v>
      </c>
      <c r="H70" s="13" t="s">
        <v>91</v>
      </c>
      <c r="I70" s="13" t="s">
        <v>92</v>
      </c>
      <c r="J70" s="14" t="s">
        <v>93</v>
      </c>
      <c r="K70" s="13"/>
      <c r="L70" s="13">
        <v>0</v>
      </c>
      <c r="M70" s="13" t="s">
        <v>101</v>
      </c>
      <c r="N70" s="13" t="s">
        <v>91</v>
      </c>
      <c r="O70" s="13">
        <v>0</v>
      </c>
      <c r="P70" s="11">
        <v>370</v>
      </c>
      <c r="Q70" s="11">
        <v>12.93</v>
      </c>
      <c r="R70" s="11">
        <v>1329.82</v>
      </c>
      <c r="S70" s="11">
        <v>0.09</v>
      </c>
      <c r="T70" s="11">
        <v>6.65</v>
      </c>
      <c r="U70" s="11">
        <v>0.11</v>
      </c>
      <c r="V70" s="11">
        <v>0.1</v>
      </c>
      <c r="W70" s="11">
        <v>7.0000000000000007E-2</v>
      </c>
      <c r="X70" s="11">
        <v>399</v>
      </c>
      <c r="Y70" s="11">
        <v>399</v>
      </c>
      <c r="Z70" s="11">
        <v>399</v>
      </c>
      <c r="AA70" s="11">
        <v>399</v>
      </c>
      <c r="AB70" s="11">
        <v>399</v>
      </c>
      <c r="AC70" s="11">
        <v>399</v>
      </c>
      <c r="AD70" s="11">
        <v>399</v>
      </c>
      <c r="AE70" s="11">
        <v>399</v>
      </c>
      <c r="AF70" s="13"/>
      <c r="AG70" s="13"/>
      <c r="AH70" s="13"/>
    </row>
    <row r="71" spans="1:34">
      <c r="A71" s="13" t="s">
        <v>87</v>
      </c>
      <c r="B71" s="13">
        <v>220029640</v>
      </c>
      <c r="C71" s="13" t="s">
        <v>88</v>
      </c>
      <c r="D71" s="13" t="s">
        <v>89</v>
      </c>
      <c r="E71" s="13">
        <v>400454000062</v>
      </c>
      <c r="F71" s="13" t="s">
        <v>90</v>
      </c>
      <c r="G71" s="13" t="s">
        <v>90</v>
      </c>
      <c r="H71" s="13" t="s">
        <v>91</v>
      </c>
      <c r="I71" s="13" t="s">
        <v>92</v>
      </c>
      <c r="J71" s="14" t="s">
        <v>93</v>
      </c>
      <c r="K71" s="13"/>
      <c r="L71" s="13">
        <v>0</v>
      </c>
      <c r="M71" s="13" t="s">
        <v>101</v>
      </c>
      <c r="N71" s="13" t="s">
        <v>91</v>
      </c>
      <c r="O71" s="13">
        <v>0</v>
      </c>
      <c r="P71" s="11">
        <v>375</v>
      </c>
      <c r="Q71" s="11">
        <v>12.11</v>
      </c>
      <c r="R71" s="11">
        <v>1329.741</v>
      </c>
      <c r="S71" s="11">
        <v>0.1</v>
      </c>
      <c r="T71" s="11">
        <v>6.71</v>
      </c>
      <c r="U71" s="11">
        <v>0.11</v>
      </c>
      <c r="V71" s="11">
        <v>0.1</v>
      </c>
      <c r="W71" s="11">
        <v>7.0000000000000007E-2</v>
      </c>
      <c r="X71" s="11">
        <v>399</v>
      </c>
      <c r="Y71" s="11">
        <v>399</v>
      </c>
      <c r="Z71" s="11">
        <v>399</v>
      </c>
      <c r="AA71" s="11">
        <v>399</v>
      </c>
      <c r="AB71" s="11">
        <v>399</v>
      </c>
      <c r="AC71" s="11">
        <v>399</v>
      </c>
      <c r="AD71" s="11">
        <v>399</v>
      </c>
      <c r="AE71" s="11">
        <v>399</v>
      </c>
      <c r="AF71" s="13"/>
      <c r="AG71" s="13"/>
      <c r="AH71" s="13"/>
    </row>
    <row r="72" spans="1:34">
      <c r="A72" s="13" t="s">
        <v>87</v>
      </c>
      <c r="B72" s="13">
        <v>220029640</v>
      </c>
      <c r="C72" s="13" t="s">
        <v>88</v>
      </c>
      <c r="D72" s="13" t="s">
        <v>89</v>
      </c>
      <c r="E72" s="13">
        <v>400454000062</v>
      </c>
      <c r="F72" s="13" t="s">
        <v>90</v>
      </c>
      <c r="G72" s="13" t="s">
        <v>90</v>
      </c>
      <c r="H72" s="13" t="s">
        <v>91</v>
      </c>
      <c r="I72" s="13" t="s">
        <v>92</v>
      </c>
      <c r="J72" s="14" t="s">
        <v>93</v>
      </c>
      <c r="K72" s="13"/>
      <c r="L72" s="13">
        <v>0</v>
      </c>
      <c r="M72" s="13" t="s">
        <v>101</v>
      </c>
      <c r="N72" s="13" t="s">
        <v>91</v>
      </c>
      <c r="O72" s="13">
        <v>0</v>
      </c>
      <c r="P72" s="11">
        <v>380</v>
      </c>
      <c r="Q72" s="11">
        <v>11.26</v>
      </c>
      <c r="R72" s="11">
        <v>1329.664</v>
      </c>
      <c r="S72" s="11">
        <v>0.09</v>
      </c>
      <c r="T72" s="11">
        <v>6.74</v>
      </c>
      <c r="U72" s="11">
        <v>0.11</v>
      </c>
      <c r="V72" s="11">
        <v>0.1</v>
      </c>
      <c r="W72" s="11">
        <v>7.0000000000000007E-2</v>
      </c>
      <c r="X72" s="11">
        <v>399</v>
      </c>
      <c r="Y72" s="11">
        <v>399</v>
      </c>
      <c r="Z72" s="11">
        <v>399</v>
      </c>
      <c r="AA72" s="11">
        <v>399</v>
      </c>
      <c r="AB72" s="11">
        <v>399</v>
      </c>
      <c r="AC72" s="11">
        <v>399</v>
      </c>
      <c r="AD72" s="11">
        <v>399</v>
      </c>
      <c r="AE72" s="11">
        <v>399</v>
      </c>
      <c r="AF72" s="13"/>
      <c r="AG72" s="13"/>
      <c r="AH72" s="13"/>
    </row>
    <row r="73" spans="1:34">
      <c r="A73" s="13" t="s">
        <v>87</v>
      </c>
      <c r="B73" s="13">
        <v>220029640</v>
      </c>
      <c r="C73" s="13" t="s">
        <v>88</v>
      </c>
      <c r="D73" s="13" t="s">
        <v>89</v>
      </c>
      <c r="E73" s="13">
        <v>400454000062</v>
      </c>
      <c r="F73" s="13" t="s">
        <v>90</v>
      </c>
      <c r="G73" s="13" t="s">
        <v>90</v>
      </c>
      <c r="H73" s="13" t="s">
        <v>91</v>
      </c>
      <c r="I73" s="13" t="s">
        <v>92</v>
      </c>
      <c r="J73" s="14" t="s">
        <v>93</v>
      </c>
      <c r="K73" s="13"/>
      <c r="L73" s="13">
        <v>0</v>
      </c>
      <c r="M73" s="13" t="s">
        <v>101</v>
      </c>
      <c r="N73" s="13" t="s">
        <v>91</v>
      </c>
      <c r="O73" s="13">
        <v>0</v>
      </c>
      <c r="P73" s="11">
        <v>385</v>
      </c>
      <c r="Q73" s="11">
        <v>10.44</v>
      </c>
      <c r="R73" s="11">
        <v>1329.578</v>
      </c>
      <c r="S73" s="11">
        <v>0.1</v>
      </c>
      <c r="T73" s="11">
        <v>6.75</v>
      </c>
      <c r="U73" s="11">
        <v>0.11</v>
      </c>
      <c r="V73" s="11">
        <v>0.1</v>
      </c>
      <c r="W73" s="11">
        <v>7.0000000000000007E-2</v>
      </c>
      <c r="X73" s="11">
        <v>399</v>
      </c>
      <c r="Y73" s="11">
        <v>399</v>
      </c>
      <c r="Z73" s="11">
        <v>399</v>
      </c>
      <c r="AA73" s="11">
        <v>399</v>
      </c>
      <c r="AB73" s="11">
        <v>399</v>
      </c>
      <c r="AC73" s="11">
        <v>399</v>
      </c>
      <c r="AD73" s="11">
        <v>399</v>
      </c>
      <c r="AE73" s="11">
        <v>399</v>
      </c>
      <c r="AF73" s="13"/>
      <c r="AG73" s="13"/>
      <c r="AH73" s="13"/>
    </row>
    <row r="74" spans="1:34">
      <c r="A74" s="13" t="s">
        <v>87</v>
      </c>
      <c r="B74" s="13">
        <v>220029640</v>
      </c>
      <c r="C74" s="13" t="s">
        <v>88</v>
      </c>
      <c r="D74" s="13" t="s">
        <v>89</v>
      </c>
      <c r="E74" s="13">
        <v>400454000062</v>
      </c>
      <c r="F74" s="13" t="s">
        <v>90</v>
      </c>
      <c r="G74" s="13" t="s">
        <v>90</v>
      </c>
      <c r="H74" s="13" t="s">
        <v>91</v>
      </c>
      <c r="I74" s="13" t="s">
        <v>92</v>
      </c>
      <c r="J74" s="14" t="s">
        <v>93</v>
      </c>
      <c r="K74" s="13"/>
      <c r="L74" s="13">
        <v>0</v>
      </c>
      <c r="M74" s="13" t="s">
        <v>101</v>
      </c>
      <c r="N74" s="13" t="s">
        <v>91</v>
      </c>
      <c r="O74" s="13">
        <v>0</v>
      </c>
      <c r="P74" s="11">
        <v>390</v>
      </c>
      <c r="Q74" s="11">
        <v>9.61</v>
      </c>
      <c r="R74" s="11">
        <v>1329.499</v>
      </c>
      <c r="S74" s="11">
        <v>0.1</v>
      </c>
      <c r="T74" s="11">
        <v>6.76</v>
      </c>
      <c r="U74" s="11">
        <v>0.11</v>
      </c>
      <c r="V74" s="11">
        <v>0.1</v>
      </c>
      <c r="W74" s="11">
        <v>7.0000000000000007E-2</v>
      </c>
      <c r="X74" s="11">
        <v>399</v>
      </c>
      <c r="Y74" s="11">
        <v>399</v>
      </c>
      <c r="Z74" s="11">
        <v>399</v>
      </c>
      <c r="AA74" s="11">
        <v>399</v>
      </c>
      <c r="AB74" s="11">
        <v>399</v>
      </c>
      <c r="AC74" s="11">
        <v>399</v>
      </c>
      <c r="AD74" s="11">
        <v>399</v>
      </c>
      <c r="AE74" s="11">
        <v>399</v>
      </c>
      <c r="AF74" s="13"/>
      <c r="AG74" s="13"/>
      <c r="AH74" s="13"/>
    </row>
    <row r="75" spans="1:34">
      <c r="A75" s="13" t="s">
        <v>87</v>
      </c>
      <c r="B75" s="13">
        <v>220029640</v>
      </c>
      <c r="C75" s="13" t="s">
        <v>88</v>
      </c>
      <c r="D75" s="13" t="s">
        <v>89</v>
      </c>
      <c r="E75" s="13">
        <v>400454000062</v>
      </c>
      <c r="F75" s="13" t="s">
        <v>90</v>
      </c>
      <c r="G75" s="13" t="s">
        <v>90</v>
      </c>
      <c r="H75" s="13" t="s">
        <v>91</v>
      </c>
      <c r="I75" s="13" t="s">
        <v>92</v>
      </c>
      <c r="J75" s="14" t="s">
        <v>93</v>
      </c>
      <c r="K75" s="13"/>
      <c r="L75" s="13">
        <v>0</v>
      </c>
      <c r="M75" s="13" t="s">
        <v>101</v>
      </c>
      <c r="N75" s="13" t="s">
        <v>91</v>
      </c>
      <c r="O75" s="13">
        <v>0</v>
      </c>
      <c r="P75" s="11">
        <v>395</v>
      </c>
      <c r="Q75" s="11">
        <v>8.81</v>
      </c>
      <c r="R75" s="11">
        <v>1329.421</v>
      </c>
      <c r="S75" s="11">
        <v>0.1</v>
      </c>
      <c r="T75" s="11">
        <v>6.73</v>
      </c>
      <c r="U75" s="11">
        <v>0.11</v>
      </c>
      <c r="V75" s="11">
        <v>0.1</v>
      </c>
      <c r="W75" s="11">
        <v>7.0000000000000007E-2</v>
      </c>
      <c r="X75" s="11">
        <v>399</v>
      </c>
      <c r="Y75" s="11">
        <v>399</v>
      </c>
      <c r="Z75" s="11">
        <v>399</v>
      </c>
      <c r="AA75" s="11">
        <v>399</v>
      </c>
      <c r="AB75" s="11">
        <v>399</v>
      </c>
      <c r="AC75" s="11">
        <v>399</v>
      </c>
      <c r="AD75" s="11">
        <v>399</v>
      </c>
      <c r="AE75" s="11">
        <v>399</v>
      </c>
      <c r="AF75" s="13"/>
      <c r="AG75" s="13"/>
      <c r="AH75" s="13"/>
    </row>
    <row r="76" spans="1:34">
      <c r="A76" s="13" t="s">
        <v>87</v>
      </c>
      <c r="B76" s="13">
        <v>220029640</v>
      </c>
      <c r="C76" s="13" t="s">
        <v>88</v>
      </c>
      <c r="D76" s="13" t="s">
        <v>89</v>
      </c>
      <c r="E76" s="13">
        <v>400454000062</v>
      </c>
      <c r="F76" s="13" t="s">
        <v>90</v>
      </c>
      <c r="G76" s="13" t="s">
        <v>90</v>
      </c>
      <c r="H76" s="13" t="s">
        <v>91</v>
      </c>
      <c r="I76" s="13" t="s">
        <v>92</v>
      </c>
      <c r="J76" s="14" t="s">
        <v>93</v>
      </c>
      <c r="K76" s="13"/>
      <c r="L76" s="13">
        <v>0</v>
      </c>
      <c r="M76" s="13" t="s">
        <v>101</v>
      </c>
      <c r="N76" s="13" t="s">
        <v>91</v>
      </c>
      <c r="O76" s="13">
        <v>0</v>
      </c>
      <c r="P76" s="11">
        <v>400</v>
      </c>
      <c r="Q76" s="11">
        <v>7.98</v>
      </c>
      <c r="R76" s="11">
        <v>1329.3440000000001</v>
      </c>
      <c r="S76" s="11">
        <v>0.09</v>
      </c>
      <c r="T76" s="11">
        <v>6.72</v>
      </c>
      <c r="U76" s="11">
        <v>0.11</v>
      </c>
      <c r="V76" s="11">
        <v>0.1</v>
      </c>
      <c r="W76" s="11">
        <v>7.0000000000000007E-2</v>
      </c>
      <c r="X76" s="11">
        <v>399</v>
      </c>
      <c r="Y76" s="11">
        <v>399</v>
      </c>
      <c r="Z76" s="11">
        <v>399</v>
      </c>
      <c r="AA76" s="11">
        <v>399</v>
      </c>
      <c r="AB76" s="11">
        <v>399</v>
      </c>
      <c r="AC76" s="11">
        <v>399</v>
      </c>
      <c r="AD76" s="11">
        <v>399</v>
      </c>
      <c r="AE76" s="11">
        <v>399</v>
      </c>
      <c r="AF76" s="13"/>
      <c r="AG76" s="13"/>
      <c r="AH76" s="13"/>
    </row>
    <row r="77" spans="1:34">
      <c r="A77" s="13" t="s">
        <v>87</v>
      </c>
      <c r="B77" s="13">
        <v>220029640</v>
      </c>
      <c r="C77" s="13" t="s">
        <v>88</v>
      </c>
      <c r="D77" s="13" t="s">
        <v>89</v>
      </c>
      <c r="E77" s="13">
        <v>400454000062</v>
      </c>
      <c r="F77" s="13" t="s">
        <v>90</v>
      </c>
      <c r="G77" s="13" t="s">
        <v>90</v>
      </c>
      <c r="H77" s="13" t="s">
        <v>91</v>
      </c>
      <c r="I77" s="13" t="s">
        <v>92</v>
      </c>
      <c r="J77" s="14" t="s">
        <v>93</v>
      </c>
      <c r="K77" s="13"/>
      <c r="L77" s="13">
        <v>0</v>
      </c>
      <c r="M77" s="13" t="s">
        <v>101</v>
      </c>
      <c r="N77" s="13" t="s">
        <v>91</v>
      </c>
      <c r="O77" s="13">
        <v>0</v>
      </c>
      <c r="P77" s="13">
        <v>405</v>
      </c>
      <c r="Q77" s="13">
        <v>7.17</v>
      </c>
      <c r="R77" s="13">
        <v>1329.2670000000001</v>
      </c>
      <c r="S77" s="13">
        <v>0.1</v>
      </c>
      <c r="T77" s="13">
        <v>6.75</v>
      </c>
      <c r="U77" s="13">
        <v>0.11</v>
      </c>
      <c r="V77" s="13">
        <v>0.1</v>
      </c>
      <c r="W77" s="13">
        <v>7.0000000000000007E-2</v>
      </c>
      <c r="X77" s="13">
        <v>399</v>
      </c>
      <c r="Y77" s="13">
        <v>399</v>
      </c>
      <c r="Z77" s="13">
        <v>399</v>
      </c>
      <c r="AA77" s="13">
        <v>399</v>
      </c>
      <c r="AB77" s="13">
        <v>399</v>
      </c>
      <c r="AC77" s="13">
        <v>399</v>
      </c>
      <c r="AD77" s="13">
        <v>399</v>
      </c>
      <c r="AE77" s="13">
        <v>399</v>
      </c>
      <c r="AF77" s="13"/>
      <c r="AG77" s="13"/>
      <c r="AH77" s="13"/>
    </row>
    <row r="78" spans="1:34">
      <c r="A78" s="13" t="s">
        <v>87</v>
      </c>
      <c r="B78" s="13">
        <v>220029640</v>
      </c>
      <c r="C78" s="13" t="s">
        <v>88</v>
      </c>
      <c r="D78" s="13" t="s">
        <v>89</v>
      </c>
      <c r="E78" s="13">
        <v>400454000062</v>
      </c>
      <c r="F78" s="13" t="s">
        <v>90</v>
      </c>
      <c r="G78" s="13" t="s">
        <v>90</v>
      </c>
      <c r="H78" s="13" t="s">
        <v>91</v>
      </c>
      <c r="I78" s="13" t="s">
        <v>92</v>
      </c>
      <c r="J78" s="14" t="s">
        <v>93</v>
      </c>
      <c r="K78" s="13"/>
      <c r="L78" s="13">
        <v>0</v>
      </c>
      <c r="M78" s="13" t="s">
        <v>101</v>
      </c>
      <c r="N78" s="13" t="s">
        <v>91</v>
      </c>
      <c r="O78" s="13">
        <v>0</v>
      </c>
      <c r="P78" s="13">
        <v>410</v>
      </c>
      <c r="Q78" s="13">
        <v>6.33</v>
      </c>
      <c r="R78" s="13">
        <v>1329.19</v>
      </c>
      <c r="S78" s="13">
        <v>0.09</v>
      </c>
      <c r="T78" s="13">
        <v>6.87</v>
      </c>
      <c r="U78" s="13">
        <v>0.11</v>
      </c>
      <c r="V78" s="13">
        <v>0.1</v>
      </c>
      <c r="W78" s="13">
        <v>7.0000000000000007E-2</v>
      </c>
      <c r="X78" s="13">
        <v>399</v>
      </c>
      <c r="Y78" s="13">
        <v>399</v>
      </c>
      <c r="Z78" s="13">
        <v>399</v>
      </c>
      <c r="AA78" s="13">
        <v>399</v>
      </c>
      <c r="AB78" s="13">
        <v>399</v>
      </c>
      <c r="AC78" s="13">
        <v>399</v>
      </c>
      <c r="AD78" s="13">
        <v>399</v>
      </c>
      <c r="AE78" s="13">
        <v>399</v>
      </c>
      <c r="AF78" s="13"/>
      <c r="AG78" s="13"/>
      <c r="AH78" s="13"/>
    </row>
    <row r="79" spans="1:34">
      <c r="A79" s="13" t="s">
        <v>87</v>
      </c>
      <c r="B79" s="13">
        <v>220029640</v>
      </c>
      <c r="C79" s="13" t="s">
        <v>88</v>
      </c>
      <c r="D79" s="13" t="s">
        <v>89</v>
      </c>
      <c r="E79" s="13">
        <v>400454000062</v>
      </c>
      <c r="F79" s="13" t="s">
        <v>90</v>
      </c>
      <c r="G79" s="13" t="s">
        <v>90</v>
      </c>
      <c r="H79" s="13" t="s">
        <v>91</v>
      </c>
      <c r="I79" s="13" t="s">
        <v>92</v>
      </c>
      <c r="J79" s="14" t="s">
        <v>93</v>
      </c>
      <c r="K79" s="13"/>
      <c r="L79" s="13">
        <v>0</v>
      </c>
      <c r="M79" s="13" t="s">
        <v>101</v>
      </c>
      <c r="N79" s="13" t="s">
        <v>91</v>
      </c>
      <c r="O79" s="13">
        <v>0</v>
      </c>
      <c r="P79" s="13">
        <v>415</v>
      </c>
      <c r="Q79" s="13">
        <v>5.54</v>
      </c>
      <c r="R79" s="13">
        <v>1329.1079999999999</v>
      </c>
      <c r="S79" s="13">
        <v>0.1</v>
      </c>
      <c r="T79" s="13">
        <v>6.82</v>
      </c>
      <c r="U79" s="13">
        <v>0.11</v>
      </c>
      <c r="V79" s="13">
        <v>0.1</v>
      </c>
      <c r="W79" s="13">
        <v>7.0000000000000007E-2</v>
      </c>
      <c r="X79" s="13">
        <v>399</v>
      </c>
      <c r="Y79" s="13">
        <v>399</v>
      </c>
      <c r="Z79" s="13">
        <v>399</v>
      </c>
      <c r="AA79" s="13">
        <v>399</v>
      </c>
      <c r="AB79" s="13">
        <v>399</v>
      </c>
      <c r="AC79" s="13">
        <v>399</v>
      </c>
      <c r="AD79" s="13">
        <v>399</v>
      </c>
      <c r="AE79" s="13">
        <v>399</v>
      </c>
      <c r="AF79" s="13"/>
      <c r="AG79" s="13"/>
      <c r="AH79" s="13"/>
    </row>
    <row r="80" spans="1:34">
      <c r="A80" s="13" t="s">
        <v>87</v>
      </c>
      <c r="B80" s="13">
        <v>220029640</v>
      </c>
      <c r="C80" s="13" t="s">
        <v>88</v>
      </c>
      <c r="D80" s="13" t="s">
        <v>89</v>
      </c>
      <c r="E80" s="13">
        <v>400454000062</v>
      </c>
      <c r="F80" s="13" t="s">
        <v>90</v>
      </c>
      <c r="G80" s="13" t="s">
        <v>90</v>
      </c>
      <c r="H80" s="13" t="s">
        <v>91</v>
      </c>
      <c r="I80" s="13" t="s">
        <v>92</v>
      </c>
      <c r="J80" s="14" t="s">
        <v>93</v>
      </c>
      <c r="K80" s="13"/>
      <c r="L80" s="13">
        <v>0</v>
      </c>
      <c r="M80" s="13" t="s">
        <v>101</v>
      </c>
      <c r="N80" s="13" t="s">
        <v>91</v>
      </c>
      <c r="O80" s="13">
        <v>0</v>
      </c>
      <c r="P80" s="13">
        <v>420</v>
      </c>
      <c r="Q80" s="13">
        <v>4.6900000000000004</v>
      </c>
      <c r="R80" s="13">
        <v>1329.0319999999999</v>
      </c>
      <c r="S80" s="13">
        <v>0.09</v>
      </c>
      <c r="T80" s="13">
        <v>6.84</v>
      </c>
      <c r="U80" s="13">
        <v>0.11</v>
      </c>
      <c r="V80" s="13">
        <v>0.1</v>
      </c>
      <c r="W80" s="13">
        <v>7.0000000000000007E-2</v>
      </c>
      <c r="X80" s="13">
        <v>399</v>
      </c>
      <c r="Y80" s="13">
        <v>399</v>
      </c>
      <c r="Z80" s="13">
        <v>399</v>
      </c>
      <c r="AA80" s="13">
        <v>399</v>
      </c>
      <c r="AB80" s="13">
        <v>399</v>
      </c>
      <c r="AC80" s="13">
        <v>399</v>
      </c>
      <c r="AD80" s="13">
        <v>399</v>
      </c>
      <c r="AE80" s="13">
        <v>399</v>
      </c>
      <c r="AF80" s="13"/>
      <c r="AG80" s="13"/>
      <c r="AH80" s="13"/>
    </row>
    <row r="81" spans="1:34">
      <c r="A81" s="13" t="s">
        <v>87</v>
      </c>
      <c r="B81" s="13">
        <v>220029640</v>
      </c>
      <c r="C81" s="13" t="s">
        <v>88</v>
      </c>
      <c r="D81" s="13" t="s">
        <v>89</v>
      </c>
      <c r="E81" s="13">
        <v>400454000062</v>
      </c>
      <c r="F81" s="13" t="s">
        <v>90</v>
      </c>
      <c r="G81" s="13" t="s">
        <v>90</v>
      </c>
      <c r="H81" s="13" t="s">
        <v>91</v>
      </c>
      <c r="I81" s="13" t="s">
        <v>92</v>
      </c>
      <c r="J81" s="14" t="s">
        <v>93</v>
      </c>
      <c r="K81" s="13"/>
      <c r="L81" s="13">
        <v>0</v>
      </c>
      <c r="M81" s="13" t="s">
        <v>101</v>
      </c>
      <c r="N81" s="13" t="s">
        <v>91</v>
      </c>
      <c r="O81" s="13">
        <v>0</v>
      </c>
      <c r="P81" s="13">
        <v>425</v>
      </c>
      <c r="Q81" s="13">
        <v>3.91</v>
      </c>
      <c r="R81" s="13">
        <v>1328.953</v>
      </c>
      <c r="S81" s="13">
        <v>0.1</v>
      </c>
      <c r="T81" s="13">
        <v>6.91</v>
      </c>
      <c r="U81" s="13">
        <v>0.11</v>
      </c>
      <c r="V81" s="13">
        <v>0.1</v>
      </c>
      <c r="W81" s="13">
        <v>7.0000000000000007E-2</v>
      </c>
      <c r="X81" s="13">
        <v>399</v>
      </c>
      <c r="Y81" s="13">
        <v>399</v>
      </c>
      <c r="Z81" s="13">
        <v>399</v>
      </c>
      <c r="AA81" s="13">
        <v>399</v>
      </c>
      <c r="AB81" s="13">
        <v>399</v>
      </c>
      <c r="AC81" s="13">
        <v>399</v>
      </c>
      <c r="AD81" s="13">
        <v>399</v>
      </c>
      <c r="AE81" s="13">
        <v>399</v>
      </c>
      <c r="AF81" s="13"/>
      <c r="AG81" s="13"/>
      <c r="AH81" s="13"/>
    </row>
    <row r="82" spans="1:34">
      <c r="A82" s="13" t="s">
        <v>87</v>
      </c>
      <c r="B82" s="13">
        <v>220029640</v>
      </c>
      <c r="C82" s="13" t="s">
        <v>88</v>
      </c>
      <c r="D82" s="13" t="s">
        <v>89</v>
      </c>
      <c r="E82" s="13">
        <v>400454000062</v>
      </c>
      <c r="F82" s="13" t="s">
        <v>90</v>
      </c>
      <c r="G82" s="13" t="s">
        <v>90</v>
      </c>
      <c r="H82" s="13" t="s">
        <v>91</v>
      </c>
      <c r="I82" s="13" t="s">
        <v>92</v>
      </c>
      <c r="J82" s="14" t="s">
        <v>93</v>
      </c>
      <c r="K82" s="13"/>
      <c r="L82" s="13">
        <v>0</v>
      </c>
      <c r="M82" s="13" t="s">
        <v>101</v>
      </c>
      <c r="N82" s="13" t="s">
        <v>91</v>
      </c>
      <c r="O82" s="13">
        <v>0</v>
      </c>
      <c r="P82" s="13">
        <v>430</v>
      </c>
      <c r="Q82" s="13">
        <v>3.06</v>
      </c>
      <c r="R82" s="13">
        <v>1328.8779999999999</v>
      </c>
      <c r="S82" s="13">
        <v>0.09</v>
      </c>
      <c r="T82" s="13">
        <v>6.96</v>
      </c>
      <c r="U82" s="13">
        <v>0.11</v>
      </c>
      <c r="V82" s="13">
        <v>0.1</v>
      </c>
      <c r="W82" s="13">
        <v>7.0000000000000007E-2</v>
      </c>
      <c r="X82" s="13">
        <v>399</v>
      </c>
      <c r="Y82" s="13">
        <v>399</v>
      </c>
      <c r="Z82" s="13">
        <v>399</v>
      </c>
      <c r="AA82" s="13">
        <v>399</v>
      </c>
      <c r="AB82" s="13">
        <v>399</v>
      </c>
      <c r="AC82" s="13">
        <v>399</v>
      </c>
      <c r="AD82" s="13">
        <v>399</v>
      </c>
      <c r="AE82" s="13">
        <v>399</v>
      </c>
      <c r="AF82" s="13"/>
      <c r="AG82" s="13"/>
      <c r="AH82" s="13"/>
    </row>
    <row r="83" spans="1:34">
      <c r="A83" s="13" t="s">
        <v>87</v>
      </c>
      <c r="B83" s="13">
        <v>220029640</v>
      </c>
      <c r="C83" s="13" t="s">
        <v>88</v>
      </c>
      <c r="D83" s="13" t="s">
        <v>89</v>
      </c>
      <c r="E83" s="13">
        <v>400454000062</v>
      </c>
      <c r="F83" s="13" t="s">
        <v>90</v>
      </c>
      <c r="G83" s="13" t="s">
        <v>90</v>
      </c>
      <c r="H83" s="13" t="s">
        <v>91</v>
      </c>
      <c r="I83" s="13" t="s">
        <v>92</v>
      </c>
      <c r="J83" s="14" t="s">
        <v>93</v>
      </c>
      <c r="K83" s="13"/>
      <c r="L83" s="13">
        <v>0</v>
      </c>
      <c r="M83" s="13" t="s">
        <v>101</v>
      </c>
      <c r="N83" s="13" t="s">
        <v>91</v>
      </c>
      <c r="O83" s="13">
        <v>0</v>
      </c>
      <c r="P83" s="13">
        <v>435</v>
      </c>
      <c r="Q83" s="13">
        <v>2.2999999999999998</v>
      </c>
      <c r="R83" s="13">
        <v>1328.796</v>
      </c>
      <c r="S83" s="13">
        <v>0.11</v>
      </c>
      <c r="T83" s="13">
        <v>6.96</v>
      </c>
      <c r="U83" s="13">
        <v>0.11</v>
      </c>
      <c r="V83" s="13">
        <v>0.1</v>
      </c>
      <c r="W83" s="13">
        <v>7.0000000000000007E-2</v>
      </c>
      <c r="X83" s="13">
        <v>399</v>
      </c>
      <c r="Y83" s="13">
        <v>399</v>
      </c>
      <c r="Z83" s="13">
        <v>399</v>
      </c>
      <c r="AA83" s="13">
        <v>399</v>
      </c>
      <c r="AB83" s="13">
        <v>399</v>
      </c>
      <c r="AC83" s="13">
        <v>399</v>
      </c>
      <c r="AD83" s="13">
        <v>399</v>
      </c>
      <c r="AE83" s="13">
        <v>399</v>
      </c>
      <c r="AF83" s="13"/>
      <c r="AG83" s="13"/>
      <c r="AH83" s="13"/>
    </row>
    <row r="84" spans="1:34">
      <c r="A84" s="13" t="s">
        <v>87</v>
      </c>
      <c r="B84" s="13">
        <v>220029640</v>
      </c>
      <c r="C84" s="13" t="s">
        <v>88</v>
      </c>
      <c r="D84" s="13" t="s">
        <v>89</v>
      </c>
      <c r="E84" s="13">
        <v>400454000062</v>
      </c>
      <c r="F84" s="13" t="s">
        <v>90</v>
      </c>
      <c r="G84" s="13" t="s">
        <v>90</v>
      </c>
      <c r="H84" s="13" t="s">
        <v>91</v>
      </c>
      <c r="I84" s="13" t="s">
        <v>92</v>
      </c>
      <c r="J84" s="14" t="s">
        <v>93</v>
      </c>
      <c r="K84" s="13"/>
      <c r="L84" s="13">
        <v>0</v>
      </c>
      <c r="M84" s="13" t="s">
        <v>101</v>
      </c>
      <c r="N84" s="13" t="s">
        <v>91</v>
      </c>
      <c r="O84" s="13">
        <v>0</v>
      </c>
      <c r="P84" s="13">
        <v>440</v>
      </c>
      <c r="Q84" s="13">
        <v>1.45</v>
      </c>
      <c r="R84" s="13">
        <v>1328.722</v>
      </c>
      <c r="S84" s="13">
        <v>0.09</v>
      </c>
      <c r="T84" s="13">
        <v>7.01</v>
      </c>
      <c r="U84" s="13">
        <v>0.11</v>
      </c>
      <c r="V84" s="13">
        <v>0.1</v>
      </c>
      <c r="W84" s="13">
        <v>7.0000000000000007E-2</v>
      </c>
      <c r="X84" s="13">
        <v>399</v>
      </c>
      <c r="Y84" s="13">
        <v>399</v>
      </c>
      <c r="Z84" s="13">
        <v>399</v>
      </c>
      <c r="AA84" s="13">
        <v>399</v>
      </c>
      <c r="AB84" s="13">
        <v>399</v>
      </c>
      <c r="AC84" s="13">
        <v>399</v>
      </c>
      <c r="AD84" s="13">
        <v>399</v>
      </c>
      <c r="AE84" s="13">
        <v>399</v>
      </c>
      <c r="AF84" s="13"/>
      <c r="AG84" s="13"/>
      <c r="AH84" s="13"/>
    </row>
    <row r="85" spans="1:34">
      <c r="A85" s="13" t="s">
        <v>87</v>
      </c>
      <c r="B85" s="13">
        <v>220029640</v>
      </c>
      <c r="C85" s="13" t="s">
        <v>88</v>
      </c>
      <c r="D85" s="13" t="s">
        <v>89</v>
      </c>
      <c r="E85" s="13">
        <v>400454000062</v>
      </c>
      <c r="F85" s="13" t="s">
        <v>90</v>
      </c>
      <c r="G85" s="13" t="s">
        <v>90</v>
      </c>
      <c r="H85" s="13" t="s">
        <v>91</v>
      </c>
      <c r="I85" s="13" t="s">
        <v>92</v>
      </c>
      <c r="J85" s="14" t="s">
        <v>93</v>
      </c>
      <c r="K85" s="13"/>
      <c r="L85" s="13">
        <v>0</v>
      </c>
      <c r="M85" s="13" t="s">
        <v>101</v>
      </c>
      <c r="N85" s="13" t="s">
        <v>91</v>
      </c>
      <c r="O85" s="13">
        <v>0</v>
      </c>
      <c r="P85" s="13">
        <v>445</v>
      </c>
      <c r="Q85" s="13">
        <v>0.65</v>
      </c>
      <c r="R85" s="13">
        <v>1328.645</v>
      </c>
      <c r="S85" s="13">
        <v>0.1</v>
      </c>
      <c r="T85" s="13">
        <v>6.98</v>
      </c>
      <c r="U85" s="13">
        <v>0.11</v>
      </c>
      <c r="V85" s="13">
        <v>0.1</v>
      </c>
      <c r="W85" s="13">
        <v>7.0000000000000007E-2</v>
      </c>
      <c r="X85" s="13">
        <v>399</v>
      </c>
      <c r="Y85" s="13">
        <v>399</v>
      </c>
      <c r="Z85" s="13">
        <v>399</v>
      </c>
      <c r="AA85" s="13">
        <v>399</v>
      </c>
      <c r="AB85" s="13">
        <v>399</v>
      </c>
      <c r="AC85" s="13">
        <v>399</v>
      </c>
      <c r="AD85" s="13">
        <v>399</v>
      </c>
      <c r="AE85" s="13">
        <v>399</v>
      </c>
      <c r="AF85" s="13"/>
      <c r="AG85" s="13"/>
      <c r="AH85" s="13"/>
    </row>
    <row r="86" spans="1:34">
      <c r="A86" s="13" t="s">
        <v>87</v>
      </c>
      <c r="B86" s="13">
        <v>220029640</v>
      </c>
      <c r="C86" s="13" t="s">
        <v>88</v>
      </c>
      <c r="D86" s="13" t="s">
        <v>89</v>
      </c>
      <c r="E86" s="13">
        <v>400454000062</v>
      </c>
      <c r="F86" s="13" t="s">
        <v>90</v>
      </c>
      <c r="G86" s="13" t="s">
        <v>90</v>
      </c>
      <c r="H86" s="13" t="s">
        <v>91</v>
      </c>
      <c r="I86" s="13" t="s">
        <v>92</v>
      </c>
      <c r="J86" s="14" t="s">
        <v>93</v>
      </c>
      <c r="K86" s="13"/>
      <c r="L86" s="13">
        <v>0</v>
      </c>
      <c r="M86" s="13" t="s">
        <v>101</v>
      </c>
      <c r="N86" s="13" t="s">
        <v>91</v>
      </c>
      <c r="O86" s="13">
        <v>0</v>
      </c>
      <c r="P86" s="13">
        <v>450</v>
      </c>
      <c r="Q86" s="13">
        <v>-0.16</v>
      </c>
      <c r="R86" s="13">
        <v>1328.566</v>
      </c>
      <c r="S86" s="13">
        <v>0.1</v>
      </c>
      <c r="T86" s="13">
        <v>7.02</v>
      </c>
      <c r="U86" s="13">
        <v>0.11</v>
      </c>
      <c r="V86" s="13">
        <v>0.1</v>
      </c>
      <c r="W86" s="13">
        <v>7.0000000000000007E-2</v>
      </c>
      <c r="X86" s="13">
        <v>399</v>
      </c>
      <c r="Y86" s="13">
        <v>399</v>
      </c>
      <c r="Z86" s="13">
        <v>399</v>
      </c>
      <c r="AA86" s="13">
        <v>399</v>
      </c>
      <c r="AB86" s="13">
        <v>399</v>
      </c>
      <c r="AC86" s="13">
        <v>399</v>
      </c>
      <c r="AD86" s="13">
        <v>399</v>
      </c>
      <c r="AE86" s="13">
        <v>399</v>
      </c>
      <c r="AF86" s="13"/>
      <c r="AG86" s="13"/>
      <c r="AH86" s="13"/>
    </row>
    <row r="87" spans="1:34">
      <c r="A87" s="13"/>
      <c r="B87" s="13"/>
      <c r="C87" s="13"/>
      <c r="D87" s="13"/>
      <c r="E87" s="13"/>
      <c r="F87" s="13"/>
      <c r="G87" s="13"/>
      <c r="H87" s="13"/>
      <c r="I87" s="13"/>
      <c r="J87" s="14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>
      <c r="A88" s="13"/>
      <c r="B88" s="13"/>
      <c r="C88" s="13"/>
      <c r="D88" s="13"/>
      <c r="E88" s="13"/>
      <c r="F88" s="13"/>
      <c r="G88" s="13"/>
      <c r="H88" s="13"/>
      <c r="I88" s="13"/>
      <c r="J88" s="14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>
      <c r="A89" s="13"/>
      <c r="B89" s="13"/>
      <c r="C89" s="13"/>
      <c r="D89" s="13"/>
      <c r="E89" s="13"/>
      <c r="F89" s="13"/>
      <c r="G89" s="13"/>
      <c r="H89" s="13"/>
      <c r="I89" s="13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>
      <c r="A90" s="13"/>
      <c r="B90" s="13"/>
      <c r="C90" s="13"/>
      <c r="D90" s="13"/>
      <c r="E90" s="13"/>
      <c r="F90" s="13"/>
      <c r="G90" s="13"/>
      <c r="H90" s="13"/>
      <c r="I90" s="13"/>
      <c r="J90" s="14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>
      <c r="M93" s="20"/>
      <c r="N93" s="20"/>
      <c r="O93" s="20"/>
      <c r="P93" s="7"/>
      <c r="Q93" s="7"/>
      <c r="R93" s="7"/>
      <c r="S93" s="7"/>
      <c r="T93" s="7"/>
      <c r="U93" s="7"/>
      <c r="V93" s="7"/>
      <c r="W93" s="7"/>
      <c r="X93" s="8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>
      <c r="M94" s="20"/>
      <c r="N94" s="20"/>
      <c r="O94" s="20"/>
      <c r="P94" s="4"/>
      <c r="Q94" s="4"/>
      <c r="R94" s="4"/>
      <c r="S94" s="4"/>
      <c r="T94" s="4"/>
      <c r="U94" s="4"/>
      <c r="V94" s="4"/>
      <c r="W94" s="4"/>
      <c r="X94" s="5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>
      <c r="M95" s="20"/>
      <c r="N95" s="20"/>
      <c r="O95" s="20"/>
      <c r="P95" s="4"/>
      <c r="Q95" s="4"/>
      <c r="R95" s="4"/>
      <c r="S95" s="4"/>
      <c r="T95" s="4"/>
      <c r="U95" s="4"/>
      <c r="V95" s="4"/>
      <c r="W95" s="4"/>
      <c r="X95" s="5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>
      <c r="M96" s="20"/>
      <c r="N96" s="20"/>
      <c r="O96" s="20"/>
      <c r="P96" s="4"/>
      <c r="Q96" s="4"/>
      <c r="R96" s="4"/>
      <c r="S96" s="4"/>
      <c r="T96" s="4"/>
      <c r="U96" s="4"/>
      <c r="V96" s="4"/>
      <c r="W96" s="4"/>
      <c r="X96" s="5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3:34">
      <c r="M97" s="20"/>
      <c r="N97" s="20"/>
      <c r="O97" s="20"/>
      <c r="P97" s="4"/>
      <c r="Q97" s="4"/>
      <c r="R97" s="4"/>
      <c r="S97" s="4"/>
      <c r="T97" s="4"/>
      <c r="U97" s="4"/>
      <c r="V97" s="4"/>
      <c r="W97" s="4"/>
      <c r="X97" s="5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3:34">
      <c r="M98" s="20"/>
      <c r="N98" s="20"/>
      <c r="O98" s="20"/>
      <c r="P98" s="4"/>
      <c r="Q98" s="4"/>
      <c r="R98" s="4"/>
      <c r="S98" s="4"/>
      <c r="T98" s="4"/>
      <c r="U98" s="4"/>
      <c r="V98" s="4"/>
      <c r="W98" s="4"/>
      <c r="X98" s="5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3:34">
      <c r="M99" s="20"/>
      <c r="N99" s="20"/>
      <c r="O99" s="20"/>
      <c r="P99" s="4"/>
      <c r="Q99" s="4"/>
      <c r="R99" s="4"/>
      <c r="S99" s="4"/>
      <c r="T99" s="4"/>
      <c r="U99" s="4"/>
      <c r="V99" s="4"/>
      <c r="W99" s="4"/>
      <c r="X99" s="5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3:34">
      <c r="M100" s="20"/>
      <c r="N100" s="20"/>
      <c r="O100" s="20"/>
      <c r="P100" s="4"/>
      <c r="Q100" s="4"/>
      <c r="R100" s="4"/>
      <c r="S100" s="4"/>
      <c r="T100" s="4"/>
      <c r="U100" s="4"/>
      <c r="V100" s="4"/>
      <c r="W100" s="4"/>
      <c r="X100" s="5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3:34">
      <c r="M101" s="20"/>
      <c r="N101" s="20"/>
      <c r="O101" s="20"/>
      <c r="P101" s="4"/>
      <c r="Q101" s="4"/>
      <c r="R101" s="4"/>
      <c r="S101" s="4"/>
      <c r="T101" s="4"/>
      <c r="U101" s="4"/>
      <c r="V101" s="4"/>
      <c r="W101" s="4"/>
      <c r="X101" s="5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3:34">
      <c r="M102" s="20"/>
      <c r="N102" s="20"/>
      <c r="O102" s="20"/>
      <c r="P102" s="4"/>
      <c r="Q102" s="4"/>
      <c r="R102" s="4"/>
      <c r="S102" s="4"/>
      <c r="T102" s="4"/>
      <c r="U102" s="4"/>
      <c r="V102" s="4"/>
      <c r="W102" s="4"/>
      <c r="X102" s="5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3:34">
      <c r="M103" s="20"/>
      <c r="N103" s="20"/>
      <c r="O103" s="20"/>
      <c r="P103" s="4"/>
      <c r="Q103" s="4"/>
      <c r="R103" s="4"/>
      <c r="S103" s="4"/>
      <c r="T103" s="4"/>
      <c r="U103" s="4"/>
      <c r="V103" s="4"/>
      <c r="W103" s="4"/>
      <c r="X103" s="5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3:34">
      <c r="M104" s="20"/>
      <c r="N104" s="20"/>
      <c r="O104" s="20"/>
      <c r="P104" s="4"/>
      <c r="Q104" s="4"/>
      <c r="R104" s="4"/>
      <c r="S104" s="4"/>
      <c r="T104" s="4"/>
      <c r="U104" s="4"/>
      <c r="V104" s="4"/>
      <c r="W104" s="4"/>
      <c r="X104" s="5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3:34">
      <c r="M105" s="20"/>
      <c r="N105" s="20"/>
      <c r="O105" s="20"/>
      <c r="P105" s="4"/>
      <c r="Q105" s="4"/>
      <c r="R105" s="4"/>
      <c r="S105" s="4"/>
      <c r="T105" s="4"/>
      <c r="U105" s="4"/>
      <c r="V105" s="4"/>
      <c r="W105" s="4"/>
      <c r="X105" s="5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3:34">
      <c r="M106" s="20"/>
      <c r="N106" s="20"/>
      <c r="O106" s="20"/>
      <c r="P106" s="4"/>
      <c r="Q106" s="4"/>
      <c r="R106" s="4"/>
      <c r="S106" s="4"/>
      <c r="T106" s="4"/>
      <c r="U106" s="4"/>
      <c r="V106" s="4"/>
      <c r="W106" s="4"/>
      <c r="X106" s="5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3:34">
      <c r="M107" s="20"/>
      <c r="N107" s="20"/>
      <c r="O107" s="20"/>
      <c r="P107" s="4"/>
      <c r="Q107" s="4"/>
      <c r="R107" s="4"/>
      <c r="S107" s="4"/>
      <c r="T107" s="4"/>
      <c r="U107" s="4"/>
      <c r="V107" s="4"/>
      <c r="W107" s="4"/>
      <c r="X107" s="5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3:34">
      <c r="M108" s="20"/>
      <c r="N108" s="20"/>
      <c r="O108" s="20"/>
      <c r="P108" s="4"/>
      <c r="Q108" s="4"/>
      <c r="R108" s="4"/>
      <c r="S108" s="4"/>
      <c r="T108" s="4"/>
      <c r="U108" s="4"/>
      <c r="V108" s="4"/>
      <c r="W108" s="4"/>
      <c r="X108" s="5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3:34">
      <c r="M109" s="20"/>
      <c r="N109" s="20"/>
      <c r="O109" s="20"/>
      <c r="P109" s="4"/>
      <c r="Q109" s="4"/>
      <c r="R109" s="4"/>
      <c r="S109" s="4"/>
      <c r="T109" s="4"/>
      <c r="U109" s="4"/>
      <c r="V109" s="4"/>
      <c r="W109" s="4"/>
      <c r="X109" s="5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3:34">
      <c r="M110" s="20"/>
      <c r="N110" s="20"/>
      <c r="O110" s="20"/>
      <c r="P110" s="4"/>
      <c r="Q110" s="4"/>
      <c r="R110" s="4"/>
      <c r="S110" s="4"/>
      <c r="T110" s="4"/>
      <c r="U110" s="4"/>
      <c r="V110" s="4"/>
      <c r="W110" s="4"/>
      <c r="X110" s="5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3:34">
      <c r="M111" s="20"/>
      <c r="N111" s="20"/>
      <c r="O111" s="20"/>
      <c r="P111" s="4"/>
      <c r="Q111" s="4"/>
      <c r="R111" s="4"/>
      <c r="S111" s="4"/>
      <c r="T111" s="4"/>
      <c r="U111" s="4"/>
      <c r="V111" s="4"/>
      <c r="W111" s="4"/>
      <c r="X111" s="5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3:34">
      <c r="M112" s="20"/>
      <c r="N112" s="20"/>
      <c r="O112" s="20"/>
      <c r="P112" s="4"/>
      <c r="Q112" s="4"/>
      <c r="R112" s="4"/>
      <c r="S112" s="4"/>
      <c r="T112" s="4"/>
      <c r="U112" s="4"/>
      <c r="V112" s="4"/>
      <c r="W112" s="4"/>
      <c r="X112" s="5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3:31">
      <c r="M113" s="20"/>
      <c r="N113" s="20"/>
      <c r="O113" s="20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3:31">
      <c r="M114" s="20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3:31">
      <c r="M115" s="20"/>
      <c r="N115" s="20"/>
      <c r="O115" s="20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3:31">
      <c r="M116" s="20"/>
      <c r="N116" s="20"/>
      <c r="O116" s="2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3:31">
      <c r="M117" s="20"/>
      <c r="N117" s="20"/>
      <c r="O117" s="2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3:31">
      <c r="M118" s="20"/>
      <c r="N118" s="20"/>
      <c r="O118" s="20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3:31">
      <c r="M119" s="20"/>
      <c r="N119" s="20"/>
      <c r="O119" s="2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3:31">
      <c r="M120" s="20"/>
      <c r="N120" s="20"/>
      <c r="O120" s="20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3:31">
      <c r="M121" s="20"/>
      <c r="N121" s="20"/>
      <c r="O121" s="20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3:31">
      <c r="M122" s="20"/>
      <c r="N122" s="20"/>
      <c r="O122" s="20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3:31">
      <c r="M123" s="20"/>
      <c r="N123" s="20"/>
      <c r="O123" s="20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3:31">
      <c r="M124" s="20"/>
      <c r="N124" s="20"/>
      <c r="O124" s="20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3:31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3:31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3:31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3:31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6:31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6:31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6:31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6:31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6:31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6:31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6:31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6:31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6:31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6:31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6:31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6:31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6:31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6:31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6:31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6:31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6:31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6:31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6:31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6:31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6:31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6:31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6:31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6:31"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6:31"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6:31"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6:31"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6:31"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6:31"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6:31"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6:31"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6:31"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6:31"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6:31"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6:31"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6:31"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6:31"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6:31"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6:31"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6:31"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6:31"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6:31"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6:31"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6:31"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6:31"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6:31"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6:31"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6:31"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6:31"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6:31"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6:31"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6:31"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6:31"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6:31"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6:31"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6:31"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6:31"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6:31"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6:31"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6:31"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6:31"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6:31"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6:31"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6:31"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6:31"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6:31"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6:31"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6:31"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6:31"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6:31"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6:31"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6:31"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6:31"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6:31"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6:31"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6:31"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6:31"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6:31"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6:31"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6:31"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6:31"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6:31"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6:31"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6:31"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6:31"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6:31"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6:31"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6:31"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6:31"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6:31"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6:31"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6:31"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6:31"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6:31"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6:31"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6:31"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6:31"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6:31"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6:31"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6:31"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6:31"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6:31"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6:31"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6:31"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6:31"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6:31"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6:31"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6:31"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6:31"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6:31"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6:31"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6:31"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6:31"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6:31"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6:31"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6:31"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6:31"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6:31"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6:31"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6:31"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6:31"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6:31"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6:31"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6:31"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6:31"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6:31"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6:31"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6:31"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6:31"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6:31"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6:31"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6:31"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6:31"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6:31"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6:31"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6:31"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6:31"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6:31"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6:31"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6:31"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6:31"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6:31"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6:31"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6:31"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6:31"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6:31"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6:31"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6:31"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6:31"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6:31"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6:31"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6:31"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6:31"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6:31"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6:31"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6:31"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6:31"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6:31"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6:31"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6:31"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6:31"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6:31"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6:31"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6:31"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6:31"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6:31"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6:31"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6:31"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6:31"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6:31"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6:31"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6:31"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6:31"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Curve</vt:lpstr>
      <vt:lpstr>Operational</vt:lpstr>
      <vt:lpstr>Maximum</vt:lpstr>
      <vt:lpstr>1_Operational</vt:lpstr>
      <vt:lpstr>2_Operational</vt:lpstr>
      <vt:lpstr>3_Operational</vt:lpstr>
      <vt:lpstr>4_Operational</vt:lpstr>
      <vt:lpstr>1_Maximum</vt:lpstr>
      <vt:lpstr>2_Maximum</vt:lpstr>
      <vt:lpstr>3_Maximum</vt:lpstr>
      <vt:lpstr>4_Maximum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 Liu (劉安蓉)</dc:creator>
  <cp:lastModifiedBy>Ray Chen (陳瑞祥)</cp:lastModifiedBy>
  <dcterms:created xsi:type="dcterms:W3CDTF">2025-09-23T05:25:22Z</dcterms:created>
  <dcterms:modified xsi:type="dcterms:W3CDTF">2026-06-22T07:45:18Z</dcterms:modified>
</cp:coreProperties>
</file>